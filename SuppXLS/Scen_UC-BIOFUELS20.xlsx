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xl/activeX/activeX2.xml" ContentType="application/vnd.ms-office.activeX+xml"/>
  <Override PartName="/xl/activeX/activeX2.bin" ContentType="application/vnd.ms-office.activeX"/>
  <Override PartName="/xl/activeX/activeX3.xml" ContentType="application/vnd.ms-office.activeX+xml"/>
  <Override PartName="/xl/activeX/activeX3.bin" ContentType="application/vnd.ms-office.activeX"/>
  <Override PartName="/xl/activeX/activeX4.xml" ContentType="application/vnd.ms-office.activeX+xml"/>
  <Override PartName="/xl/activeX/activeX4.bin" ContentType="application/vnd.ms-office.activeX"/>
  <Override PartName="/xl/activeX/activeX5.xml" ContentType="application/vnd.ms-office.activeX+xml"/>
  <Override PartName="/xl/activeX/activeX5.bin" ContentType="application/vnd.ms-office.activeX"/>
  <Override PartName="/xl/drawings/drawing2.xml" ContentType="application/vnd.openxmlformats-officedocument.drawing+xml"/>
  <Override PartName="/xl/activeX/activeX6.xml" ContentType="application/vnd.ms-office.activeX+xml"/>
  <Override PartName="/xl/activeX/activeX6.bin" ContentType="application/vnd.ms-office.activeX"/>
  <Override PartName="/xl/activeX/activeX7.xml" ContentType="application/vnd.ms-office.activeX+xml"/>
  <Override PartName="/xl/activeX/activeX7.bin" ContentType="application/vnd.ms-office.activeX"/>
  <Override PartName="/xl/activeX/activeX8.xml" ContentType="application/vnd.ms-office.activeX+xml"/>
  <Override PartName="/xl/activeX/activeX8.bin" ContentType="application/vnd.ms-office.activeX"/>
  <Override PartName="/xl/activeX/activeX9.xml" ContentType="application/vnd.ms-office.activeX+xml"/>
  <Override PartName="/xl/activeX/activeX9.bin" ContentType="application/vnd.ms-office.activeX"/>
  <Override PartName="/xl/activeX/activeX10.xml" ContentType="application/vnd.ms-office.activeX+xml"/>
  <Override PartName="/xl/activeX/activeX10.bin" ContentType="application/vnd.ms-office.activeX"/>
  <Override PartName="/xl/activeX/activeX11.xml" ContentType="application/vnd.ms-office.activeX+xml"/>
  <Override PartName="/xl/activeX/activeX11.bin" ContentType="application/vnd.ms-office.activeX"/>
  <Override PartName="/xl/activeX/activeX12.xml" ContentType="application/vnd.ms-office.activeX+xml"/>
  <Override PartName="/xl/activeX/activeX12.bin" ContentType="application/vnd.ms-office.activeX"/>
  <Override PartName="/xl/drawings/drawing3.xml" ContentType="application/vnd.openxmlformats-officedocument.drawing+xml"/>
  <Override PartName="/xl/activeX/activeX13.xml" ContentType="application/vnd.ms-office.activeX+xml"/>
  <Override PartName="/xl/activeX/activeX13.bin" ContentType="application/vnd.ms-office.activeX"/>
  <Override PartName="/xl/activeX/activeX14.xml" ContentType="application/vnd.ms-office.activeX+xml"/>
  <Override PartName="/xl/activeX/activeX14.bin" ContentType="application/vnd.ms-office.activeX"/>
  <Override PartName="/xl/activeX/activeX15.xml" ContentType="application/vnd.ms-office.activeX+xml"/>
  <Override PartName="/xl/activeX/activeX15.bin" ContentType="application/vnd.ms-office.activeX"/>
  <Override PartName="/xl/activeX/activeX16.xml" ContentType="application/vnd.ms-office.activeX+xml"/>
  <Override PartName="/xl/activeX/activeX16.bin" ContentType="application/vnd.ms-office.activeX"/>
  <Override PartName="/xl/activeX/activeX17.xml" ContentType="application/vnd.ms-office.activeX+xml"/>
  <Override PartName="/xl/activeX/activeX17.bin" ContentType="application/vnd.ms-office.activeX"/>
  <Override PartName="/xl/activeX/activeX18.xml" ContentType="application/vnd.ms-office.activeX+xml"/>
  <Override PartName="/xl/activeX/activeX18.bin" ContentType="application/vnd.ms-office.activeX"/>
  <Override PartName="/xl/activeX/activeX19.xml" ContentType="application/vnd.ms-office.activeX+xml"/>
  <Override PartName="/xl/activeX/activeX19.bin" ContentType="application/vnd.ms-office.activeX"/>
  <Override PartName="/xl/activeX/activeX20.xml" ContentType="application/vnd.ms-office.activeX+xml"/>
  <Override PartName="/xl/activeX/activeX20.bin" ContentType="application/vnd.ms-office.activeX"/>
  <Override PartName="/xl/drawings/drawing4.xml" ContentType="application/vnd.openxmlformats-officedocument.drawing+xml"/>
  <Override PartName="/xl/activeX/activeX21.xml" ContentType="application/vnd.ms-office.activeX+xml"/>
  <Override PartName="/xl/activeX/activeX21.bin" ContentType="application/vnd.ms-office.activeX"/>
  <Override PartName="/xl/activeX/activeX22.xml" ContentType="application/vnd.ms-office.activeX+xml"/>
  <Override PartName="/xl/activeX/activeX22.bin" ContentType="application/vnd.ms-office.activeX"/>
  <Override PartName="/xl/activeX/activeX23.xml" ContentType="application/vnd.ms-office.activeX+xml"/>
  <Override PartName="/xl/activeX/activeX23.bin" ContentType="application/vnd.ms-office.activeX"/>
  <Override PartName="/xl/activeX/activeX24.xml" ContentType="application/vnd.ms-office.activeX+xml"/>
  <Override PartName="/xl/activeX/activeX24.bin" ContentType="application/vnd.ms-office.activeX"/>
  <Override PartName="/xl/activeX/activeX25.xml" ContentType="application/vnd.ms-office.activeX+xml"/>
  <Override PartName="/xl/activeX/activeX25.bin" ContentType="application/vnd.ms-office.activeX"/>
  <Override PartName="/xl/drawings/drawing5.xml" ContentType="application/vnd.openxmlformats-officedocument.drawing+xml"/>
  <Override PartName="/xl/activeX/activeX26.xml" ContentType="application/vnd.ms-office.activeX+xml"/>
  <Override PartName="/xl/activeX/activeX26.bin" ContentType="application/vnd.ms-office.activeX"/>
  <Override PartName="/xl/activeX/activeX27.xml" ContentType="application/vnd.ms-office.activeX+xml"/>
  <Override PartName="/xl/activeX/activeX27.bin" ContentType="application/vnd.ms-office.activeX"/>
  <Override PartName="/xl/activeX/activeX28.xml" ContentType="application/vnd.ms-office.activeX+xml"/>
  <Override PartName="/xl/activeX/activeX28.bin" ContentType="application/vnd.ms-office.activeX"/>
  <Override PartName="/xl/activeX/activeX29.xml" ContentType="application/vnd.ms-office.activeX+xml"/>
  <Override PartName="/xl/activeX/activeX29.bin" ContentType="application/vnd.ms-office.activeX"/>
  <Override PartName="/xl/drawings/drawing6.xml" ContentType="application/vnd.openxmlformats-officedocument.drawing+xml"/>
  <Override PartName="/xl/activeX/activeX30.xml" ContentType="application/vnd.ms-office.activeX+xml"/>
  <Override PartName="/xl/activeX/activeX30.bin" ContentType="application/vnd.ms-office.activeX"/>
  <Override PartName="/xl/activeX/activeX31.xml" ContentType="application/vnd.ms-office.activeX+xml"/>
  <Override PartName="/xl/activeX/activeX31.bin" ContentType="application/vnd.ms-office.activeX"/>
  <Override PartName="/xl/activeX/activeX32.xml" ContentType="application/vnd.ms-office.activeX+xml"/>
  <Override PartName="/xl/activeX/activeX32.bin" ContentType="application/vnd.ms-office.activeX"/>
  <Override PartName="/xl/activeX/activeX33.xml" ContentType="application/vnd.ms-office.activeX+xml"/>
  <Override PartName="/xl/activeX/activeX33.bin" ContentType="application/vnd.ms-office.activeX"/>
  <Override PartName="/xl/activeX/activeX34.xml" ContentType="application/vnd.ms-office.activeX+xml"/>
  <Override PartName="/xl/activeX/activeX34.bin" ContentType="application/vnd.ms-office.activeX"/>
  <Override PartName="/xl/drawings/drawing7.xml" ContentType="application/vnd.openxmlformats-officedocument.drawing+xml"/>
  <Override PartName="/xl/activeX/activeX35.xml" ContentType="application/vnd.ms-office.activeX+xml"/>
  <Override PartName="/xl/activeX/activeX35.bin" ContentType="application/vnd.ms-office.activeX"/>
  <Override PartName="/xl/activeX/activeX36.xml" ContentType="application/vnd.ms-office.activeX+xml"/>
  <Override PartName="/xl/activeX/activeX36.bin" ContentType="application/vnd.ms-office.activeX"/>
  <Override PartName="/xl/activeX/activeX37.xml" ContentType="application/vnd.ms-office.activeX+xml"/>
  <Override PartName="/xl/activeX/activeX37.bin" ContentType="application/vnd.ms-office.activeX"/>
  <Override PartName="/xl/activeX/activeX38.xml" ContentType="application/vnd.ms-office.activeX+xml"/>
  <Override PartName="/xl/activeX/activeX38.bin" ContentType="application/vnd.ms-office.activeX"/>
  <Override PartName="/xl/activeX/activeX39.xml" ContentType="application/vnd.ms-office.activeX+xml"/>
  <Override PartName="/xl/activeX/activeX39.bin" ContentType="application/vnd.ms-office.activeX"/>
  <Override PartName="/xl/activeX/activeX40.xml" ContentType="application/vnd.ms-office.activeX+xml"/>
  <Override PartName="/xl/activeX/activeX40.bin" ContentType="application/vnd.ms-office.activeX"/>
  <Override PartName="/xl/activeX/activeX41.xml" ContentType="application/vnd.ms-office.activeX+xml"/>
  <Override PartName="/xl/activeX/activeX41.bin" ContentType="application/vnd.ms-office.activeX"/>
  <Override PartName="/xl/drawings/drawing8.xml" ContentType="application/vnd.openxmlformats-officedocument.drawing+xml"/>
  <Override PartName="/xl/activeX/activeX42.xml" ContentType="application/vnd.ms-office.activeX+xml"/>
  <Override PartName="/xl/activeX/activeX42.bin" ContentType="application/vnd.ms-office.activeX"/>
  <Override PartName="/xl/activeX/activeX43.xml" ContentType="application/vnd.ms-office.activeX+xml"/>
  <Override PartName="/xl/activeX/activeX43.bin" ContentType="application/vnd.ms-office.activeX"/>
  <Override PartName="/xl/activeX/activeX44.xml" ContentType="application/vnd.ms-office.activeX+xml"/>
  <Override PartName="/xl/activeX/activeX44.bin" ContentType="application/vnd.ms-office.activeX"/>
  <Override PartName="/xl/activeX/activeX45.xml" ContentType="application/vnd.ms-office.activeX+xml"/>
  <Override PartName="/xl/activeX/activeX45.bin" ContentType="application/vnd.ms-office.activeX"/>
  <Override PartName="/xl/activeX/activeX46.xml" ContentType="application/vnd.ms-office.activeX+xml"/>
  <Override PartName="/xl/activeX/activeX46.bin" ContentType="application/vnd.ms-office.activeX"/>
  <Override PartName="/xl/activeX/activeX47.xml" ContentType="application/vnd.ms-office.activeX+xml"/>
  <Override PartName="/xl/activeX/activeX47.bin" ContentType="application/vnd.ms-office.activeX"/>
  <Override PartName="/xl/comments1.xml" ContentType="application/vnd.openxmlformats-officedocument.spreadsheetml.comments+xml"/>
  <Override PartName="/xl/comments2.xml" ContentType="application/vnd.openxmlformats-officedocument.spreadsheetml.comments+xml"/>
  <Override PartName="/xl/drawings/drawing9.xml" ContentType="application/vnd.openxmlformats-officedocument.drawing+xml"/>
  <Override PartName="/xl/activeX/activeX48.xml" ContentType="application/vnd.ms-office.activeX+xml"/>
  <Override PartName="/xl/activeX/activeX48.bin" ContentType="application/vnd.ms-office.activeX"/>
  <Override PartName="/xl/activeX/activeX49.xml" ContentType="application/vnd.ms-office.activeX+xml"/>
  <Override PartName="/xl/activeX/activeX49.bin" ContentType="application/vnd.ms-office.activeX"/>
  <Override PartName="/xl/activeX/activeX50.xml" ContentType="application/vnd.ms-office.activeX+xml"/>
  <Override PartName="/xl/activeX/activeX50.bin" ContentType="application/vnd.ms-office.activeX"/>
  <Override PartName="/xl/activeX/activeX51.xml" ContentType="application/vnd.ms-office.activeX+xml"/>
  <Override PartName="/xl/activeX/activeX51.bin" ContentType="application/vnd.ms-office.activeX"/>
  <Override PartName="/xl/activeX/activeX52.xml" ContentType="application/vnd.ms-office.activeX+xml"/>
  <Override PartName="/xl/activeX/activeX52.bin" ContentType="application/vnd.ms-office.activeX"/>
  <Override PartName="/xl/activeX/activeX53.xml" ContentType="application/vnd.ms-office.activeX+xml"/>
  <Override PartName="/xl/activeX/activeX53.bin" ContentType="application/vnd.ms-office.activeX"/>
  <Override PartName="/xl/drawings/drawing10.xml" ContentType="application/vnd.openxmlformats-officedocument.drawing+xml"/>
  <Override PartName="/xl/activeX/activeX54.xml" ContentType="application/vnd.ms-office.activeX+xml"/>
  <Override PartName="/xl/activeX/activeX54.bin" ContentType="application/vnd.ms-office.activeX"/>
  <Override PartName="/xl/activeX/activeX55.xml" ContentType="application/vnd.ms-office.activeX+xml"/>
  <Override PartName="/xl/activeX/activeX55.bin" ContentType="application/vnd.ms-office.activeX"/>
  <Override PartName="/xl/activeX/activeX56.xml" ContentType="application/vnd.ms-office.activeX+xml"/>
  <Override PartName="/xl/activeX/activeX56.bin" ContentType="application/vnd.ms-office.activeX"/>
  <Override PartName="/xl/activeX/activeX57.xml" ContentType="application/vnd.ms-office.activeX+xml"/>
  <Override PartName="/xl/activeX/activeX57.bin" ContentType="application/vnd.ms-office.activeX"/>
  <Override PartName="/xl/activeX/activeX58.xml" ContentType="application/vnd.ms-office.activeX+xml"/>
  <Override PartName="/xl/activeX/activeX58.bin" ContentType="application/vnd.ms-office.activeX"/>
  <Override PartName="/xl/activeX/activeX59.xml" ContentType="application/vnd.ms-office.activeX+xml"/>
  <Override PartName="/xl/activeX/activeX59.bin" ContentType="application/vnd.ms-office.activeX"/>
  <Override PartName="/xl/activeX/activeX60.xml" ContentType="application/vnd.ms-office.activeX+xml"/>
  <Override PartName="/xl/activeX/activeX60.bin" ContentType="application/vnd.ms-office.activeX"/>
  <Override PartName="/xl/drawings/drawing11.xml" ContentType="application/vnd.openxmlformats-officedocument.drawing+xml"/>
  <Override PartName="/xl/activeX/activeX61.xml" ContentType="application/vnd.ms-office.activeX+xml"/>
  <Override PartName="/xl/activeX/activeX61.bin" ContentType="application/vnd.ms-office.activeX"/>
  <Override PartName="/xl/activeX/activeX62.xml" ContentType="application/vnd.ms-office.activeX+xml"/>
  <Override PartName="/xl/activeX/activeX62.bin" ContentType="application/vnd.ms-office.activeX"/>
  <Override PartName="/xl/activeX/activeX63.xml" ContentType="application/vnd.ms-office.activeX+xml"/>
  <Override PartName="/xl/activeX/activeX63.bin" ContentType="application/vnd.ms-office.activeX"/>
  <Override PartName="/xl/activeX/activeX64.xml" ContentType="application/vnd.ms-office.activeX+xml"/>
  <Override PartName="/xl/activeX/activeX64.bin" ContentType="application/vnd.ms-office.activeX"/>
  <Override PartName="/xl/activeX/activeX65.xml" ContentType="application/vnd.ms-office.activeX+xml"/>
  <Override PartName="/xl/activeX/activeX65.bin" ContentType="application/vnd.ms-office.activeX"/>
  <Override PartName="/xl/drawings/drawing12.xml" ContentType="application/vnd.openxmlformats-officedocument.drawing+xml"/>
  <Override PartName="/xl/activeX/activeX66.xml" ContentType="application/vnd.ms-office.activeX+xml"/>
  <Override PartName="/xl/activeX/activeX66.bin" ContentType="application/vnd.ms-office.activeX"/>
  <Override PartName="/xl/activeX/activeX67.xml" ContentType="application/vnd.ms-office.activeX+xml"/>
  <Override PartName="/xl/activeX/activeX67.bin" ContentType="application/vnd.ms-office.activeX"/>
  <Override PartName="/xl/activeX/activeX68.xml" ContentType="application/vnd.ms-office.activeX+xml"/>
  <Override PartName="/xl/activeX/activeX68.bin" ContentType="application/vnd.ms-office.activeX"/>
  <Override PartName="/xl/activeX/activeX69.xml" ContentType="application/vnd.ms-office.activeX+xml"/>
  <Override PartName="/xl/activeX/activeX69.bin" ContentType="application/vnd.ms-office.activeX"/>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codeName="ThisWorkbook"/>
  <mc:AlternateContent xmlns:mc="http://schemas.openxmlformats.org/markup-compatibility/2006">
    <mc:Choice Requires="x15">
      <x15ac:absPath xmlns:x15ac="http://schemas.microsoft.com/office/spreadsheetml/2010/11/ac" url="C:\Users\clenox\OneDrive - Environmental Protection Agency (EPA)\EPAUS9rT_20\"/>
    </mc:Choice>
  </mc:AlternateContent>
  <xr:revisionPtr revIDLastSave="156" documentId="8_{D5F0E9AF-5171-4CBE-84ED-9BAA379F4BDE}" xr6:coauthVersionLast="45" xr6:coauthVersionMax="45" xr10:uidLastSave="{157DFB80-D2D4-4EEE-BCCF-0819DCF42137}"/>
  <bookViews>
    <workbookView xWindow="-108" yWindow="-108" windowWidth="23256" windowHeight="14016" tabRatio="847" firstSheet="8" activeTab="8" xr2:uid="{00000000-000D-0000-FFFF-FFFF00000000}"/>
  </bookViews>
  <sheets>
    <sheet name="ANSv6.0-Technologies" sheetId="11" state="veryHidden" r:id="rId1"/>
    <sheet name="ANSv6.0-Commodities" sheetId="10" state="veryHidden" r:id="rId2"/>
    <sheet name="ANSv6.1-Commodities" sheetId="1" state="veryHidden" r:id="rId3"/>
    <sheet name="ANSv6.1-Technologies" sheetId="2" state="veryHidden" r:id="rId4"/>
    <sheet name="ANSv6.1-Constraints" sheetId="7" state="veryHidden" r:id="rId5"/>
    <sheet name="ANSv6.1-CommData" sheetId="4" state="veryHidden" r:id="rId6"/>
    <sheet name="ANSv6.1-TechData" sheetId="3" state="veryHidden" r:id="rId7"/>
    <sheet name="ANSv6.1-ConstrData" sheetId="8" state="veryHidden" r:id="rId8"/>
    <sheet name="Constraints" sheetId="127" r:id="rId9"/>
    <sheet name="orig const" sheetId="129" r:id="rId10"/>
    <sheet name="RFS2 Volumes" sheetId="132" r:id="rId11"/>
    <sheet name="Scenarios" sheetId="133" r:id="rId12"/>
    <sheet name="Int'l Exp+Imp" sheetId="134" r:id="rId13"/>
    <sheet name="Alt Fuel Vols" sheetId="135" r:id="rId14"/>
    <sheet name="ANSv6.0-ConstrData" sheetId="42" state="veryHidden" r:id="rId15"/>
    <sheet name="ANSv6.0-TechData" sheetId="21" state="veryHidden" r:id="rId16"/>
    <sheet name="ANSv6.0-CommData" sheetId="18" state="veryHidden" r:id="rId17"/>
    <sheet name="ANSv6.0-Constraints" sheetId="17" state="veryHidden" r:id="rId18"/>
  </sheets>
  <externalReferences>
    <externalReference r:id="rId19"/>
    <externalReference r:id="rId20"/>
  </externalReferences>
  <definedNames>
    <definedName name="_1_2007_InternetDataFile_ExistGenUnits">#REF!</definedName>
    <definedName name="AnswerData">#REF!</definedName>
    <definedName name="bprint">#REF!</definedName>
    <definedName name="cprint">#REF!</definedName>
    <definedName name="exch_rate">#REF!</definedName>
    <definedName name="fitfile">[1]MODEL!$D$38</definedName>
    <definedName name="INF">[1]MODEL!$H$14</definedName>
    <definedName name="PPP">[1]MODEL!$D$12</definedName>
    <definedName name="PPPEX">[1]MODEL!$D$13</definedName>
    <definedName name="rail_coal">#REF!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I37" i="127" l="1"/>
  <c r="I31" i="127" l="1"/>
  <c r="S28" i="129"/>
  <c r="R28" i="129"/>
  <c r="Q28" i="129"/>
  <c r="M31" i="129"/>
  <c r="AA30" i="129"/>
  <c r="Z30" i="129"/>
  <c r="Y30" i="129"/>
  <c r="W30" i="129"/>
  <c r="V30" i="129"/>
  <c r="X28" i="129"/>
  <c r="W28" i="129"/>
  <c r="V28" i="129"/>
  <c r="X15" i="129"/>
  <c r="W15" i="129"/>
  <c r="V15" i="129"/>
  <c r="N25" i="129"/>
  <c r="O25" i="129"/>
  <c r="P25" i="129"/>
  <c r="M25" i="129"/>
  <c r="N23" i="129"/>
  <c r="O23" i="129"/>
  <c r="P23" i="129"/>
  <c r="M23" i="129"/>
  <c r="N20" i="129"/>
  <c r="O20" i="129"/>
  <c r="P20" i="129"/>
  <c r="M20" i="129"/>
  <c r="N18" i="129"/>
  <c r="O18" i="129"/>
  <c r="P18" i="129"/>
  <c r="M18" i="129"/>
  <c r="S12" i="129"/>
  <c r="R12" i="129"/>
  <c r="I30" i="127" s="1"/>
  <c r="Q12" i="129"/>
  <c r="I29" i="127" s="1"/>
  <c r="M28" i="129"/>
  <c r="J28" i="129"/>
  <c r="M15" i="129"/>
  <c r="M10" i="129"/>
  <c r="I27" i="127" s="1"/>
  <c r="I28" i="127" s="1"/>
  <c r="N12" i="129" l="1"/>
  <c r="O12" i="129"/>
  <c r="P12" i="129"/>
  <c r="I6" i="127"/>
  <c r="I7" i="127"/>
  <c r="I9" i="127"/>
  <c r="I10" i="127"/>
  <c r="I11" i="127"/>
  <c r="I12" i="127"/>
  <c r="I14" i="127"/>
  <c r="I15" i="127"/>
  <c r="I16" i="127"/>
  <c r="I17" i="127"/>
  <c r="I19" i="127"/>
  <c r="I20" i="127"/>
  <c r="I21" i="127"/>
  <c r="I22" i="127"/>
  <c r="I24" i="127"/>
  <c r="I25" i="127"/>
  <c r="I26" i="127"/>
  <c r="G27" i="129"/>
  <c r="I8" i="127" l="1"/>
  <c r="N31" i="129"/>
  <c r="I34" i="127" s="1"/>
  <c r="I35" i="127" s="1"/>
  <c r="I32" i="127"/>
  <c r="I23" i="127"/>
  <c r="I13" i="127"/>
  <c r="I18" i="127"/>
  <c r="I33" i="127"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Gary Goldstein</author>
  </authors>
  <commentList>
    <comment ref="D2" authorId="0" shapeId="0" xr:uid="{00000000-0006-0000-0800-000001000000}">
      <text>
        <r>
          <rPr>
            <sz val="8"/>
            <color indexed="81"/>
            <rFont val="Tahoma"/>
            <family val="2"/>
          </rPr>
          <t>Define the qualifiers based upon technology set + topology + name + descriptions, according to both include and exclude specifications.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Rebecca S Dodder</author>
  </authors>
  <commentList>
    <comment ref="G22" authorId="0" shapeId="0" xr:uid="{00000000-0006-0000-2700-000002000000}">
      <text>
        <r>
          <rPr>
            <sz val="8"/>
            <color indexed="81"/>
            <rFont val="Tahoma"/>
            <family val="2"/>
          </rPr>
          <t>RATRULE_ACT Parameter requires TechFilter Item in TechName column.</t>
        </r>
      </text>
    </comment>
  </commentList>
</comments>
</file>

<file path=xl/sharedStrings.xml><?xml version="1.0" encoding="utf-8"?>
<sst xmlns="http://schemas.openxmlformats.org/spreadsheetml/2006/main" count="616" uniqueCount="259">
  <si>
    <t>Year</t>
  </si>
  <si>
    <t>CommUnit</t>
  </si>
  <si>
    <t>Comment</t>
  </si>
  <si>
    <t>TACTUnit</t>
  </si>
  <si>
    <t>TCAPUnit</t>
  </si>
  <si>
    <t>Set Memberships</t>
  </si>
  <si>
    <t>CommName</t>
  </si>
  <si>
    <t>CommDesc</t>
  </si>
  <si>
    <t>TechName</t>
  </si>
  <si>
    <t>TechDesc</t>
  </si>
  <si>
    <t>Units</t>
  </si>
  <si>
    <t>CommIN</t>
  </si>
  <si>
    <t>CommOUT</t>
  </si>
  <si>
    <t>ConstrName</t>
  </si>
  <si>
    <t>ConstrDesc</t>
  </si>
  <si>
    <t>ANSWER-Commodities</t>
  </si>
  <si>
    <t>ANSWER-Technologies</t>
  </si>
  <si>
    <t>ANSWER-Constraints</t>
  </si>
  <si>
    <t>ANSWER-CommData</t>
  </si>
  <si>
    <t>ANSWER-TechData</t>
  </si>
  <si>
    <t>ANSWER-ConstrData</t>
  </si>
  <si>
    <t>_GLOBAL</t>
  </si>
  <si>
    <t>_GLOBAL,R1,R2,R3,R4,R5,R6,R7,R8,R9</t>
  </si>
  <si>
    <t>R1,R2,R3,R4,R5,R6,R7,R8,R9</t>
  </si>
  <si>
    <t>2025-2055</t>
  </si>
  <si>
    <t>LimType</t>
  </si>
  <si>
    <t>Pset_Set</t>
  </si>
  <si>
    <t>Pset_PN</t>
  </si>
  <si>
    <t>Cset_CN</t>
  </si>
  <si>
    <t>UP</t>
  </si>
  <si>
    <t>UC - All Regions/Each Period</t>
  </si>
  <si>
    <t>~UC_Sets: R_S: AllRegions</t>
  </si>
  <si>
    <t>UC_N</t>
  </si>
  <si>
    <t>UC_RHSTS</t>
  </si>
  <si>
    <t>UC_RHSTS~0</t>
  </si>
  <si>
    <t>UC_Desc</t>
  </si>
  <si>
    <t>~UC_T</t>
  </si>
  <si>
    <t>ConstrData</t>
  </si>
  <si>
    <t>*</t>
  </si>
  <si>
    <t>RAT_ACT</t>
  </si>
  <si>
    <t>RATRULE_ACT</t>
  </si>
  <si>
    <t>RATRULE_CAP</t>
  </si>
  <si>
    <t>RAT__RHS</t>
  </si>
  <si>
    <t>RAT__XRRHS</t>
  </si>
  <si>
    <t>FX</t>
  </si>
  <si>
    <t>LO</t>
  </si>
  <si>
    <t>NON</t>
  </si>
  <si>
    <t>2005-2055</t>
  </si>
  <si>
    <t>2010-2055</t>
  </si>
  <si>
    <t>R2,R3,R4,R5,R6,R7,R8,R9</t>
  </si>
  <si>
    <t>ETH_CRN_H</t>
  </si>
  <si>
    <t>Total corn-based ethanol - historic</t>
  </si>
  <si>
    <t>uconstraint</t>
  </si>
  <si>
    <t>XCRNETH</t>
  </si>
  <si>
    <t>ETH_CRN</t>
  </si>
  <si>
    <t>Total corn-based ethanol</t>
  </si>
  <si>
    <t>BDL_TOT</t>
  </si>
  <si>
    <t>Total biodiesel</t>
  </si>
  <si>
    <t>SCTRBDL</t>
  </si>
  <si>
    <t>ETH_IMPORT</t>
  </si>
  <si>
    <t>Total ethanol imported</t>
  </si>
  <si>
    <t>ETH_IMP</t>
  </si>
  <si>
    <t>ETH_EXPORT</t>
  </si>
  <si>
    <t xml:space="preserve">Total ethanol exported </t>
  </si>
  <si>
    <t>XETHEXP</t>
  </si>
  <si>
    <t>BDL_IMPORT</t>
  </si>
  <si>
    <t>Total biodiesel imported</t>
  </si>
  <si>
    <t>BDL_IMP</t>
  </si>
  <si>
    <t>BDL_EXPORT</t>
  </si>
  <si>
    <t>Total biodiesel exported</t>
  </si>
  <si>
    <t>XBDLEXP</t>
  </si>
  <si>
    <t>BIOFL_ADV</t>
  </si>
  <si>
    <t>Total advanced biofuels</t>
  </si>
  <si>
    <t>BIOF_ADV2</t>
  </si>
  <si>
    <t>E85_TOT</t>
  </si>
  <si>
    <t>Total E85 consumption</t>
  </si>
  <si>
    <t>XBLNDE85</t>
  </si>
  <si>
    <t>BDL_AllRegions</t>
  </si>
  <si>
    <t>Biodiesel bounds on total production</t>
  </si>
  <si>
    <t>ETH_IMP_AllRegions</t>
  </si>
  <si>
    <t>Ethanol bounds on total imports</t>
  </si>
  <si>
    <t>ETHIMP</t>
  </si>
  <si>
    <t>ETH_EXP_AllRegions</t>
  </si>
  <si>
    <t>ETHEXP</t>
  </si>
  <si>
    <t>Ethanol bounds on total exports</t>
  </si>
  <si>
    <t>BDL_IMP_AllRegions</t>
  </si>
  <si>
    <t>BDL_EXP_AllRegions</t>
  </si>
  <si>
    <t>BDLIMP</t>
  </si>
  <si>
    <t>BDLEXP</t>
  </si>
  <si>
    <t>Biodiesel bounds on total imports</t>
  </si>
  <si>
    <t>Biodiesel bounds on total exports</t>
  </si>
  <si>
    <t>E85_AllRegions</t>
  </si>
  <si>
    <t>E85 total production</t>
  </si>
  <si>
    <t>TRNE85</t>
  </si>
  <si>
    <t>UC_COMPRD</t>
  </si>
  <si>
    <t>TRBDL1</t>
  </si>
  <si>
    <t xml:space="preserve">Biofuels Volumes for Analysis </t>
  </si>
  <si>
    <t>EIA, Annual Energy Review</t>
  </si>
  <si>
    <t>EIA Annual Energy Review 2010, Table 10.3  and 10.4</t>
  </si>
  <si>
    <t>Net imports of ethanol</t>
  </si>
  <si>
    <t>http://205.254.135.24/totalenergy/data/annual/#renewable</t>
  </si>
  <si>
    <t>thous bbl</t>
  </si>
  <si>
    <t>gallons</t>
  </si>
  <si>
    <t>B gal</t>
  </si>
  <si>
    <t>Volumes (Bgal)</t>
  </si>
  <si>
    <t>Biodiesel production</t>
  </si>
  <si>
    <t>Corn Ethanol</t>
  </si>
  <si>
    <t>Net Imported Ethanol</t>
  </si>
  <si>
    <t>thous gal</t>
  </si>
  <si>
    <t>Biodiesel</t>
  </si>
  <si>
    <t>EPA, RFS2</t>
  </si>
  <si>
    <t>EPA Office of Transportation and Air Quality.  "Regulatory Announcement: EPA Finalizes Regulations for the National Renewable Fuel Standard Program for 2010 and Beyond"  EPA-420-F-10-007.  February 2010.  http://www.epa.gov/otaq/renewablefuels/420f10007.p</t>
  </si>
  <si>
    <t>Total Renewable Fuel Requirement</t>
  </si>
  <si>
    <t>Total Advanced Biofuel Requirement</t>
  </si>
  <si>
    <t>Cellulosic Biofuel Requirement</t>
  </si>
  <si>
    <t>Biomass-based Diesel Requirement</t>
  </si>
  <si>
    <t>Other Advanced Biofuels</t>
  </si>
  <si>
    <t>Difference (implied Corn Based Ethanol)</t>
  </si>
  <si>
    <t>Based on market determination by EPA Administrator for setting the cellulosic standard each year</t>
  </si>
  <si>
    <t>To be determined through a future rulemaking (but no less than 1.0 billion gallons for biomass-based diesel)</t>
  </si>
  <si>
    <t>Conversion to PJ for MARKAL global constraints</t>
  </si>
  <si>
    <t>PJ</t>
  </si>
  <si>
    <t>Cellulosic Biofuel</t>
  </si>
  <si>
    <t>Biomass-based Diesel</t>
  </si>
  <si>
    <t>AEO 2012</t>
  </si>
  <si>
    <t>E85 consumption (PJ)</t>
  </si>
  <si>
    <t>Average annual growth rate by period</t>
  </si>
  <si>
    <t>** Worksheet copied over from the BIOFUELS workbook</t>
  </si>
  <si>
    <t>Levers to represent 4 Future Scenarios for Air Quality</t>
  </si>
  <si>
    <t>Biofuels</t>
  </si>
  <si>
    <t>Bold</t>
  </si>
  <si>
    <t>setting for baseline</t>
  </si>
  <si>
    <t>2025-55</t>
  </si>
  <si>
    <t>Corn based ethanol</t>
  </si>
  <si>
    <t>RFS</t>
  </si>
  <si>
    <t>Meets RFS standard as lower bound</t>
  </si>
  <si>
    <t>20%U</t>
  </si>
  <si>
    <t>Exceeeds RFS standard by 20% by 2015 as lower bound</t>
  </si>
  <si>
    <t>20%D</t>
  </si>
  <si>
    <t>Below RFS standard by 20% by 2015 as lower bound</t>
  </si>
  <si>
    <t>CAP</t>
  </si>
  <si>
    <t>RFS as fixed bound</t>
  </si>
  <si>
    <t>Advanced biofuels</t>
  </si>
  <si>
    <t>N</t>
  </si>
  <si>
    <t>Meets RFS standard and stays</t>
  </si>
  <si>
    <t>All lower bounds</t>
  </si>
  <si>
    <t>Exceeeds RFS standard by 20% by 2025</t>
  </si>
  <si>
    <t>Below RFS standard by 20% by 2025</t>
  </si>
  <si>
    <t>No min advanced biofuel constraint</t>
  </si>
  <si>
    <t xml:space="preserve">Constraint on activity, not capacity </t>
  </si>
  <si>
    <t>Contraints for BIOF_ADV2 are based on capacity (as in base)</t>
  </si>
  <si>
    <t>Y</t>
  </si>
  <si>
    <t>Contraints for BIOF_ADV2 are based on activity</t>
  </si>
  <si>
    <t>Growth of advanced biofuels</t>
  </si>
  <si>
    <t>H</t>
  </si>
  <si>
    <t>Growth constraints for adv biofuel techs, High = 1.8</t>
  </si>
  <si>
    <t>L</t>
  </si>
  <si>
    <t>Growth constraints for adv biofuel techs, Low = 1.2</t>
  </si>
  <si>
    <t>Limited E85 distribution</t>
  </si>
  <si>
    <t>Max 25% ratio of E85 to E10/gasoline blend in each region</t>
  </si>
  <si>
    <t>Removes constraint, can maximize E85 blending in each region</t>
  </si>
  <si>
    <t>Exports and Imports of Biofuels</t>
  </si>
  <si>
    <t>* The upper bounds on ethanol imports and biodiesel exports can also be linked to the projections for the RFS2 RIA.</t>
  </si>
  <si>
    <t>CARD Variable</t>
  </si>
  <si>
    <t>Ethanol imports</t>
  </si>
  <si>
    <t>2030-2050</t>
  </si>
  <si>
    <t>Ethyl alcohol net imports, cal. yr.</t>
  </si>
  <si>
    <t>ETSIMNCL</t>
  </si>
  <si>
    <t>million gallons</t>
  </si>
  <si>
    <t>Anhydrous ethanol price, Brazil</t>
  </si>
  <si>
    <t>ETPBZAMA</t>
  </si>
  <si>
    <t>dollars per gallon</t>
  </si>
  <si>
    <t>Ethanol ad valorem tariff, cal. yr.</t>
  </si>
  <si>
    <t>ETTARV</t>
  </si>
  <si>
    <t>percent</t>
  </si>
  <si>
    <t>Ethanol specific tariff, cal. yr.</t>
  </si>
  <si>
    <t>ETTARS</t>
  </si>
  <si>
    <t>MY</t>
  </si>
  <si>
    <t>&lt;&lt; for converting from marketing year to calendar year</t>
  </si>
  <si>
    <t>Ethyl alcohol imports (gal, S-A)</t>
  </si>
  <si>
    <t>ETSIMPSA</t>
  </si>
  <si>
    <t>CY1 = (2/3)*MY0 + (1/3)*MY1</t>
  </si>
  <si>
    <t>Ethyl alcohol exports (gal, S-A)</t>
  </si>
  <si>
    <t>ETDEXPSA</t>
  </si>
  <si>
    <t>Check net imports</t>
  </si>
  <si>
    <t>CY</t>
  </si>
  <si>
    <t>Ethyl alcohol imports (CY)</t>
  </si>
  <si>
    <t>Ethyl alcohol exports (CY)</t>
  </si>
  <si>
    <t>Biodiesel Exports</t>
  </si>
  <si>
    <t>Biodiesel net exports, MY</t>
  </si>
  <si>
    <t>BDDEXN</t>
  </si>
  <si>
    <t>Biodiesel price, Germany, MY</t>
  </si>
  <si>
    <t>BDPGER</t>
  </si>
  <si>
    <t>Biodiesel net exports, CY</t>
  </si>
  <si>
    <t>Biodiesel price, Germany, CY</t>
  </si>
  <si>
    <t>Biodiesel imports, CY</t>
  </si>
  <si>
    <t>XXXX</t>
  </si>
  <si>
    <t>Biodiesel exports, CY</t>
  </si>
  <si>
    <t>MARKAL Parameter</t>
  </si>
  <si>
    <t>Price of imported (Brazilian) ethanol with ad valorem</t>
  </si>
  <si>
    <t>M$/PJ</t>
  </si>
  <si>
    <t>Ethanol specific tariff applied</t>
  </si>
  <si>
    <t>Cost of imported ethanol (sum of above)</t>
  </si>
  <si>
    <t>Cost of imported ethanol</t>
  </si>
  <si>
    <t>Global constraint for imported ethanol</t>
  </si>
  <si>
    <t>Cost of exported ethanol</t>
  </si>
  <si>
    <t>Global constraint for exported ethanol</t>
  </si>
  <si>
    <t>Cost of imported biodiesel</t>
  </si>
  <si>
    <t>Global constraint for imported biodiesel</t>
  </si>
  <si>
    <t>Cost of exported biodiesel</t>
  </si>
  <si>
    <t>Global constraint for exported biodiesel</t>
  </si>
  <si>
    <t>Note: This table is included to calibrate historic levels of fuel consumption for biofuels, specifically, E85</t>
  </si>
  <si>
    <t>Estimated Consumption of Vehicle Fuels in Native Units, by Fuel Type, 2007 - 2011</t>
  </si>
  <si>
    <t>Fuel Type</t>
  </si>
  <si>
    <t>Alternative Fuels</t>
  </si>
  <si>
    <t>Compressed Natural Gas</t>
  </si>
  <si>
    <t>million cubic feet</t>
  </si>
  <si>
    <t>Electricity</t>
  </si>
  <si>
    <t>thousand kilowatt hours</t>
  </si>
  <si>
    <t>Ethanol, 85 percent1</t>
  </si>
  <si>
    <t>thousand gallons</t>
  </si>
  <si>
    <t>Hydrogen</t>
  </si>
  <si>
    <t>thousand kilograms</t>
  </si>
  <si>
    <t>Liquefied Natural Gas</t>
  </si>
  <si>
    <t>Liquefied Petroleum Gas</t>
  </si>
  <si>
    <t>Other Fuels2</t>
  </si>
  <si>
    <t>na</t>
  </si>
  <si>
    <t>Replacement Fuels3</t>
  </si>
  <si>
    <t>326,000[R]</t>
  </si>
  <si>
    <t>263,000[R]</t>
  </si>
  <si>
    <t>Ethanol in Gasohol</t>
  </si>
  <si>
    <t>Traditional Fuels Used On-Highway</t>
  </si>
  <si>
    <t>Gasoline4</t>
  </si>
  <si>
    <t>Diesel4</t>
  </si>
  <si>
    <t>1The remaining portion of 85-percent ethanol is gasoline.  Consumption data include the gasoline portion of the fuel.</t>
  </si>
  <si>
    <t>2May include P-Series fuel or any other fuel designated by the Secretary of Energy as an alternative fuel under the Energy Policy Act of 1992.</t>
  </si>
  <si>
    <t xml:space="preserve">3MTBE and Other Oxygenates are no longer published in this table.  Highway use was assumed to be zero after 2006, since U.S. refineries and blenders voluntarily discontinued the use of MTBE in highway gasoline in mid-2006. </t>
  </si>
  <si>
    <t>4Gasoline consumption includes ethanol in gasohol.  Diesel includes biodiesel.  Gasoline and diesel values are rounded to the nearest million gallons.</t>
  </si>
  <si>
    <t>Notes:  R = Revised.</t>
  </si>
  <si>
    <t xml:space="preserve">Sources:  </t>
  </si>
  <si>
    <t>Biodiesel: U.S. Energy Information Administration, Monthly Energy Review, January 2013, Table 10.4, Consumption.</t>
  </si>
  <si>
    <t>Ethanol:  U.S. Energy Information Administration, Monthly Energy Review, January 2013 Table 10.3, Consumption.  Highway use of ethanol estimated by applying the fraction of gasoline used on-highway for each year to the ethanol quantity.</t>
  </si>
  <si>
    <t xml:space="preserve">Gasoline:  U.S. Energy Information Administration, Petroleum Supply Annual 2011 Volume 1, Table 1, Product Supplied.  The fraction of gasoline used on-highway was determined from the Federal Highway Administration`s "Highway Statistics" for 2011.  Highway use of gasoline and total use of gasoline are found in Table MF-21 for the applicable year.  Aviation gasoline use is found in Table MF-24 for the applicable year.  The fraction used for 2011 is 0.9733 and is calculated as (total highway use of gasoline)/(total use of gasoline - aviation gasoline).  </t>
  </si>
  <si>
    <t>Diesel: U.S.Energy Information Administration, Fuel Oil and Kerosene Sales 2011, Table 1, Sales of Distillate Fuel Oil, On-Highway.</t>
  </si>
  <si>
    <t>E85 (PJ)</t>
  </si>
  <si>
    <t>http://www.eia.gov/renewable/afv/?src=Renewable-b4</t>
  </si>
  <si>
    <t>ETH_CRN_AllRegions</t>
  </si>
  <si>
    <t>ETH</t>
  </si>
  <si>
    <t>XCRNETH bounds_2010</t>
  </si>
  <si>
    <t>XCRNETH bounds</t>
  </si>
  <si>
    <t>ETH_CRN_2010</t>
  </si>
  <si>
    <t>XBLNDB20</t>
  </si>
  <si>
    <t>XBLNDE10</t>
  </si>
  <si>
    <t>TRNB20</t>
  </si>
  <si>
    <t>B20 total production</t>
  </si>
  <si>
    <t>B20_AllRegions</t>
  </si>
  <si>
    <t>TRNE10</t>
  </si>
  <si>
    <t>E10 total production</t>
  </si>
  <si>
    <t>*E10_AllRegions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</si>
</sst>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4" formatCode="_(&quot;$&quot;* #,##0.00_);_(&quot;$&quot;* \(#,##0.00\);_(&quot;$&quot;* &quot;-&quot;??_);_(@_)"/>
    <numFmt numFmtId="43" formatCode="_(* #,##0.00_);_(* \(#,##0.00\);_(* &quot;-&quot;??_);_(@_)"/>
    <numFmt numFmtId="164" formatCode="_-* #,##0.00_-;\-* #,##0.00_-;_-* &quot;-&quot;??_-;_-@_-"/>
    <numFmt numFmtId="165" formatCode="0.0"/>
    <numFmt numFmtId="166" formatCode="#.00"/>
    <numFmt numFmtId="167" formatCode="#."/>
    <numFmt numFmtId="168" formatCode="m\o\n\th\ d\,\ yyyy"/>
    <numFmt numFmtId="169" formatCode="0.0000"/>
    <numFmt numFmtId="170" formatCode="0.000"/>
    <numFmt numFmtId="171" formatCode="_-&quot;$&quot;* #,##0.00_-;\-&quot;$&quot;* #,##0.00_-;_-&quot;$&quot;* &quot;-&quot;??_-;_-@_-"/>
    <numFmt numFmtId="172" formatCode="0.0%"/>
    <numFmt numFmtId="173" formatCode="_(* #,##0_);_(* \(#,##0\);_(* &quot;-&quot;??_);_(@_)"/>
  </numFmts>
  <fonts count="69" x14ac:knownFonts="1">
    <font>
      <sz val="10"/>
      <name val="Arial"/>
    </font>
    <font>
      <sz val="10"/>
      <name val="Arial"/>
      <family val="2"/>
    </font>
    <font>
      <b/>
      <sz val="10"/>
      <name val="Arial"/>
      <family val="2"/>
    </font>
    <font>
      <sz val="10"/>
      <name val="Arial"/>
      <family val="2"/>
    </font>
    <font>
      <sz val="10"/>
      <color indexed="8"/>
      <name val="Arial"/>
      <family val="2"/>
    </font>
    <font>
      <b/>
      <sz val="10"/>
      <color indexed="8"/>
      <name val="Arial"/>
      <family val="2"/>
    </font>
    <font>
      <sz val="10"/>
      <color indexed="10"/>
      <name val="Arial"/>
      <family val="2"/>
    </font>
    <font>
      <sz val="10"/>
      <color indexed="12"/>
      <name val="Arial"/>
      <family val="2"/>
    </font>
    <font>
      <b/>
      <sz val="10"/>
      <color indexed="12"/>
      <name val="Arial"/>
      <family val="2"/>
    </font>
    <font>
      <b/>
      <sz val="10"/>
      <color indexed="11"/>
      <name val="Arial"/>
      <family val="2"/>
    </font>
    <font>
      <sz val="1"/>
      <color indexed="8"/>
      <name val="Courier"/>
      <family val="3"/>
    </font>
    <font>
      <b/>
      <sz val="1"/>
      <color indexed="8"/>
      <name val="Courier"/>
      <family val="3"/>
    </font>
    <font>
      <b/>
      <sz val="10"/>
      <color indexed="20"/>
      <name val="Arial"/>
      <family val="2"/>
    </font>
    <font>
      <sz val="8"/>
      <color indexed="81"/>
      <name val="Tahoma"/>
      <family val="2"/>
    </font>
    <font>
      <sz val="10"/>
      <name val="MS Sans Serif"/>
      <family val="2"/>
    </font>
    <font>
      <sz val="11"/>
      <color indexed="8"/>
      <name val="Calibri"/>
      <family val="2"/>
    </font>
    <font>
      <sz val="10"/>
      <name val="Arial"/>
      <family val="2"/>
    </font>
    <font>
      <sz val="11"/>
      <color indexed="8"/>
      <name val="Calibri"/>
      <family val="2"/>
    </font>
    <font>
      <sz val="11"/>
      <color indexed="9"/>
      <name val="Calibri"/>
      <family val="2"/>
    </font>
    <font>
      <sz val="11"/>
      <color indexed="20"/>
      <name val="Calibri"/>
      <family val="2"/>
    </font>
    <font>
      <b/>
      <sz val="11"/>
      <color indexed="9"/>
      <name val="Calibri"/>
      <family val="2"/>
    </font>
    <font>
      <i/>
      <sz val="11"/>
      <color indexed="23"/>
      <name val="Calibri"/>
      <family val="2"/>
    </font>
    <font>
      <sz val="11"/>
      <color indexed="17"/>
      <name val="Calibri"/>
      <family val="2"/>
    </font>
    <font>
      <sz val="11"/>
      <color indexed="62"/>
      <name val="Calibri"/>
      <family val="2"/>
    </font>
    <font>
      <sz val="11"/>
      <color indexed="10"/>
      <name val="Calibri"/>
      <family val="2"/>
    </font>
    <font>
      <b/>
      <sz val="11"/>
      <color indexed="63"/>
      <name val="Calibri"/>
      <family val="2"/>
    </font>
    <font>
      <sz val="11"/>
      <color theme="1"/>
      <name val="Calibri"/>
      <family val="2"/>
      <scheme val="minor"/>
    </font>
    <font>
      <sz val="11"/>
      <color theme="0"/>
      <name val="Calibri"/>
      <family val="2"/>
      <scheme val="minor"/>
    </font>
    <font>
      <sz val="11"/>
      <color rgb="FF9C0006"/>
      <name val="Calibri"/>
      <family val="2"/>
      <scheme val="minor"/>
    </font>
    <font>
      <sz val="11"/>
      <color rgb="FF3F3F76"/>
      <name val="Calibri"/>
      <family val="2"/>
      <scheme val="minor"/>
    </font>
    <font>
      <sz val="11"/>
      <color rgb="FF9C6500"/>
      <name val="Calibri"/>
      <family val="2"/>
      <scheme val="minor"/>
    </font>
    <font>
      <sz val="11"/>
      <color theme="1"/>
      <name val="Calibri"/>
      <family val="2"/>
    </font>
    <font>
      <b/>
      <sz val="10"/>
      <color rgb="FF800080"/>
      <name val="Arial"/>
      <family val="2"/>
    </font>
    <font>
      <sz val="10"/>
      <color rgb="FF0000FF"/>
      <name val="Arial"/>
      <family val="2"/>
    </font>
    <font>
      <b/>
      <sz val="11"/>
      <color indexed="52"/>
      <name val="Calibri"/>
      <family val="2"/>
    </font>
    <font>
      <b/>
      <sz val="15"/>
      <color indexed="56"/>
      <name val="Calibri"/>
      <family val="2"/>
    </font>
    <font>
      <b/>
      <sz val="13"/>
      <color indexed="56"/>
      <name val="Calibri"/>
      <family val="2"/>
    </font>
    <font>
      <b/>
      <sz val="11"/>
      <color indexed="56"/>
      <name val="Calibri"/>
      <family val="2"/>
    </font>
    <font>
      <sz val="11"/>
      <color indexed="52"/>
      <name val="Calibri"/>
      <family val="2"/>
    </font>
    <font>
      <sz val="11"/>
      <color indexed="60"/>
      <name val="Calibri"/>
      <family val="2"/>
    </font>
    <font>
      <b/>
      <sz val="18"/>
      <color indexed="56"/>
      <name val="Cambria"/>
      <family val="2"/>
    </font>
    <font>
      <b/>
      <sz val="11"/>
      <color indexed="8"/>
      <name val="Calibri"/>
      <family val="2"/>
    </font>
    <font>
      <sz val="10"/>
      <color indexed="20"/>
      <name val="Arial"/>
      <family val="2"/>
    </font>
    <font>
      <sz val="10"/>
      <color rgb="FF800080"/>
      <name val="Arial"/>
      <family val="2"/>
    </font>
    <font>
      <sz val="10"/>
      <name val="Arial"/>
    </font>
    <font>
      <sz val="11"/>
      <color rgb="FFFF0000"/>
      <name val="Calibri"/>
      <family val="2"/>
      <scheme val="minor"/>
    </font>
    <font>
      <b/>
      <sz val="16"/>
      <name val="Calibri"/>
      <family val="2"/>
      <scheme val="minor"/>
    </font>
    <font>
      <sz val="11"/>
      <name val="Calibri"/>
      <family val="2"/>
      <scheme val="minor"/>
    </font>
    <font>
      <b/>
      <sz val="12"/>
      <name val="Calibri"/>
      <family val="2"/>
      <scheme val="minor"/>
    </font>
    <font>
      <i/>
      <sz val="11"/>
      <name val="Calibri"/>
      <family val="2"/>
      <scheme val="minor"/>
    </font>
    <font>
      <sz val="11"/>
      <color rgb="FF333333"/>
      <name val="Calibri"/>
      <family val="2"/>
      <scheme val="minor"/>
    </font>
    <font>
      <u/>
      <sz val="10"/>
      <color indexed="12"/>
      <name val="Arial"/>
      <family val="2"/>
    </font>
    <font>
      <u/>
      <sz val="11"/>
      <color indexed="12"/>
      <name val="Calibri"/>
      <family val="2"/>
      <scheme val="minor"/>
    </font>
    <font>
      <b/>
      <sz val="11"/>
      <name val="Calibri"/>
      <family val="2"/>
      <scheme val="minor"/>
    </font>
    <font>
      <b/>
      <i/>
      <sz val="11"/>
      <name val="Calibri"/>
      <family val="2"/>
      <scheme val="minor"/>
    </font>
    <font>
      <sz val="10"/>
      <name val="Calibri"/>
      <family val="2"/>
      <scheme val="minor"/>
    </font>
    <font>
      <b/>
      <sz val="10"/>
      <name val="Calibri"/>
      <family val="2"/>
      <scheme val="minor"/>
    </font>
    <font>
      <i/>
      <sz val="10"/>
      <name val="Calibri"/>
      <family val="2"/>
      <scheme val="minor"/>
    </font>
    <font>
      <b/>
      <sz val="14"/>
      <name val="Calibri"/>
      <family val="2"/>
      <scheme val="minor"/>
    </font>
    <font>
      <b/>
      <sz val="12"/>
      <color theme="4"/>
      <name val="Calibri"/>
      <family val="2"/>
      <scheme val="minor"/>
    </font>
    <font>
      <b/>
      <sz val="9"/>
      <color theme="1"/>
      <name val="Calibri"/>
      <family val="2"/>
      <scheme val="minor"/>
    </font>
    <font>
      <sz val="9"/>
      <color theme="1"/>
      <name val="Calibri"/>
      <family val="2"/>
      <scheme val="minor"/>
    </font>
    <font>
      <b/>
      <vertAlign val="superscript"/>
      <sz val="9"/>
      <color theme="1"/>
      <name val="Calibri"/>
      <family val="2"/>
      <scheme val="minor"/>
    </font>
    <font>
      <sz val="9"/>
      <color indexed="8"/>
      <name val="Calibri"/>
      <family val="2"/>
      <scheme val="minor"/>
    </font>
    <font>
      <vertAlign val="superscript"/>
      <sz val="9"/>
      <color indexed="8"/>
      <name val="Calibri"/>
      <family val="2"/>
      <scheme val="minor"/>
    </font>
    <font>
      <b/>
      <sz val="9"/>
      <color indexed="8"/>
      <name val="Calibri"/>
      <family val="2"/>
      <scheme val="minor"/>
    </font>
    <font>
      <u/>
      <sz val="10"/>
      <color indexed="12"/>
      <name val="Calibri"/>
      <family val="2"/>
      <scheme val="minor"/>
    </font>
    <font>
      <sz val="8"/>
      <name val="Arial"/>
    </font>
    <font>
      <b/>
      <sz val="11"/>
      <name val="Calibri"/>
      <family val="2"/>
    </font>
  </fonts>
  <fills count="45">
    <fill>
      <patternFill patternType="none"/>
    </fill>
    <fill>
      <patternFill patternType="gray125"/>
    </fill>
    <fill>
      <patternFill patternType="solid">
        <fgColor indexed="44"/>
      </patternFill>
    </fill>
    <fill>
      <patternFill patternType="solid">
        <fgColor indexed="29"/>
      </patternFill>
    </fill>
    <fill>
      <patternFill patternType="solid">
        <fgColor indexed="26"/>
      </patternFill>
    </fill>
    <fill>
      <patternFill patternType="solid">
        <fgColor indexed="47"/>
      </patternFill>
    </fill>
    <fill>
      <patternFill patternType="solid">
        <fgColor indexed="27"/>
      </patternFill>
    </fill>
    <fill>
      <patternFill patternType="solid">
        <fgColor indexed="43"/>
      </patternFill>
    </fill>
    <fill>
      <patternFill patternType="solid">
        <fgColor indexed="45"/>
      </patternFill>
    </fill>
    <fill>
      <patternFill patternType="solid">
        <fgColor indexed="53"/>
      </patternFill>
    </fill>
    <fill>
      <patternFill patternType="solid">
        <fgColor indexed="51"/>
      </patternFill>
    </fill>
    <fill>
      <patternFill patternType="solid">
        <fgColor indexed="49"/>
      </patternFill>
    </fill>
    <fill>
      <patternFill patternType="solid">
        <fgColor indexed="10"/>
      </patternFill>
    </fill>
    <fill>
      <patternFill patternType="solid">
        <fgColor indexed="46"/>
      </patternFill>
    </fill>
    <fill>
      <patternFill patternType="solid">
        <fgColor indexed="55"/>
      </patternFill>
    </fill>
    <fill>
      <patternFill patternType="solid">
        <fgColor indexed="9"/>
        <bgColor indexed="64"/>
      </patternFill>
    </fill>
    <fill>
      <patternFill patternType="solid">
        <fgColor theme="6" tint="0.59999389629810485"/>
        <bgColor indexed="65"/>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rgb="FFFFC7CE"/>
      </patternFill>
    </fill>
    <fill>
      <patternFill patternType="solid">
        <fgColor rgb="FFFFCC99"/>
      </patternFill>
    </fill>
    <fill>
      <patternFill patternType="solid">
        <fgColor rgb="FFFFEB9C"/>
      </patternFill>
    </fill>
    <fill>
      <patternFill patternType="solid">
        <fgColor rgb="FFFFFF00"/>
        <bgColor indexed="64"/>
      </patternFill>
    </fill>
    <fill>
      <patternFill patternType="solid">
        <fgColor indexed="31"/>
      </patternFill>
    </fill>
    <fill>
      <patternFill patternType="solid">
        <fgColor indexed="42"/>
      </patternFill>
    </fill>
    <fill>
      <patternFill patternType="solid">
        <fgColor indexed="11"/>
      </patternFill>
    </fill>
    <fill>
      <patternFill patternType="solid">
        <fgColor indexed="30"/>
      </patternFill>
    </fill>
    <fill>
      <patternFill patternType="solid">
        <fgColor indexed="36"/>
      </patternFill>
    </fill>
    <fill>
      <patternFill patternType="solid">
        <fgColor indexed="52"/>
      </patternFill>
    </fill>
    <fill>
      <patternFill patternType="solid">
        <fgColor indexed="62"/>
      </patternFill>
    </fill>
    <fill>
      <patternFill patternType="solid">
        <fgColor indexed="57"/>
      </patternFill>
    </fill>
    <fill>
      <patternFill patternType="solid">
        <fgColor indexed="22"/>
      </patternFill>
    </fill>
    <fill>
      <patternFill patternType="solid">
        <fgColor indexed="43"/>
        <bgColor indexed="64"/>
      </patternFill>
    </fill>
    <fill>
      <patternFill patternType="solid">
        <fgColor theme="0" tint="-0.14999847407452621"/>
        <bgColor indexed="64"/>
      </patternFill>
    </fill>
    <fill>
      <patternFill patternType="solid">
        <fgColor rgb="FFFFC000"/>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rgb="FF00B0F0"/>
        <bgColor indexed="64"/>
      </patternFill>
    </fill>
    <fill>
      <patternFill patternType="solid">
        <fgColor rgb="FF92D050"/>
        <bgColor indexed="64"/>
      </patternFill>
    </fill>
    <fill>
      <patternFill patternType="solid">
        <fgColor indexed="42"/>
        <bgColor indexed="64"/>
      </patternFill>
    </fill>
    <fill>
      <patternFill patternType="solid">
        <fgColor indexed="45"/>
        <bgColor indexed="64"/>
      </patternFill>
    </fill>
    <fill>
      <patternFill patternType="solid">
        <fgColor indexed="44"/>
        <bgColor indexed="64"/>
      </patternFill>
    </fill>
    <fill>
      <patternFill patternType="solid">
        <fgColor indexed="13"/>
        <bgColor indexed="64"/>
      </patternFill>
    </fill>
  </fills>
  <borders count="33">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4"/>
      </top>
      <bottom style="double">
        <color indexed="64"/>
      </bottom>
      <diagonal/>
    </border>
    <border>
      <left style="thin">
        <color rgb="FF7F7F7F"/>
      </left>
      <right style="thin">
        <color rgb="FF7F7F7F"/>
      </right>
      <top style="thin">
        <color rgb="FF7F7F7F"/>
      </top>
      <bottom style="thin">
        <color rgb="FF7F7F7F"/>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right/>
      <top style="thin">
        <color indexed="62"/>
      </top>
      <bottom style="double">
        <color indexed="62"/>
      </bottom>
      <diagonal/>
    </border>
    <border>
      <left/>
      <right/>
      <top style="thin">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4"/>
      </top>
      <bottom style="thin">
        <color theme="0" tint="-0.24994659260841701"/>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84">
    <xf numFmtId="0" fontId="0" fillId="0" borderId="0"/>
    <xf numFmtId="0" fontId="26" fillId="16" borderId="0" applyNumberFormat="0" applyBorder="0" applyAlignment="0" applyProtection="0"/>
    <xf numFmtId="0" fontId="27" fillId="17" borderId="0" applyNumberFormat="0" applyBorder="0" applyAlignment="0" applyProtection="0"/>
    <xf numFmtId="0" fontId="27" fillId="18" borderId="0" applyNumberFormat="0" applyBorder="0" applyAlignment="0" applyProtection="0"/>
    <xf numFmtId="0" fontId="27" fillId="19" borderId="0" applyNumberFormat="0" applyBorder="0" applyAlignment="0" applyProtection="0"/>
    <xf numFmtId="0" fontId="27" fillId="20" borderId="0" applyNumberFormat="0" applyBorder="0" applyAlignment="0" applyProtection="0"/>
    <xf numFmtId="0" fontId="28" fillId="21" borderId="0" applyNumberFormat="0" applyBorder="0" applyAlignment="0" applyProtection="0"/>
    <xf numFmtId="164" fontId="3" fillId="0" borderId="0" applyFont="0" applyFill="0" applyBorder="0" applyAlignment="0" applyProtection="0"/>
    <xf numFmtId="43" fontId="26" fillId="0" borderId="0" applyFont="0" applyFill="0" applyBorder="0" applyAlignment="0" applyProtection="0"/>
    <xf numFmtId="164" fontId="3" fillId="0" borderId="0" applyFont="0" applyFill="0" applyBorder="0" applyAlignment="0" applyProtection="0"/>
    <xf numFmtId="168" fontId="10" fillId="0" borderId="0">
      <protection locked="0"/>
    </xf>
    <xf numFmtId="166" fontId="10" fillId="0" borderId="0">
      <protection locked="0"/>
    </xf>
    <xf numFmtId="167" fontId="11" fillId="0" borderId="0">
      <protection locked="0"/>
    </xf>
    <xf numFmtId="167" fontId="11" fillId="0" borderId="0">
      <protection locked="0"/>
    </xf>
    <xf numFmtId="0" fontId="29" fillId="22" borderId="6" applyNumberFormat="0" applyAlignment="0" applyProtection="0"/>
    <xf numFmtId="0" fontId="30" fillId="23" borderId="0" applyNumberFormat="0" applyBorder="0" applyAlignment="0" applyProtection="0"/>
    <xf numFmtId="0" fontId="3" fillId="0" borderId="0"/>
    <xf numFmtId="0" fontId="3" fillId="0" borderId="0"/>
    <xf numFmtId="0" fontId="3" fillId="0" borderId="0"/>
    <xf numFmtId="0" fontId="14" fillId="0" borderId="0"/>
    <xf numFmtId="0" fontId="3" fillId="0" borderId="0"/>
    <xf numFmtId="0" fontId="31" fillId="0" borderId="0"/>
    <xf numFmtId="0" fontId="26" fillId="0" borderId="0"/>
    <xf numFmtId="0" fontId="3" fillId="0" borderId="0"/>
    <xf numFmtId="0" fontId="26" fillId="0" borderId="0"/>
    <xf numFmtId="0" fontId="26" fillId="0" borderId="0"/>
    <xf numFmtId="0" fontId="26" fillId="0" borderId="0"/>
    <xf numFmtId="0" fontId="26" fillId="0" borderId="0"/>
    <xf numFmtId="0" fontId="26"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167" fontId="10" fillId="0" borderId="5">
      <protection locked="0"/>
    </xf>
    <xf numFmtId="167" fontId="10" fillId="0" borderId="5">
      <protection locked="0"/>
    </xf>
    <xf numFmtId="0" fontId="17" fillId="25" borderId="0" applyNumberFormat="0" applyBorder="0" applyAlignment="0" applyProtection="0"/>
    <xf numFmtId="0" fontId="17" fillId="8" borderId="0" applyNumberFormat="0" applyBorder="0" applyAlignment="0" applyProtection="0"/>
    <xf numFmtId="0" fontId="17" fillId="26" borderId="0" applyNumberFormat="0" applyBorder="0" applyAlignment="0" applyProtection="0"/>
    <xf numFmtId="0" fontId="17" fillId="13" borderId="0" applyNumberFormat="0" applyBorder="0" applyAlignment="0" applyProtection="0"/>
    <xf numFmtId="0" fontId="17" fillId="6" borderId="0" applyNumberFormat="0" applyBorder="0" applyAlignment="0" applyProtection="0"/>
    <xf numFmtId="0" fontId="17" fillId="5" borderId="0" applyNumberFormat="0" applyBorder="0" applyAlignment="0" applyProtection="0"/>
    <xf numFmtId="0" fontId="17" fillId="2" borderId="0" applyNumberFormat="0" applyBorder="0" applyAlignment="0" applyProtection="0"/>
    <xf numFmtId="0" fontId="17" fillId="3" borderId="0" applyNumberFormat="0" applyBorder="0" applyAlignment="0" applyProtection="0"/>
    <xf numFmtId="0" fontId="17" fillId="27" borderId="0" applyNumberFormat="0" applyBorder="0" applyAlignment="0" applyProtection="0"/>
    <xf numFmtId="0" fontId="17" fillId="13" borderId="0" applyNumberFormat="0" applyBorder="0" applyAlignment="0" applyProtection="0"/>
    <xf numFmtId="0" fontId="17" fillId="2" borderId="0" applyNumberFormat="0" applyBorder="0" applyAlignment="0" applyProtection="0"/>
    <xf numFmtId="0" fontId="17" fillId="10" borderId="0" applyNumberFormat="0" applyBorder="0" applyAlignment="0" applyProtection="0"/>
    <xf numFmtId="0" fontId="18" fillId="28" borderId="0" applyNumberFormat="0" applyBorder="0" applyAlignment="0" applyProtection="0"/>
    <xf numFmtId="0" fontId="18" fillId="3" borderId="0" applyNumberFormat="0" applyBorder="0" applyAlignment="0" applyProtection="0"/>
    <xf numFmtId="0" fontId="18" fillId="27" borderId="0" applyNumberFormat="0" applyBorder="0" applyAlignment="0" applyProtection="0"/>
    <xf numFmtId="0" fontId="18" fillId="29" borderId="0" applyNumberFormat="0" applyBorder="0" applyAlignment="0" applyProtection="0"/>
    <xf numFmtId="0" fontId="18" fillId="11" borderId="0" applyNumberFormat="0" applyBorder="0" applyAlignment="0" applyProtection="0"/>
    <xf numFmtId="0" fontId="18" fillId="30" borderId="0" applyNumberFormat="0" applyBorder="0" applyAlignment="0" applyProtection="0"/>
    <xf numFmtId="0" fontId="18" fillId="31" borderId="0" applyNumberFormat="0" applyBorder="0" applyAlignment="0" applyProtection="0"/>
    <xf numFmtId="0" fontId="18" fillId="12" borderId="0" applyNumberFormat="0" applyBorder="0" applyAlignment="0" applyProtection="0"/>
    <xf numFmtId="0" fontId="18" fillId="32" borderId="0" applyNumberFormat="0" applyBorder="0" applyAlignment="0" applyProtection="0"/>
    <xf numFmtId="0" fontId="18" fillId="29" borderId="0" applyNumberFormat="0" applyBorder="0" applyAlignment="0" applyProtection="0"/>
    <xf numFmtId="0" fontId="18" fillId="11" borderId="0" applyNumberFormat="0" applyBorder="0" applyAlignment="0" applyProtection="0"/>
    <xf numFmtId="0" fontId="18" fillId="9" borderId="0" applyNumberFormat="0" applyBorder="0" applyAlignment="0" applyProtection="0"/>
    <xf numFmtId="0" fontId="19" fillId="8" borderId="0" applyNumberFormat="0" applyBorder="0" applyAlignment="0" applyProtection="0"/>
    <xf numFmtId="0" fontId="34" fillId="33" borderId="1" applyNumberFormat="0" applyAlignment="0" applyProtection="0"/>
    <xf numFmtId="0" fontId="20" fillId="14" borderId="2" applyNumberFormat="0" applyAlignment="0" applyProtection="0"/>
    <xf numFmtId="43" fontId="16" fillId="0" borderId="0" applyFont="0" applyFill="0" applyBorder="0" applyAlignment="0" applyProtection="0"/>
    <xf numFmtId="0" fontId="21" fillId="0" borderId="0" applyNumberFormat="0" applyFill="0" applyBorder="0" applyAlignment="0" applyProtection="0"/>
    <xf numFmtId="0" fontId="22" fillId="26" borderId="0" applyNumberFormat="0" applyBorder="0" applyAlignment="0" applyProtection="0"/>
    <xf numFmtId="0" fontId="35" fillId="0" borderId="7" applyNumberFormat="0" applyFill="0" applyAlignment="0" applyProtection="0"/>
    <xf numFmtId="0" fontId="36" fillId="0" borderId="8" applyNumberFormat="0" applyFill="0" applyAlignment="0" applyProtection="0"/>
    <xf numFmtId="0" fontId="37" fillId="0" borderId="9" applyNumberFormat="0" applyFill="0" applyAlignment="0" applyProtection="0"/>
    <xf numFmtId="0" fontId="37" fillId="0" borderId="0" applyNumberFormat="0" applyFill="0" applyBorder="0" applyAlignment="0" applyProtection="0"/>
    <xf numFmtId="0" fontId="23" fillId="5" borderId="1" applyNumberFormat="0" applyAlignment="0" applyProtection="0"/>
    <xf numFmtId="0" fontId="38" fillId="0" borderId="10" applyNumberFormat="0" applyFill="0" applyAlignment="0" applyProtection="0"/>
    <xf numFmtId="0" fontId="39" fillId="7" borderId="0" applyNumberFormat="0" applyBorder="0" applyAlignment="0" applyProtection="0"/>
    <xf numFmtId="0" fontId="3" fillId="4" borderId="3" applyNumberFormat="0" applyFont="0" applyAlignment="0" applyProtection="0"/>
    <xf numFmtId="0" fontId="25" fillId="33" borderId="4" applyNumberFormat="0" applyAlignment="0" applyProtection="0"/>
    <xf numFmtId="0" fontId="40" fillId="0" borderId="0" applyNumberFormat="0" applyFill="0" applyBorder="0" applyAlignment="0" applyProtection="0"/>
    <xf numFmtId="0" fontId="41" fillId="0" borderId="11" applyNumberFormat="0" applyFill="0" applyAlignment="0" applyProtection="0"/>
    <xf numFmtId="0" fontId="24" fillId="0" borderId="0" applyNumberFormat="0" applyFill="0" applyBorder="0" applyAlignment="0" applyProtection="0"/>
    <xf numFmtId="0" fontId="15" fillId="0" borderId="0"/>
    <xf numFmtId="43" fontId="44" fillId="0" borderId="0" applyFont="0" applyFill="0" applyBorder="0" applyAlignment="0" applyProtection="0"/>
    <xf numFmtId="44" fontId="44" fillId="0" borderId="0" applyFont="0" applyFill="0" applyBorder="0" applyAlignment="0" applyProtection="0"/>
    <xf numFmtId="9" fontId="44" fillId="0" borderId="0" applyFont="0" applyFill="0" applyBorder="0" applyAlignment="0" applyProtection="0"/>
    <xf numFmtId="0" fontId="51" fillId="0" borderId="0" applyNumberFormat="0" applyFill="0" applyBorder="0" applyAlignment="0" applyProtection="0">
      <alignment vertical="top"/>
      <protection locked="0"/>
    </xf>
    <xf numFmtId="0" fontId="59" fillId="0" borderId="0" applyNumberFormat="0" applyProtection="0">
      <alignment horizontal="left"/>
    </xf>
    <xf numFmtId="0" fontId="60" fillId="0" borderId="28" applyNumberFormat="0" applyFill="0" applyProtection="0">
      <alignment wrapText="1"/>
    </xf>
    <xf numFmtId="0" fontId="1" fillId="0" borderId="0"/>
  </cellStyleXfs>
  <cellXfs count="199">
    <xf numFmtId="0" fontId="0" fillId="0" borderId="0" xfId="0"/>
    <xf numFmtId="0" fontId="2" fillId="0" borderId="0" xfId="0" applyFont="1"/>
    <xf numFmtId="0" fontId="3" fillId="0" borderId="0" xfId="0" applyFont="1"/>
    <xf numFmtId="0" fontId="4" fillId="0" borderId="0" xfId="0" applyFont="1"/>
    <xf numFmtId="0" fontId="5" fillId="0" borderId="0" xfId="0" applyFont="1"/>
    <xf numFmtId="0" fontId="0" fillId="15" borderId="0" xfId="0" applyFill="1"/>
    <xf numFmtId="0" fontId="6" fillId="0" borderId="0" xfId="0" applyFont="1"/>
    <xf numFmtId="0" fontId="4" fillId="0" borderId="0" xfId="0" applyFont="1" applyFill="1"/>
    <xf numFmtId="49" fontId="4" fillId="0" borderId="0" xfId="0" applyNumberFormat="1" applyFont="1" applyFill="1"/>
    <xf numFmtId="11" fontId="4" fillId="0" borderId="0" xfId="0" applyNumberFormat="1" applyFont="1" applyFill="1"/>
    <xf numFmtId="0" fontId="4" fillId="0" borderId="0" xfId="0" applyNumberFormat="1" applyFont="1" applyFill="1"/>
    <xf numFmtId="0" fontId="0" fillId="0" borderId="0" xfId="0" applyFill="1"/>
    <xf numFmtId="0" fontId="7" fillId="0" borderId="0" xfId="0" applyFont="1"/>
    <xf numFmtId="0" fontId="7" fillId="0" borderId="0" xfId="0" applyFont="1" applyFill="1"/>
    <xf numFmtId="0" fontId="8" fillId="0" borderId="0" xfId="0" applyFont="1" applyFill="1"/>
    <xf numFmtId="49" fontId="7" fillId="0" borderId="0" xfId="0" applyNumberFormat="1" applyFont="1" applyFill="1"/>
    <xf numFmtId="0" fontId="9" fillId="0" borderId="0" xfId="0" applyFont="1" applyFill="1"/>
    <xf numFmtId="0" fontId="0" fillId="0" borderId="0" xfId="0"/>
    <xf numFmtId="0" fontId="1" fillId="0" borderId="0" xfId="0" applyFont="1"/>
    <xf numFmtId="0" fontId="2" fillId="0" borderId="0" xfId="0" applyFont="1" applyAlignment="1">
      <alignment horizontal="left"/>
    </xf>
    <xf numFmtId="0" fontId="2" fillId="0" borderId="0" xfId="0" applyFont="1" applyAlignment="1">
      <alignment horizontal="center"/>
    </xf>
    <xf numFmtId="0" fontId="1" fillId="34" borderId="12" xfId="0" applyFont="1" applyFill="1" applyBorder="1"/>
    <xf numFmtId="0" fontId="0" fillId="0" borderId="0" xfId="0" applyAlignment="1">
      <alignment horizontal="center"/>
    </xf>
    <xf numFmtId="0" fontId="32" fillId="0" borderId="0" xfId="0" applyFont="1" applyFill="1" applyAlignment="1">
      <alignment horizontal="center" wrapText="1"/>
    </xf>
    <xf numFmtId="0" fontId="12" fillId="0" borderId="0" xfId="0" applyFont="1" applyFill="1" applyAlignment="1">
      <alignment horizontal="center" wrapText="1"/>
    </xf>
    <xf numFmtId="0" fontId="4" fillId="0" borderId="0" xfId="0" applyFont="1" applyFill="1" applyAlignment="1">
      <alignment horizontal="center"/>
    </xf>
    <xf numFmtId="0" fontId="0" fillId="0" borderId="0" xfId="0" applyFill="1" applyAlignment="1">
      <alignment horizontal="center"/>
    </xf>
    <xf numFmtId="0" fontId="1" fillId="0" borderId="0" xfId="0" applyFont="1" applyFill="1"/>
    <xf numFmtId="2" fontId="0" fillId="0" borderId="0" xfId="0" applyNumberFormat="1" applyFill="1"/>
    <xf numFmtId="0" fontId="33" fillId="0" borderId="0" xfId="0" applyFont="1" applyFill="1"/>
    <xf numFmtId="0" fontId="42" fillId="0" borderId="0" xfId="0" applyFont="1" applyFill="1"/>
    <xf numFmtId="0" fontId="33" fillId="0" borderId="0" xfId="0" applyFont="1"/>
    <xf numFmtId="0" fontId="43" fillId="0" borderId="0" xfId="0" applyFont="1" applyFill="1"/>
    <xf numFmtId="2" fontId="0" fillId="0" borderId="0" xfId="0" applyNumberFormat="1"/>
    <xf numFmtId="0" fontId="0" fillId="37" borderId="0" xfId="0" applyFill="1" applyAlignment="1">
      <alignment horizontal="center"/>
    </xf>
    <xf numFmtId="0" fontId="0" fillId="37" borderId="0" xfId="0" applyFill="1"/>
    <xf numFmtId="0" fontId="12" fillId="37" borderId="0" xfId="0" applyFont="1" applyFill="1" applyAlignment="1">
      <alignment horizontal="center" wrapText="1"/>
    </xf>
    <xf numFmtId="0" fontId="4" fillId="37" borderId="0" xfId="0" applyFont="1" applyFill="1" applyAlignment="1">
      <alignment horizontal="center"/>
    </xf>
    <xf numFmtId="0" fontId="1" fillId="37" borderId="0" xfId="0" applyFont="1" applyFill="1"/>
    <xf numFmtId="2" fontId="0" fillId="37" borderId="0" xfId="0" applyNumberFormat="1" applyFill="1"/>
    <xf numFmtId="2" fontId="0" fillId="38" borderId="0" xfId="0" applyNumberFormat="1" applyFill="1"/>
    <xf numFmtId="2" fontId="1" fillId="38" borderId="0" xfId="0" applyNumberFormat="1" applyFont="1" applyFill="1"/>
    <xf numFmtId="0" fontId="46" fillId="39" borderId="0" xfId="0" applyFont="1" applyFill="1"/>
    <xf numFmtId="0" fontId="47" fillId="39" borderId="0" xfId="0" applyFont="1" applyFill="1"/>
    <xf numFmtId="0" fontId="48" fillId="39" borderId="0" xfId="0" applyFont="1" applyFill="1"/>
    <xf numFmtId="0" fontId="49" fillId="0" borderId="0" xfId="0" applyFont="1"/>
    <xf numFmtId="0" fontId="47" fillId="0" borderId="0" xfId="0" applyFont="1"/>
    <xf numFmtId="0" fontId="50" fillId="0" borderId="0" xfId="0" applyFont="1"/>
    <xf numFmtId="0" fontId="52" fillId="0" borderId="0" xfId="80" applyFont="1" applyAlignment="1" applyProtection="1"/>
    <xf numFmtId="0" fontId="47" fillId="0" borderId="13" xfId="0" applyFont="1" applyBorder="1" applyAlignment="1">
      <alignment horizontal="center"/>
    </xf>
    <xf numFmtId="0" fontId="47" fillId="0" borderId="14" xfId="0" applyFont="1" applyBorder="1" applyAlignment="1">
      <alignment horizontal="center"/>
    </xf>
    <xf numFmtId="0" fontId="47" fillId="0" borderId="15" xfId="0" applyFont="1" applyBorder="1" applyAlignment="1">
      <alignment horizontal="center"/>
    </xf>
    <xf numFmtId="2" fontId="47" fillId="0" borderId="16" xfId="77" applyNumberFormat="1" applyFont="1" applyFill="1" applyBorder="1" applyAlignment="1">
      <alignment horizontal="right"/>
    </xf>
    <xf numFmtId="0" fontId="47" fillId="0" borderId="13" xfId="0" applyFont="1" applyBorder="1"/>
    <xf numFmtId="0" fontId="47" fillId="0" borderId="14" xfId="0" applyFont="1" applyBorder="1"/>
    <xf numFmtId="0" fontId="47" fillId="0" borderId="15" xfId="0" applyFont="1" applyBorder="1"/>
    <xf numFmtId="0" fontId="47" fillId="0" borderId="16" xfId="0" applyFont="1" applyBorder="1"/>
    <xf numFmtId="0" fontId="47" fillId="0" borderId="17" xfId="0" applyFont="1" applyBorder="1"/>
    <xf numFmtId="2" fontId="47" fillId="0" borderId="18" xfId="0" applyNumberFormat="1" applyFont="1" applyBorder="1" applyAlignment="1">
      <alignment horizontal="right"/>
    </xf>
    <xf numFmtId="170" fontId="47" fillId="0" borderId="18" xfId="0" applyNumberFormat="1" applyFont="1" applyBorder="1"/>
    <xf numFmtId="170" fontId="47" fillId="0" borderId="19" xfId="0" applyNumberFormat="1" applyFont="1" applyBorder="1"/>
    <xf numFmtId="170" fontId="47" fillId="0" borderId="20" xfId="0" applyNumberFormat="1" applyFont="1" applyBorder="1"/>
    <xf numFmtId="0" fontId="53" fillId="0" borderId="0" xfId="0" applyFont="1"/>
    <xf numFmtId="0" fontId="47" fillId="0" borderId="21" xfId="0" applyFont="1" applyBorder="1"/>
    <xf numFmtId="0" fontId="47" fillId="24" borderId="21" xfId="0" applyFont="1" applyFill="1" applyBorder="1"/>
    <xf numFmtId="2" fontId="47" fillId="0" borderId="13" xfId="0" applyNumberFormat="1" applyFont="1" applyBorder="1"/>
    <xf numFmtId="2" fontId="47" fillId="0" borderId="14" xfId="0" applyNumberFormat="1" applyFont="1" applyBorder="1"/>
    <xf numFmtId="2" fontId="47" fillId="0" borderId="15" xfId="0" applyNumberFormat="1" applyFont="1" applyBorder="1"/>
    <xf numFmtId="0" fontId="47" fillId="24" borderId="22" xfId="0" applyFont="1" applyFill="1" applyBorder="1"/>
    <xf numFmtId="2" fontId="47" fillId="0" borderId="16" xfId="0" applyNumberFormat="1" applyFont="1" applyBorder="1"/>
    <xf numFmtId="2" fontId="47" fillId="0" borderId="0" xfId="0" applyNumberFormat="1" applyFont="1"/>
    <xf numFmtId="2" fontId="47" fillId="0" borderId="17" xfId="0" applyNumberFormat="1" applyFont="1" applyBorder="1"/>
    <xf numFmtId="0" fontId="47" fillId="24" borderId="23" xfId="0" applyFont="1" applyFill="1" applyBorder="1"/>
    <xf numFmtId="0" fontId="47" fillId="0" borderId="19" xfId="0" applyFont="1" applyBorder="1"/>
    <xf numFmtId="0" fontId="47" fillId="0" borderId="18" xfId="0" applyFont="1" applyBorder="1"/>
    <xf numFmtId="11" fontId="47" fillId="0" borderId="19" xfId="0" applyNumberFormat="1" applyFont="1" applyBorder="1"/>
    <xf numFmtId="11" fontId="47" fillId="0" borderId="20" xfId="0" applyNumberFormat="1" applyFont="1" applyBorder="1"/>
    <xf numFmtId="0" fontId="54" fillId="0" borderId="0" xfId="0" applyFont="1"/>
    <xf numFmtId="2" fontId="49" fillId="0" borderId="0" xfId="0" applyNumberFormat="1" applyFont="1"/>
    <xf numFmtId="0" fontId="53" fillId="0" borderId="24" xfId="0" applyFont="1" applyBorder="1"/>
    <xf numFmtId="0" fontId="47" fillId="0" borderId="25" xfId="0" applyFont="1" applyBorder="1" applyAlignment="1">
      <alignment horizontal="center"/>
    </xf>
    <xf numFmtId="0" fontId="47" fillId="0" borderId="24" xfId="0" applyFont="1" applyBorder="1" applyAlignment="1">
      <alignment horizontal="center"/>
    </xf>
    <xf numFmtId="0" fontId="47" fillId="24" borderId="0" xfId="0" applyFont="1" applyFill="1"/>
    <xf numFmtId="0" fontId="47" fillId="24" borderId="15" xfId="0" applyFont="1" applyFill="1" applyBorder="1" applyAlignment="1">
      <alignment horizontal="left" indent="1"/>
    </xf>
    <xf numFmtId="2" fontId="47" fillId="0" borderId="14" xfId="0" applyNumberFormat="1" applyFont="1" applyBorder="1" applyAlignment="1">
      <alignment horizontal="right"/>
    </xf>
    <xf numFmtId="0" fontId="47" fillId="24" borderId="17" xfId="0" applyFont="1" applyFill="1" applyBorder="1" applyAlignment="1">
      <alignment horizontal="left" indent="2"/>
    </xf>
    <xf numFmtId="2" fontId="47" fillId="0" borderId="0" xfId="0" applyNumberFormat="1" applyFont="1" applyAlignment="1">
      <alignment horizontal="right"/>
    </xf>
    <xf numFmtId="170" fontId="45" fillId="40" borderId="0" xfId="0" applyNumberFormat="1" applyFont="1" applyFill="1"/>
    <xf numFmtId="169" fontId="45" fillId="40" borderId="0" xfId="0" applyNumberFormat="1" applyFont="1" applyFill="1"/>
    <xf numFmtId="2" fontId="45" fillId="40" borderId="0" xfId="0" applyNumberFormat="1" applyFont="1" applyFill="1"/>
    <xf numFmtId="2" fontId="47" fillId="41" borderId="0" xfId="0" applyNumberFormat="1" applyFont="1" applyFill="1" applyAlignment="1">
      <alignment horizontal="right"/>
    </xf>
    <xf numFmtId="2" fontId="45" fillId="41" borderId="0" xfId="0" applyNumberFormat="1" applyFont="1" applyFill="1"/>
    <xf numFmtId="2" fontId="45" fillId="0" borderId="0" xfId="0" applyNumberFormat="1" applyFont="1"/>
    <xf numFmtId="2" fontId="45" fillId="42" borderId="0" xfId="0" applyNumberFormat="1" applyFont="1" applyFill="1"/>
    <xf numFmtId="2" fontId="47" fillId="42" borderId="0" xfId="0" applyNumberFormat="1" applyFont="1" applyFill="1"/>
    <xf numFmtId="0" fontId="47" fillId="24" borderId="20" xfId="0" applyFont="1" applyFill="1" applyBorder="1" applyAlignment="1">
      <alignment horizontal="left" indent="2"/>
    </xf>
    <xf numFmtId="2" fontId="47" fillId="0" borderId="19" xfId="0" applyNumberFormat="1" applyFont="1" applyBorder="1"/>
    <xf numFmtId="2" fontId="47" fillId="0" borderId="19" xfId="0" applyNumberFormat="1" applyFont="1" applyBorder="1" applyAlignment="1">
      <alignment horizontal="right"/>
    </xf>
    <xf numFmtId="0" fontId="47" fillId="24" borderId="20" xfId="0" applyFont="1" applyFill="1" applyBorder="1" applyAlignment="1">
      <alignment horizontal="left" indent="1"/>
    </xf>
    <xf numFmtId="0" fontId="53" fillId="0" borderId="0" xfId="0" applyFont="1" applyAlignment="1">
      <alignment horizontal="left"/>
    </xf>
    <xf numFmtId="2" fontId="53" fillId="0" borderId="0" xfId="0" applyNumberFormat="1" applyFont="1"/>
    <xf numFmtId="2" fontId="53" fillId="41" borderId="0" xfId="0" applyNumberFormat="1" applyFont="1" applyFill="1"/>
    <xf numFmtId="0" fontId="47" fillId="42" borderId="0" xfId="0" applyFont="1" applyFill="1"/>
    <xf numFmtId="0" fontId="53" fillId="0" borderId="26" xfId="0" applyFont="1" applyBorder="1"/>
    <xf numFmtId="0" fontId="47" fillId="0" borderId="0" xfId="0" applyFont="1" applyAlignment="1">
      <alignment horizontal="center"/>
    </xf>
    <xf numFmtId="0" fontId="47" fillId="34" borderId="16" xfId="0" applyFont="1" applyFill="1" applyBorder="1"/>
    <xf numFmtId="2" fontId="47" fillId="40" borderId="14" xfId="0" applyNumberFormat="1" applyFont="1" applyFill="1" applyBorder="1"/>
    <xf numFmtId="2" fontId="47" fillId="40" borderId="15" xfId="0" applyNumberFormat="1" applyFont="1" applyFill="1" applyBorder="1"/>
    <xf numFmtId="2" fontId="47" fillId="40" borderId="0" xfId="0" applyNumberFormat="1" applyFont="1" applyFill="1"/>
    <xf numFmtId="2" fontId="47" fillId="40" borderId="17" xfId="0" applyNumberFormat="1" applyFont="1" applyFill="1" applyBorder="1"/>
    <xf numFmtId="0" fontId="47" fillId="34" borderId="18" xfId="0" applyFont="1" applyFill="1" applyBorder="1"/>
    <xf numFmtId="2" fontId="47" fillId="0" borderId="18" xfId="0" applyNumberFormat="1" applyFont="1" applyBorder="1"/>
    <xf numFmtId="2" fontId="47" fillId="40" borderId="19" xfId="0" applyNumberFormat="1" applyFont="1" applyFill="1" applyBorder="1"/>
    <xf numFmtId="2" fontId="47" fillId="40" borderId="20" xfId="0" applyNumberFormat="1" applyFont="1" applyFill="1" applyBorder="1"/>
    <xf numFmtId="0" fontId="47" fillId="40" borderId="24" xfId="0" applyFont="1" applyFill="1" applyBorder="1" applyAlignment="1">
      <alignment horizontal="center"/>
    </xf>
    <xf numFmtId="0" fontId="47" fillId="34" borderId="0" xfId="0" applyFont="1" applyFill="1"/>
    <xf numFmtId="165" fontId="47" fillId="0" borderId="0" xfId="0" applyNumberFormat="1" applyFont="1"/>
    <xf numFmtId="0" fontId="47" fillId="34" borderId="14" xfId="0" applyFont="1" applyFill="1" applyBorder="1" applyAlignment="1">
      <alignment horizontal="left" indent="1"/>
    </xf>
    <xf numFmtId="165" fontId="47" fillId="0" borderId="14" xfId="0" applyNumberFormat="1" applyFont="1" applyBorder="1" applyAlignment="1">
      <alignment horizontal="right"/>
    </xf>
    <xf numFmtId="165" fontId="47" fillId="0" borderId="14" xfId="0" applyNumberFormat="1" applyFont="1" applyBorder="1"/>
    <xf numFmtId="0" fontId="47" fillId="34" borderId="0" xfId="0" applyFont="1" applyFill="1" applyAlignment="1">
      <alignment horizontal="left" indent="2"/>
    </xf>
    <xf numFmtId="165" fontId="47" fillId="0" borderId="0" xfId="0" applyNumberFormat="1" applyFont="1" applyAlignment="1">
      <alignment horizontal="right"/>
    </xf>
    <xf numFmtId="165" fontId="47" fillId="41" borderId="0" xfId="0" applyNumberFormat="1" applyFont="1" applyFill="1"/>
    <xf numFmtId="165" fontId="47" fillId="41" borderId="0" xfId="0" applyNumberFormat="1" applyFont="1" applyFill="1" applyAlignment="1">
      <alignment horizontal="right"/>
    </xf>
    <xf numFmtId="165" fontId="47" fillId="42" borderId="0" xfId="0" applyNumberFormat="1" applyFont="1" applyFill="1"/>
    <xf numFmtId="0" fontId="47" fillId="34" borderId="20" xfId="0" applyFont="1" applyFill="1" applyBorder="1" applyAlignment="1">
      <alignment horizontal="left" indent="2"/>
    </xf>
    <xf numFmtId="165" fontId="47" fillId="0" borderId="19" xfId="0" applyNumberFormat="1" applyFont="1" applyBorder="1" applyAlignment="1">
      <alignment horizontal="right"/>
    </xf>
    <xf numFmtId="165" fontId="47" fillId="0" borderId="19" xfId="0" applyNumberFormat="1" applyFont="1" applyBorder="1"/>
    <xf numFmtId="0" fontId="47" fillId="34" borderId="27" xfId="0" applyFont="1" applyFill="1" applyBorder="1" applyAlignment="1">
      <alignment horizontal="left" indent="1"/>
    </xf>
    <xf numFmtId="2" fontId="47" fillId="0" borderId="24" xfId="0" applyNumberFormat="1" applyFont="1" applyBorder="1"/>
    <xf numFmtId="165" fontId="47" fillId="0" borderId="24" xfId="0" applyNumberFormat="1" applyFont="1" applyBorder="1"/>
    <xf numFmtId="0" fontId="53" fillId="39" borderId="13" xfId="0" applyFont="1" applyFill="1" applyBorder="1"/>
    <xf numFmtId="0" fontId="47" fillId="0" borderId="27" xfId="0" applyFont="1" applyBorder="1" applyAlignment="1">
      <alignment horizontal="center"/>
    </xf>
    <xf numFmtId="1" fontId="47" fillId="0" borderId="0" xfId="0" applyNumberFormat="1" applyFont="1"/>
    <xf numFmtId="2" fontId="47" fillId="0" borderId="20" xfId="0" applyNumberFormat="1" applyFont="1" applyBorder="1"/>
    <xf numFmtId="170" fontId="47" fillId="0" borderId="0" xfId="0" applyNumberFormat="1" applyFont="1"/>
    <xf numFmtId="9" fontId="47" fillId="0" borderId="0" xfId="79" applyFont="1"/>
    <xf numFmtId="0" fontId="47" fillId="36" borderId="0" xfId="0" applyFont="1" applyFill="1"/>
    <xf numFmtId="0" fontId="48" fillId="0" borderId="0" xfId="0" applyFont="1"/>
    <xf numFmtId="0" fontId="55" fillId="0" borderId="0" xfId="0" applyFont="1"/>
    <xf numFmtId="0" fontId="56" fillId="0" borderId="0" xfId="0" applyFont="1"/>
    <xf numFmtId="0" fontId="56" fillId="0" borderId="0" xfId="0" applyFont="1" applyAlignment="1">
      <alignment horizontal="center"/>
    </xf>
    <xf numFmtId="0" fontId="55" fillId="0" borderId="26" xfId="0" applyFont="1" applyBorder="1"/>
    <xf numFmtId="1" fontId="55" fillId="0" borderId="0" xfId="0" applyNumberFormat="1" applyFont="1"/>
    <xf numFmtId="9" fontId="55" fillId="0" borderId="0" xfId="0" applyNumberFormat="1" applyFont="1"/>
    <xf numFmtId="0" fontId="57" fillId="0" borderId="0" xfId="0" applyFont="1"/>
    <xf numFmtId="0" fontId="55" fillId="0" borderId="0" xfId="0" applyFont="1" applyAlignment="1">
      <alignment horizontal="center"/>
    </xf>
    <xf numFmtId="0" fontId="58" fillId="43" borderId="0" xfId="0" applyFont="1" applyFill="1"/>
    <xf numFmtId="0" fontId="47" fillId="43" borderId="0" xfId="0" applyFont="1" applyFill="1"/>
    <xf numFmtId="0" fontId="53" fillId="0" borderId="0" xfId="0" applyFont="1" applyAlignment="1">
      <alignment horizontal="center"/>
    </xf>
    <xf numFmtId="165" fontId="47" fillId="44" borderId="0" xfId="0" applyNumberFormat="1" applyFont="1" applyFill="1"/>
    <xf numFmtId="171" fontId="47" fillId="44" borderId="0" xfId="78" applyNumberFormat="1" applyFont="1" applyFill="1" applyBorder="1"/>
    <xf numFmtId="172" fontId="47" fillId="44" borderId="0" xfId="79" applyNumberFormat="1" applyFont="1" applyFill="1" applyBorder="1"/>
    <xf numFmtId="171" fontId="47" fillId="0" borderId="0" xfId="78" applyNumberFormat="1" applyFont="1" applyFill="1" applyBorder="1"/>
    <xf numFmtId="1" fontId="45" fillId="0" borderId="0" xfId="0" applyNumberFormat="1" applyFont="1"/>
    <xf numFmtId="0" fontId="45" fillId="0" borderId="0" xfId="0" applyFont="1"/>
    <xf numFmtId="1" fontId="53" fillId="0" borderId="0" xfId="0" applyNumberFormat="1" applyFont="1"/>
    <xf numFmtId="0" fontId="54" fillId="43" borderId="0" xfId="0" applyFont="1" applyFill="1"/>
    <xf numFmtId="171" fontId="47" fillId="0" borderId="0" xfId="0" applyNumberFormat="1" applyFont="1"/>
    <xf numFmtId="43" fontId="47" fillId="0" borderId="0" xfId="0" applyNumberFormat="1" applyFont="1"/>
    <xf numFmtId="171" fontId="47" fillId="40" borderId="0" xfId="0" applyNumberFormat="1" applyFont="1" applyFill="1"/>
    <xf numFmtId="0" fontId="47" fillId="0" borderId="0" xfId="0" applyFont="1" applyAlignment="1">
      <alignment horizontal="left"/>
    </xf>
    <xf numFmtId="11" fontId="47" fillId="0" borderId="0" xfId="0" applyNumberFormat="1" applyFont="1"/>
    <xf numFmtId="165" fontId="47" fillId="40" borderId="0" xfId="0" applyNumberFormat="1" applyFont="1" applyFill="1"/>
    <xf numFmtId="44" fontId="47" fillId="40" borderId="0" xfId="78" applyFont="1" applyFill="1"/>
    <xf numFmtId="0" fontId="59" fillId="0" borderId="0" xfId="81">
      <alignment horizontal="left"/>
    </xf>
    <xf numFmtId="0" fontId="60" fillId="0" borderId="0" xfId="0" applyFont="1"/>
    <xf numFmtId="0" fontId="60" fillId="0" borderId="0" xfId="0" applyFont="1" applyAlignment="1">
      <alignment horizontal="right"/>
    </xf>
    <xf numFmtId="0" fontId="61" fillId="0" borderId="0" xfId="0" applyFont="1"/>
    <xf numFmtId="0" fontId="60" fillId="0" borderId="28" xfId="82">
      <alignment wrapText="1"/>
    </xf>
    <xf numFmtId="0" fontId="60" fillId="0" borderId="28" xfId="82" applyAlignment="1">
      <alignment horizontal="right" wrapText="1"/>
    </xf>
    <xf numFmtId="0" fontId="61" fillId="0" borderId="0" xfId="0" applyFont="1" applyAlignment="1">
      <alignment horizontal="left" indent="1"/>
    </xf>
    <xf numFmtId="0" fontId="61" fillId="0" borderId="0" xfId="0" applyFont="1" applyAlignment="1">
      <alignment horizontal="right"/>
    </xf>
    <xf numFmtId="173" fontId="61" fillId="0" borderId="0" xfId="77" applyNumberFormat="1" applyFont="1"/>
    <xf numFmtId="173" fontId="60" fillId="0" borderId="0" xfId="77" applyNumberFormat="1" applyFont="1"/>
    <xf numFmtId="173" fontId="61" fillId="0" borderId="0" xfId="77" applyNumberFormat="1" applyFont="1" applyAlignment="1">
      <alignment horizontal="right"/>
    </xf>
    <xf numFmtId="173" fontId="60" fillId="0" borderId="28" xfId="77" applyNumberFormat="1" applyFont="1" applyBorder="1" applyAlignment="1">
      <alignment wrapText="1"/>
    </xf>
    <xf numFmtId="0" fontId="61" fillId="0" borderId="0" xfId="77" applyNumberFormat="1" applyFont="1" applyAlignment="1">
      <alignment horizontal="right"/>
    </xf>
    <xf numFmtId="0" fontId="60" fillId="0" borderId="0" xfId="77" applyNumberFormat="1" applyFont="1" applyAlignment="1">
      <alignment horizontal="right"/>
    </xf>
    <xf numFmtId="0" fontId="63" fillId="0" borderId="0" xfId="0" applyFont="1" applyAlignment="1">
      <alignment wrapText="1"/>
    </xf>
    <xf numFmtId="0" fontId="61" fillId="0" borderId="0" xfId="0" applyFont="1" applyAlignment="1">
      <alignment wrapText="1"/>
    </xf>
    <xf numFmtId="0" fontId="65" fillId="0" borderId="0" xfId="0" applyFont="1" applyAlignment="1">
      <alignment wrapText="1"/>
    </xf>
    <xf numFmtId="0" fontId="55" fillId="0" borderId="29" xfId="0" applyFont="1" applyBorder="1"/>
    <xf numFmtId="0" fontId="55" fillId="0" borderId="30" xfId="0" applyFont="1" applyBorder="1" applyAlignment="1">
      <alignment horizontal="center"/>
    </xf>
    <xf numFmtId="0" fontId="55" fillId="0" borderId="31" xfId="0" applyFont="1" applyBorder="1"/>
    <xf numFmtId="43" fontId="55" fillId="0" borderId="32" xfId="0" applyNumberFormat="1" applyFont="1" applyBorder="1"/>
    <xf numFmtId="0" fontId="66" fillId="0" borderId="0" xfId="80" applyFont="1" applyAlignment="1" applyProtection="1"/>
    <xf numFmtId="0" fontId="0" fillId="38" borderId="0" xfId="0" applyFill="1"/>
    <xf numFmtId="0" fontId="63" fillId="0" borderId="0" xfId="0" applyFont="1" applyAlignment="1">
      <alignment vertical="top" wrapText="1"/>
    </xf>
    <xf numFmtId="0" fontId="61" fillId="0" borderId="0" xfId="0" applyFont="1" applyAlignment="1">
      <alignment vertical="top" wrapText="1"/>
    </xf>
    <xf numFmtId="0" fontId="62" fillId="0" borderId="14" xfId="0" applyFont="1" applyBorder="1" applyAlignment="1">
      <alignment wrapText="1"/>
    </xf>
    <xf numFmtId="0" fontId="61" fillId="0" borderId="14" xfId="0" applyFont="1" applyBorder="1" applyAlignment="1">
      <alignment wrapText="1"/>
    </xf>
    <xf numFmtId="0" fontId="63" fillId="0" borderId="0" xfId="0" applyFont="1" applyAlignment="1">
      <alignment wrapText="1"/>
    </xf>
    <xf numFmtId="0" fontId="61" fillId="0" borderId="0" xfId="0" applyFont="1" applyAlignment="1">
      <alignment wrapText="1"/>
    </xf>
    <xf numFmtId="0" fontId="64" fillId="0" borderId="0" xfId="0" applyFont="1" applyAlignment="1">
      <alignment wrapText="1"/>
    </xf>
    <xf numFmtId="0" fontId="68" fillId="0" borderId="0" xfId="76" applyFont="1"/>
    <xf numFmtId="0" fontId="1" fillId="35" borderId="0" xfId="0" applyFont="1" applyFill="1"/>
    <xf numFmtId="1" fontId="1" fillId="35" borderId="0" xfId="0" applyNumberFormat="1" applyFont="1" applyFill="1"/>
    <xf numFmtId="2" fontId="1" fillId="35" borderId="0" xfId="0" applyNumberFormat="1" applyFont="1" applyFill="1"/>
  </cellXfs>
  <cellStyles count="84">
    <cellStyle name="20% - Accent1 2" xfId="34" xr:uid="{00000000-0005-0000-0000-000000000000}"/>
    <cellStyle name="20% - Accent2 2" xfId="35" xr:uid="{00000000-0005-0000-0000-000001000000}"/>
    <cellStyle name="20% - Accent3 2" xfId="36" xr:uid="{00000000-0005-0000-0000-000002000000}"/>
    <cellStyle name="20% - Accent4 2" xfId="37" xr:uid="{00000000-0005-0000-0000-000003000000}"/>
    <cellStyle name="20% - Accent5 2" xfId="38" xr:uid="{00000000-0005-0000-0000-000004000000}"/>
    <cellStyle name="20% - Accent6 2" xfId="39" xr:uid="{00000000-0005-0000-0000-000005000000}"/>
    <cellStyle name="40% - Accent1 2" xfId="40" xr:uid="{00000000-0005-0000-0000-000006000000}"/>
    <cellStyle name="40% - Accent2 2" xfId="41" xr:uid="{00000000-0005-0000-0000-000007000000}"/>
    <cellStyle name="40% - Accent3 2" xfId="1" xr:uid="{00000000-0005-0000-0000-000008000000}"/>
    <cellStyle name="40% - Accent3 3" xfId="42" xr:uid="{00000000-0005-0000-0000-000009000000}"/>
    <cellStyle name="40% - Accent4 2" xfId="43" xr:uid="{00000000-0005-0000-0000-00000A000000}"/>
    <cellStyle name="40% - Accent5 2" xfId="44" xr:uid="{00000000-0005-0000-0000-00000B000000}"/>
    <cellStyle name="40% - Accent6 2" xfId="45" xr:uid="{00000000-0005-0000-0000-00000C000000}"/>
    <cellStyle name="60% - Accent1 2" xfId="46" xr:uid="{00000000-0005-0000-0000-00000D000000}"/>
    <cellStyle name="60% - Accent2 2" xfId="47" xr:uid="{00000000-0005-0000-0000-00000E000000}"/>
    <cellStyle name="60% - Accent3 2" xfId="48" xr:uid="{00000000-0005-0000-0000-00000F000000}"/>
    <cellStyle name="60% - Accent4 2" xfId="49" xr:uid="{00000000-0005-0000-0000-000010000000}"/>
    <cellStyle name="60% - Accent5 2" xfId="50" xr:uid="{00000000-0005-0000-0000-000011000000}"/>
    <cellStyle name="60% - Accent6 2" xfId="51" xr:uid="{00000000-0005-0000-0000-000012000000}"/>
    <cellStyle name="Accent1 2" xfId="52" xr:uid="{00000000-0005-0000-0000-000013000000}"/>
    <cellStyle name="Accent2 2" xfId="2" xr:uid="{00000000-0005-0000-0000-000014000000}"/>
    <cellStyle name="Accent2 3" xfId="53" xr:uid="{00000000-0005-0000-0000-000015000000}"/>
    <cellStyle name="Accent3 2" xfId="3" xr:uid="{00000000-0005-0000-0000-000016000000}"/>
    <cellStyle name="Accent3 3" xfId="54" xr:uid="{00000000-0005-0000-0000-000017000000}"/>
    <cellStyle name="Accent4 2" xfId="4" xr:uid="{00000000-0005-0000-0000-000018000000}"/>
    <cellStyle name="Accent4 3" xfId="55" xr:uid="{00000000-0005-0000-0000-000019000000}"/>
    <cellStyle name="Accent5 2" xfId="5" xr:uid="{00000000-0005-0000-0000-00001A000000}"/>
    <cellStyle name="Accent5 3" xfId="56" xr:uid="{00000000-0005-0000-0000-00001B000000}"/>
    <cellStyle name="Accent6 2" xfId="57" xr:uid="{00000000-0005-0000-0000-00001C000000}"/>
    <cellStyle name="Bad 2" xfId="6" xr:uid="{00000000-0005-0000-0000-00001D000000}"/>
    <cellStyle name="Bad 3" xfId="58" xr:uid="{00000000-0005-0000-0000-00001E000000}"/>
    <cellStyle name="Calculation 2" xfId="59" xr:uid="{00000000-0005-0000-0000-00001F000000}"/>
    <cellStyle name="Check Cell 2" xfId="60" xr:uid="{00000000-0005-0000-0000-000020000000}"/>
    <cellStyle name="Comma" xfId="77" builtinId="3"/>
    <cellStyle name="Comma 2" xfId="7" xr:uid="{00000000-0005-0000-0000-000021000000}"/>
    <cellStyle name="Comma 3" xfId="8" xr:uid="{00000000-0005-0000-0000-000022000000}"/>
    <cellStyle name="Comma 4" xfId="9" xr:uid="{00000000-0005-0000-0000-000023000000}"/>
    <cellStyle name="Comma 5" xfId="61" xr:uid="{00000000-0005-0000-0000-000024000000}"/>
    <cellStyle name="Currency" xfId="78" builtinId="4"/>
    <cellStyle name="Date" xfId="10" xr:uid="{00000000-0005-0000-0000-000025000000}"/>
    <cellStyle name="Explanatory Text 2" xfId="62" xr:uid="{00000000-0005-0000-0000-000026000000}"/>
    <cellStyle name="Fixed" xfId="11" xr:uid="{00000000-0005-0000-0000-000027000000}"/>
    <cellStyle name="Good 2" xfId="63" xr:uid="{00000000-0005-0000-0000-000028000000}"/>
    <cellStyle name="Heading 1 2" xfId="64" xr:uid="{00000000-0005-0000-0000-000029000000}"/>
    <cellStyle name="Heading 2 2" xfId="65" xr:uid="{00000000-0005-0000-0000-00002A000000}"/>
    <cellStyle name="Heading 3 2" xfId="66" xr:uid="{00000000-0005-0000-0000-00002B000000}"/>
    <cellStyle name="Heading 4 2" xfId="67" xr:uid="{00000000-0005-0000-0000-00002C000000}"/>
    <cellStyle name="Heading1" xfId="12" xr:uid="{00000000-0005-0000-0000-00002D000000}"/>
    <cellStyle name="Heading2" xfId="13" xr:uid="{00000000-0005-0000-0000-00002E000000}"/>
    <cellStyle name="Hyperlink" xfId="80" builtinId="8"/>
    <cellStyle name="Input 2" xfId="14" xr:uid="{00000000-0005-0000-0000-00002F000000}"/>
    <cellStyle name="Input 3" xfId="68" xr:uid="{00000000-0005-0000-0000-000030000000}"/>
    <cellStyle name="Linked Cell 2" xfId="69" xr:uid="{00000000-0005-0000-0000-000031000000}"/>
    <cellStyle name="Neutral 2" xfId="15" xr:uid="{00000000-0005-0000-0000-000032000000}"/>
    <cellStyle name="Neutral 3" xfId="70" xr:uid="{00000000-0005-0000-0000-000033000000}"/>
    <cellStyle name="Normal" xfId="0" builtinId="0"/>
    <cellStyle name="Normal 10" xfId="83" xr:uid="{9894A665-E799-4979-9ED2-72508735ACB9}"/>
    <cellStyle name="Normal 2" xfId="16" xr:uid="{00000000-0005-0000-0000-000035000000}"/>
    <cellStyle name="Normal 2 2" xfId="17" xr:uid="{00000000-0005-0000-0000-000036000000}"/>
    <cellStyle name="Normal 2 2 2" xfId="18" xr:uid="{00000000-0005-0000-0000-000037000000}"/>
    <cellStyle name="Normal 2 3" xfId="19" xr:uid="{00000000-0005-0000-0000-000038000000}"/>
    <cellStyle name="Normal 3" xfId="20" xr:uid="{00000000-0005-0000-0000-000039000000}"/>
    <cellStyle name="Normal 3 2" xfId="21" xr:uid="{00000000-0005-0000-0000-00003A000000}"/>
    <cellStyle name="Normal 4" xfId="22" xr:uid="{00000000-0005-0000-0000-00003B000000}"/>
    <cellStyle name="Normal 4 2" xfId="23" xr:uid="{00000000-0005-0000-0000-00003C000000}"/>
    <cellStyle name="Normal 4 3" xfId="24" xr:uid="{00000000-0005-0000-0000-00003D000000}"/>
    <cellStyle name="Normal 5" xfId="25" xr:uid="{00000000-0005-0000-0000-00003E000000}"/>
    <cellStyle name="Normal 5 2" xfId="26" xr:uid="{00000000-0005-0000-0000-00003F000000}"/>
    <cellStyle name="Normal 6" xfId="27" xr:uid="{00000000-0005-0000-0000-000040000000}"/>
    <cellStyle name="Normal 6 2" xfId="28" xr:uid="{00000000-0005-0000-0000-000041000000}"/>
    <cellStyle name="Normale_Scen_UC_IND-StrucConst" xfId="76" xr:uid="{00000000-0005-0000-0000-000042000000}"/>
    <cellStyle name="Note 2" xfId="71" xr:uid="{00000000-0005-0000-0000-000043000000}"/>
    <cellStyle name="Output 2" xfId="72" xr:uid="{00000000-0005-0000-0000-000044000000}"/>
    <cellStyle name="Percent" xfId="79" builtinId="5"/>
    <cellStyle name="Percent 2" xfId="29" xr:uid="{00000000-0005-0000-0000-000045000000}"/>
    <cellStyle name="Percent 3" xfId="30" xr:uid="{00000000-0005-0000-0000-000046000000}"/>
    <cellStyle name="Percent 4" xfId="31" xr:uid="{00000000-0005-0000-0000-000047000000}"/>
    <cellStyle name="Section Break: parent row" xfId="82" xr:uid="{C9543DE9-4727-4579-A768-C7D6D11B9E73}"/>
    <cellStyle name="Table title" xfId="81" xr:uid="{378244E4-AD3C-4858-948B-D0570BB10332}"/>
    <cellStyle name="Title 2" xfId="73" xr:uid="{00000000-0005-0000-0000-000048000000}"/>
    <cellStyle name="Total" xfId="32" builtinId="25" customBuiltin="1"/>
    <cellStyle name="Total 2" xfId="33" xr:uid="{00000000-0005-0000-0000-00004A000000}"/>
    <cellStyle name="Total 3" xfId="74" xr:uid="{00000000-0005-0000-0000-00004B000000}"/>
    <cellStyle name="Warning Text 2" xfId="75" xr:uid="{00000000-0005-0000-0000-00004C000000}"/>
  </cellStyles>
  <dxfs count="2">
    <dxf>
      <font>
        <b/>
        <i val="0"/>
        <condense val="0"/>
        <extend val="0"/>
      </font>
      <fill>
        <patternFill>
          <bgColor indexed="10"/>
        </patternFill>
      </fill>
    </dxf>
    <dxf>
      <font>
        <b/>
        <i val="0"/>
        <condense val="0"/>
        <extend val="0"/>
      </font>
      <fill>
        <patternFill>
          <bgColor indexed="1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 Id="rId27" Type="http://schemas.openxmlformats.org/officeDocument/2006/relationships/customXml" Target="../customXml/item3.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_rels/activeX3.xml.rels><?xml version="1.0" encoding="UTF-8" standalone="yes"?>
<Relationships xmlns="http://schemas.openxmlformats.org/package/2006/relationships"><Relationship Id="rId1" Type="http://schemas.microsoft.com/office/2006/relationships/activeXControlBinary" Target="activeX3.bin"/></Relationships>
</file>

<file path=xl/activeX/_rels/activeX4.xml.rels><?xml version="1.0" encoding="UTF-8" standalone="yes"?>
<Relationships xmlns="http://schemas.openxmlformats.org/package/2006/relationships"><Relationship Id="rId1" Type="http://schemas.microsoft.com/office/2006/relationships/activeXControlBinary" Target="activeX4.bin"/></Relationships>
</file>

<file path=xl/activeX/_rels/activeX5.xml.rels><?xml version="1.0" encoding="UTF-8" standalone="yes"?>
<Relationships xmlns="http://schemas.openxmlformats.org/package/2006/relationships"><Relationship Id="rId1" Type="http://schemas.microsoft.com/office/2006/relationships/activeXControlBinary" Target="activeX5.bin"/></Relationships>
</file>

<file path=xl/activeX/_rels/activeX6.xml.rels><?xml version="1.0" encoding="UTF-8" standalone="yes"?>
<Relationships xmlns="http://schemas.openxmlformats.org/package/2006/relationships"><Relationship Id="rId1" Type="http://schemas.microsoft.com/office/2006/relationships/activeXControlBinary" Target="activeX6.bin"/></Relationships>
</file>

<file path=xl/activeX/_rels/activeX7.xml.rels><?xml version="1.0" encoding="UTF-8" standalone="yes"?>
<Relationships xmlns="http://schemas.openxmlformats.org/package/2006/relationships"><Relationship Id="rId1" Type="http://schemas.microsoft.com/office/2006/relationships/activeXControlBinary" Target="activeX7.bin"/></Relationships>
</file>

<file path=xl/activeX/_rels/activeX8.xml.rels><?xml version="1.0" encoding="UTF-8" standalone="yes"?>
<Relationships xmlns="http://schemas.openxmlformats.org/package/2006/relationships"><Relationship Id="rId1" Type="http://schemas.microsoft.com/office/2006/relationships/activeXControlBinary" Target="activeX8.bin"/></Relationships>
</file>

<file path=xl/activeX/_rels/activeX9.xml.rels><?xml version="1.0" encoding="UTF-8" standalone="yes"?>
<Relationships xmlns="http://schemas.openxmlformats.org/package/2006/relationships"><Relationship Id="rId1" Type="http://schemas.microsoft.com/office/2006/relationships/activeXControlBinary" Target="activeX9.bin"/></Relationships>
</file>

<file path=xl/activeX/_rels/activeX10.xml.rels><?xml version="1.0" encoding="UTF-8" standalone="yes"?>
<Relationships xmlns="http://schemas.openxmlformats.org/package/2006/relationships"><Relationship Id="rId1" Type="http://schemas.microsoft.com/office/2006/relationships/activeXControlBinary" Target="activeX10.bin"/></Relationships>
</file>

<file path=xl/activeX/_rels/activeX11.xml.rels><?xml version="1.0" encoding="UTF-8" standalone="yes"?>
<Relationships xmlns="http://schemas.openxmlformats.org/package/2006/relationships"><Relationship Id="rId1" Type="http://schemas.microsoft.com/office/2006/relationships/activeXControlBinary" Target="activeX11.bin"/></Relationships>
</file>

<file path=xl/activeX/_rels/activeX12.xml.rels><?xml version="1.0" encoding="UTF-8" standalone="yes"?>
<Relationships xmlns="http://schemas.openxmlformats.org/package/2006/relationships"><Relationship Id="rId1" Type="http://schemas.microsoft.com/office/2006/relationships/activeXControlBinary" Target="activeX12.bin"/></Relationships>
</file>

<file path=xl/activeX/_rels/activeX13.xml.rels><?xml version="1.0" encoding="UTF-8" standalone="yes"?>
<Relationships xmlns="http://schemas.openxmlformats.org/package/2006/relationships"><Relationship Id="rId1" Type="http://schemas.microsoft.com/office/2006/relationships/activeXControlBinary" Target="activeX13.bin"/></Relationships>
</file>

<file path=xl/activeX/_rels/activeX14.xml.rels><?xml version="1.0" encoding="UTF-8" standalone="yes"?>
<Relationships xmlns="http://schemas.openxmlformats.org/package/2006/relationships"><Relationship Id="rId1" Type="http://schemas.microsoft.com/office/2006/relationships/activeXControlBinary" Target="activeX14.bin"/></Relationships>
</file>

<file path=xl/activeX/_rels/activeX15.xml.rels><?xml version="1.0" encoding="UTF-8" standalone="yes"?>
<Relationships xmlns="http://schemas.openxmlformats.org/package/2006/relationships"><Relationship Id="rId1" Type="http://schemas.microsoft.com/office/2006/relationships/activeXControlBinary" Target="activeX15.bin"/></Relationships>
</file>

<file path=xl/activeX/_rels/activeX16.xml.rels><?xml version="1.0" encoding="UTF-8" standalone="yes"?>
<Relationships xmlns="http://schemas.openxmlformats.org/package/2006/relationships"><Relationship Id="rId1" Type="http://schemas.microsoft.com/office/2006/relationships/activeXControlBinary" Target="activeX16.bin"/></Relationships>
</file>

<file path=xl/activeX/_rels/activeX17.xml.rels><?xml version="1.0" encoding="UTF-8" standalone="yes"?>
<Relationships xmlns="http://schemas.openxmlformats.org/package/2006/relationships"><Relationship Id="rId1" Type="http://schemas.microsoft.com/office/2006/relationships/activeXControlBinary" Target="activeX17.bin"/></Relationships>
</file>

<file path=xl/activeX/_rels/activeX18.xml.rels><?xml version="1.0" encoding="UTF-8" standalone="yes"?>
<Relationships xmlns="http://schemas.openxmlformats.org/package/2006/relationships"><Relationship Id="rId1" Type="http://schemas.microsoft.com/office/2006/relationships/activeXControlBinary" Target="activeX18.bin"/></Relationships>
</file>

<file path=xl/activeX/_rels/activeX19.xml.rels><?xml version="1.0" encoding="UTF-8" standalone="yes"?>
<Relationships xmlns="http://schemas.openxmlformats.org/package/2006/relationships"><Relationship Id="rId1" Type="http://schemas.microsoft.com/office/2006/relationships/activeXControlBinary" Target="activeX19.bin"/></Relationships>
</file>

<file path=xl/activeX/_rels/activeX20.xml.rels><?xml version="1.0" encoding="UTF-8" standalone="yes"?>
<Relationships xmlns="http://schemas.openxmlformats.org/package/2006/relationships"><Relationship Id="rId1" Type="http://schemas.microsoft.com/office/2006/relationships/activeXControlBinary" Target="activeX20.bin"/></Relationships>
</file>

<file path=xl/activeX/_rels/activeX21.xml.rels><?xml version="1.0" encoding="UTF-8" standalone="yes"?>
<Relationships xmlns="http://schemas.openxmlformats.org/package/2006/relationships"><Relationship Id="rId1" Type="http://schemas.microsoft.com/office/2006/relationships/activeXControlBinary" Target="activeX21.bin"/></Relationships>
</file>

<file path=xl/activeX/_rels/activeX22.xml.rels><?xml version="1.0" encoding="UTF-8" standalone="yes"?>
<Relationships xmlns="http://schemas.openxmlformats.org/package/2006/relationships"><Relationship Id="rId1" Type="http://schemas.microsoft.com/office/2006/relationships/activeXControlBinary" Target="activeX22.bin"/></Relationships>
</file>

<file path=xl/activeX/_rels/activeX23.xml.rels><?xml version="1.0" encoding="UTF-8" standalone="yes"?>
<Relationships xmlns="http://schemas.openxmlformats.org/package/2006/relationships"><Relationship Id="rId1" Type="http://schemas.microsoft.com/office/2006/relationships/activeXControlBinary" Target="activeX23.bin"/></Relationships>
</file>

<file path=xl/activeX/_rels/activeX24.xml.rels><?xml version="1.0" encoding="UTF-8" standalone="yes"?>
<Relationships xmlns="http://schemas.openxmlformats.org/package/2006/relationships"><Relationship Id="rId1" Type="http://schemas.microsoft.com/office/2006/relationships/activeXControlBinary" Target="activeX24.bin"/></Relationships>
</file>

<file path=xl/activeX/_rels/activeX25.xml.rels><?xml version="1.0" encoding="UTF-8" standalone="yes"?>
<Relationships xmlns="http://schemas.openxmlformats.org/package/2006/relationships"><Relationship Id="rId1" Type="http://schemas.microsoft.com/office/2006/relationships/activeXControlBinary" Target="activeX25.bin"/></Relationships>
</file>

<file path=xl/activeX/_rels/activeX26.xml.rels><?xml version="1.0" encoding="UTF-8" standalone="yes"?>
<Relationships xmlns="http://schemas.openxmlformats.org/package/2006/relationships"><Relationship Id="rId1" Type="http://schemas.microsoft.com/office/2006/relationships/activeXControlBinary" Target="activeX26.bin"/></Relationships>
</file>

<file path=xl/activeX/_rels/activeX27.xml.rels><?xml version="1.0" encoding="UTF-8" standalone="yes"?>
<Relationships xmlns="http://schemas.openxmlformats.org/package/2006/relationships"><Relationship Id="rId1" Type="http://schemas.microsoft.com/office/2006/relationships/activeXControlBinary" Target="activeX27.bin"/></Relationships>
</file>

<file path=xl/activeX/_rels/activeX28.xml.rels><?xml version="1.0" encoding="UTF-8" standalone="yes"?>
<Relationships xmlns="http://schemas.openxmlformats.org/package/2006/relationships"><Relationship Id="rId1" Type="http://schemas.microsoft.com/office/2006/relationships/activeXControlBinary" Target="activeX28.bin"/></Relationships>
</file>

<file path=xl/activeX/_rels/activeX29.xml.rels><?xml version="1.0" encoding="UTF-8" standalone="yes"?>
<Relationships xmlns="http://schemas.openxmlformats.org/package/2006/relationships"><Relationship Id="rId1" Type="http://schemas.microsoft.com/office/2006/relationships/activeXControlBinary" Target="activeX29.bin"/></Relationships>
</file>

<file path=xl/activeX/_rels/activeX30.xml.rels><?xml version="1.0" encoding="UTF-8" standalone="yes"?>
<Relationships xmlns="http://schemas.openxmlformats.org/package/2006/relationships"><Relationship Id="rId1" Type="http://schemas.microsoft.com/office/2006/relationships/activeXControlBinary" Target="activeX30.bin"/></Relationships>
</file>

<file path=xl/activeX/_rels/activeX31.xml.rels><?xml version="1.0" encoding="UTF-8" standalone="yes"?>
<Relationships xmlns="http://schemas.openxmlformats.org/package/2006/relationships"><Relationship Id="rId1" Type="http://schemas.microsoft.com/office/2006/relationships/activeXControlBinary" Target="activeX31.bin"/></Relationships>
</file>

<file path=xl/activeX/_rels/activeX32.xml.rels><?xml version="1.0" encoding="UTF-8" standalone="yes"?>
<Relationships xmlns="http://schemas.openxmlformats.org/package/2006/relationships"><Relationship Id="rId1" Type="http://schemas.microsoft.com/office/2006/relationships/activeXControlBinary" Target="activeX32.bin"/></Relationships>
</file>

<file path=xl/activeX/_rels/activeX33.xml.rels><?xml version="1.0" encoding="UTF-8" standalone="yes"?>
<Relationships xmlns="http://schemas.openxmlformats.org/package/2006/relationships"><Relationship Id="rId1" Type="http://schemas.microsoft.com/office/2006/relationships/activeXControlBinary" Target="activeX33.bin"/></Relationships>
</file>

<file path=xl/activeX/_rels/activeX34.xml.rels><?xml version="1.0" encoding="UTF-8" standalone="yes"?>
<Relationships xmlns="http://schemas.openxmlformats.org/package/2006/relationships"><Relationship Id="rId1" Type="http://schemas.microsoft.com/office/2006/relationships/activeXControlBinary" Target="activeX34.bin"/></Relationships>
</file>

<file path=xl/activeX/_rels/activeX35.xml.rels><?xml version="1.0" encoding="UTF-8" standalone="yes"?>
<Relationships xmlns="http://schemas.openxmlformats.org/package/2006/relationships"><Relationship Id="rId1" Type="http://schemas.microsoft.com/office/2006/relationships/activeXControlBinary" Target="activeX35.bin"/></Relationships>
</file>

<file path=xl/activeX/_rels/activeX36.xml.rels><?xml version="1.0" encoding="UTF-8" standalone="yes"?>
<Relationships xmlns="http://schemas.openxmlformats.org/package/2006/relationships"><Relationship Id="rId1" Type="http://schemas.microsoft.com/office/2006/relationships/activeXControlBinary" Target="activeX36.bin"/></Relationships>
</file>

<file path=xl/activeX/_rels/activeX37.xml.rels><?xml version="1.0" encoding="UTF-8" standalone="yes"?>
<Relationships xmlns="http://schemas.openxmlformats.org/package/2006/relationships"><Relationship Id="rId1" Type="http://schemas.microsoft.com/office/2006/relationships/activeXControlBinary" Target="activeX37.bin"/></Relationships>
</file>

<file path=xl/activeX/_rels/activeX38.xml.rels><?xml version="1.0" encoding="UTF-8" standalone="yes"?>
<Relationships xmlns="http://schemas.openxmlformats.org/package/2006/relationships"><Relationship Id="rId1" Type="http://schemas.microsoft.com/office/2006/relationships/activeXControlBinary" Target="activeX38.bin"/></Relationships>
</file>

<file path=xl/activeX/_rels/activeX39.xml.rels><?xml version="1.0" encoding="UTF-8" standalone="yes"?>
<Relationships xmlns="http://schemas.openxmlformats.org/package/2006/relationships"><Relationship Id="rId1" Type="http://schemas.microsoft.com/office/2006/relationships/activeXControlBinary" Target="activeX39.bin"/></Relationships>
</file>

<file path=xl/activeX/_rels/activeX40.xml.rels><?xml version="1.0" encoding="UTF-8" standalone="yes"?>
<Relationships xmlns="http://schemas.openxmlformats.org/package/2006/relationships"><Relationship Id="rId1" Type="http://schemas.microsoft.com/office/2006/relationships/activeXControlBinary" Target="activeX40.bin"/></Relationships>
</file>

<file path=xl/activeX/_rels/activeX41.xml.rels><?xml version="1.0" encoding="UTF-8" standalone="yes"?>
<Relationships xmlns="http://schemas.openxmlformats.org/package/2006/relationships"><Relationship Id="rId1" Type="http://schemas.microsoft.com/office/2006/relationships/activeXControlBinary" Target="activeX41.bin"/></Relationships>
</file>

<file path=xl/activeX/_rels/activeX42.xml.rels><?xml version="1.0" encoding="UTF-8" standalone="yes"?>
<Relationships xmlns="http://schemas.openxmlformats.org/package/2006/relationships"><Relationship Id="rId1" Type="http://schemas.microsoft.com/office/2006/relationships/activeXControlBinary" Target="activeX42.bin"/></Relationships>
</file>

<file path=xl/activeX/_rels/activeX43.xml.rels><?xml version="1.0" encoding="UTF-8" standalone="yes"?>
<Relationships xmlns="http://schemas.openxmlformats.org/package/2006/relationships"><Relationship Id="rId1" Type="http://schemas.microsoft.com/office/2006/relationships/activeXControlBinary" Target="activeX43.bin"/></Relationships>
</file>

<file path=xl/activeX/_rels/activeX44.xml.rels><?xml version="1.0" encoding="UTF-8" standalone="yes"?>
<Relationships xmlns="http://schemas.openxmlformats.org/package/2006/relationships"><Relationship Id="rId1" Type="http://schemas.microsoft.com/office/2006/relationships/activeXControlBinary" Target="activeX44.bin"/></Relationships>
</file>

<file path=xl/activeX/_rels/activeX45.xml.rels><?xml version="1.0" encoding="UTF-8" standalone="yes"?>
<Relationships xmlns="http://schemas.openxmlformats.org/package/2006/relationships"><Relationship Id="rId1" Type="http://schemas.microsoft.com/office/2006/relationships/activeXControlBinary" Target="activeX45.bin"/></Relationships>
</file>

<file path=xl/activeX/_rels/activeX46.xml.rels><?xml version="1.0" encoding="UTF-8" standalone="yes"?>
<Relationships xmlns="http://schemas.openxmlformats.org/package/2006/relationships"><Relationship Id="rId1" Type="http://schemas.microsoft.com/office/2006/relationships/activeXControlBinary" Target="activeX46.bin"/></Relationships>
</file>

<file path=xl/activeX/_rels/activeX47.xml.rels><?xml version="1.0" encoding="UTF-8" standalone="yes"?>
<Relationships xmlns="http://schemas.openxmlformats.org/package/2006/relationships"><Relationship Id="rId1" Type="http://schemas.microsoft.com/office/2006/relationships/activeXControlBinary" Target="activeX47.bin"/></Relationships>
</file>

<file path=xl/activeX/_rels/activeX48.xml.rels><?xml version="1.0" encoding="UTF-8" standalone="yes"?>
<Relationships xmlns="http://schemas.openxmlformats.org/package/2006/relationships"><Relationship Id="rId1" Type="http://schemas.microsoft.com/office/2006/relationships/activeXControlBinary" Target="activeX48.bin"/></Relationships>
</file>

<file path=xl/activeX/_rels/activeX49.xml.rels><?xml version="1.0" encoding="UTF-8" standalone="yes"?>
<Relationships xmlns="http://schemas.openxmlformats.org/package/2006/relationships"><Relationship Id="rId1" Type="http://schemas.microsoft.com/office/2006/relationships/activeXControlBinary" Target="activeX49.bin"/></Relationships>
</file>

<file path=xl/activeX/_rels/activeX50.xml.rels><?xml version="1.0" encoding="UTF-8" standalone="yes"?>
<Relationships xmlns="http://schemas.openxmlformats.org/package/2006/relationships"><Relationship Id="rId1" Type="http://schemas.microsoft.com/office/2006/relationships/activeXControlBinary" Target="activeX50.bin"/></Relationships>
</file>

<file path=xl/activeX/_rels/activeX51.xml.rels><?xml version="1.0" encoding="UTF-8" standalone="yes"?>
<Relationships xmlns="http://schemas.openxmlformats.org/package/2006/relationships"><Relationship Id="rId1" Type="http://schemas.microsoft.com/office/2006/relationships/activeXControlBinary" Target="activeX51.bin"/></Relationships>
</file>

<file path=xl/activeX/_rels/activeX52.xml.rels><?xml version="1.0" encoding="UTF-8" standalone="yes"?>
<Relationships xmlns="http://schemas.openxmlformats.org/package/2006/relationships"><Relationship Id="rId1" Type="http://schemas.microsoft.com/office/2006/relationships/activeXControlBinary" Target="activeX52.bin"/></Relationships>
</file>

<file path=xl/activeX/_rels/activeX53.xml.rels><?xml version="1.0" encoding="UTF-8" standalone="yes"?>
<Relationships xmlns="http://schemas.openxmlformats.org/package/2006/relationships"><Relationship Id="rId1" Type="http://schemas.microsoft.com/office/2006/relationships/activeXControlBinary" Target="activeX53.bin"/></Relationships>
</file>

<file path=xl/activeX/_rels/activeX54.xml.rels><?xml version="1.0" encoding="UTF-8" standalone="yes"?>
<Relationships xmlns="http://schemas.openxmlformats.org/package/2006/relationships"><Relationship Id="rId1" Type="http://schemas.microsoft.com/office/2006/relationships/activeXControlBinary" Target="activeX54.bin"/></Relationships>
</file>

<file path=xl/activeX/_rels/activeX55.xml.rels><?xml version="1.0" encoding="UTF-8" standalone="yes"?>
<Relationships xmlns="http://schemas.openxmlformats.org/package/2006/relationships"><Relationship Id="rId1" Type="http://schemas.microsoft.com/office/2006/relationships/activeXControlBinary" Target="activeX55.bin"/></Relationships>
</file>

<file path=xl/activeX/_rels/activeX56.xml.rels><?xml version="1.0" encoding="UTF-8" standalone="yes"?>
<Relationships xmlns="http://schemas.openxmlformats.org/package/2006/relationships"><Relationship Id="rId1" Type="http://schemas.microsoft.com/office/2006/relationships/activeXControlBinary" Target="activeX56.bin"/></Relationships>
</file>

<file path=xl/activeX/_rels/activeX57.xml.rels><?xml version="1.0" encoding="UTF-8" standalone="yes"?>
<Relationships xmlns="http://schemas.openxmlformats.org/package/2006/relationships"><Relationship Id="rId1" Type="http://schemas.microsoft.com/office/2006/relationships/activeXControlBinary" Target="activeX57.bin"/></Relationships>
</file>

<file path=xl/activeX/_rels/activeX58.xml.rels><?xml version="1.0" encoding="UTF-8" standalone="yes"?>
<Relationships xmlns="http://schemas.openxmlformats.org/package/2006/relationships"><Relationship Id="rId1" Type="http://schemas.microsoft.com/office/2006/relationships/activeXControlBinary" Target="activeX58.bin"/></Relationships>
</file>

<file path=xl/activeX/_rels/activeX59.xml.rels><?xml version="1.0" encoding="UTF-8" standalone="yes"?>
<Relationships xmlns="http://schemas.openxmlformats.org/package/2006/relationships"><Relationship Id="rId1" Type="http://schemas.microsoft.com/office/2006/relationships/activeXControlBinary" Target="activeX59.bin"/></Relationships>
</file>

<file path=xl/activeX/_rels/activeX60.xml.rels><?xml version="1.0" encoding="UTF-8" standalone="yes"?>
<Relationships xmlns="http://schemas.openxmlformats.org/package/2006/relationships"><Relationship Id="rId1" Type="http://schemas.microsoft.com/office/2006/relationships/activeXControlBinary" Target="activeX60.bin"/></Relationships>
</file>

<file path=xl/activeX/_rels/activeX61.xml.rels><?xml version="1.0" encoding="UTF-8" standalone="yes"?>
<Relationships xmlns="http://schemas.openxmlformats.org/package/2006/relationships"><Relationship Id="rId1" Type="http://schemas.microsoft.com/office/2006/relationships/activeXControlBinary" Target="activeX61.bin"/></Relationships>
</file>

<file path=xl/activeX/_rels/activeX62.xml.rels><?xml version="1.0" encoding="UTF-8" standalone="yes"?>
<Relationships xmlns="http://schemas.openxmlformats.org/package/2006/relationships"><Relationship Id="rId1" Type="http://schemas.microsoft.com/office/2006/relationships/activeXControlBinary" Target="activeX62.bin"/></Relationships>
</file>

<file path=xl/activeX/_rels/activeX63.xml.rels><?xml version="1.0" encoding="UTF-8" standalone="yes"?>
<Relationships xmlns="http://schemas.openxmlformats.org/package/2006/relationships"><Relationship Id="rId1" Type="http://schemas.microsoft.com/office/2006/relationships/activeXControlBinary" Target="activeX63.bin"/></Relationships>
</file>

<file path=xl/activeX/_rels/activeX64.xml.rels><?xml version="1.0" encoding="UTF-8" standalone="yes"?>
<Relationships xmlns="http://schemas.openxmlformats.org/package/2006/relationships"><Relationship Id="rId1" Type="http://schemas.microsoft.com/office/2006/relationships/activeXControlBinary" Target="activeX64.bin"/></Relationships>
</file>

<file path=xl/activeX/_rels/activeX65.xml.rels><?xml version="1.0" encoding="UTF-8" standalone="yes"?>
<Relationships xmlns="http://schemas.openxmlformats.org/package/2006/relationships"><Relationship Id="rId1" Type="http://schemas.microsoft.com/office/2006/relationships/activeXControlBinary" Target="activeX65.bin"/></Relationships>
</file>

<file path=xl/activeX/_rels/activeX66.xml.rels><?xml version="1.0" encoding="UTF-8" standalone="yes"?>
<Relationships xmlns="http://schemas.openxmlformats.org/package/2006/relationships"><Relationship Id="rId1" Type="http://schemas.microsoft.com/office/2006/relationships/activeXControlBinary" Target="activeX66.bin"/></Relationships>
</file>

<file path=xl/activeX/_rels/activeX67.xml.rels><?xml version="1.0" encoding="UTF-8" standalone="yes"?>
<Relationships xmlns="http://schemas.openxmlformats.org/package/2006/relationships"><Relationship Id="rId1" Type="http://schemas.microsoft.com/office/2006/relationships/activeXControlBinary" Target="activeX67.bin"/></Relationships>
</file>

<file path=xl/activeX/_rels/activeX68.xml.rels><?xml version="1.0" encoding="UTF-8" standalone="yes"?>
<Relationships xmlns="http://schemas.openxmlformats.org/package/2006/relationships"><Relationship Id="rId1" Type="http://schemas.microsoft.com/office/2006/relationships/activeXControlBinary" Target="activeX68.bin"/></Relationships>
</file>

<file path=xl/activeX/_rels/activeX69.xml.rels><?xml version="1.0" encoding="UTF-8" standalone="yes"?>
<Relationships xmlns="http://schemas.openxmlformats.org/package/2006/relationships"><Relationship Id="rId1" Type="http://schemas.microsoft.com/office/2006/relationships/activeXControlBinary" Target="activeX69.bin"/></Relationships>
</file>

<file path=xl/activeX/activeX1.xml><?xml version="1.0" encoding="utf-8"?>
<ax:ocx xmlns:ax="http://schemas.microsoft.com/office/2006/activeX" xmlns:r="http://schemas.openxmlformats.org/officeDocument/2006/relationships" ax:classid="{D7053240-CE69-11CD-A777-00DD01143C57}" ax:persistence="persistStreamInit" r:id="rId1"/>
</file>

<file path=xl/activeX/activeX2.xml><?xml version="1.0" encoding="utf-8"?>
<ax:ocx xmlns:ax="http://schemas.microsoft.com/office/2006/activeX" xmlns:r="http://schemas.openxmlformats.org/officeDocument/2006/relationships" ax:classid="{D7053240-CE69-11CD-A777-00DD01143C57}" ax:persistence="persistStreamInit" r:id="rId1"/>
</file>

<file path=xl/activeX/activeX3.xml><?xml version="1.0" encoding="utf-8"?>
<ax:ocx xmlns:ax="http://schemas.microsoft.com/office/2006/activeX" xmlns:r="http://schemas.openxmlformats.org/officeDocument/2006/relationships" ax:classid="{D7053240-CE69-11CD-A777-00DD01143C57}" ax:persistence="persistStreamInit" r:id="rId1"/>
</file>

<file path=xl/activeX/activeX4.xml><?xml version="1.0" encoding="utf-8"?>
<ax:ocx xmlns:ax="http://schemas.microsoft.com/office/2006/activeX" xmlns:r="http://schemas.openxmlformats.org/officeDocument/2006/relationships" ax:classid="{D7053240-CE69-11CD-A777-00DD01143C57}" ax:persistence="persistStreamInit" r:id="rId1"/>
</file>

<file path=xl/activeX/activeX5.xml><?xml version="1.0" encoding="utf-8"?>
<ax:ocx xmlns:ax="http://schemas.microsoft.com/office/2006/activeX" xmlns:r="http://schemas.openxmlformats.org/officeDocument/2006/relationships" ax:classid="{D7053240-CE69-11CD-A777-00DD01143C57}" ax:persistence="persistStreamInit" r:id="rId1"/>
</file>

<file path=xl/activeX/activeX6.xml><?xml version="1.0" encoding="utf-8"?>
<ax:ocx xmlns:ax="http://schemas.microsoft.com/office/2006/activeX" xmlns:r="http://schemas.openxmlformats.org/officeDocument/2006/relationships" ax:classid="{D7053240-CE69-11CD-A777-00DD01143C57}" ax:persistence="persistStreamInit" r:id="rId1"/>
</file>

<file path=xl/activeX/activeX7.xml><?xml version="1.0" encoding="utf-8"?>
<ax:ocx xmlns:ax="http://schemas.microsoft.com/office/2006/activeX" xmlns:r="http://schemas.openxmlformats.org/officeDocument/2006/relationships" ax:classid="{D7053240-CE69-11CD-A777-00DD01143C57}" ax:persistence="persistStreamInit" r:id="rId1"/>
</file>

<file path=xl/activeX/activeX8.xml><?xml version="1.0" encoding="utf-8"?>
<ax:ocx xmlns:ax="http://schemas.microsoft.com/office/2006/activeX" xmlns:r="http://schemas.openxmlformats.org/officeDocument/2006/relationships" ax:classid="{D7053240-CE69-11CD-A777-00DD01143C57}" ax:persistence="persistStreamInit" r:id="rId1"/>
</file>

<file path=xl/activeX/activeX9.xml><?xml version="1.0" encoding="utf-8"?>
<ax:ocx xmlns:ax="http://schemas.microsoft.com/office/2006/activeX" xmlns:r="http://schemas.openxmlformats.org/officeDocument/2006/relationships" ax:classid="{D7053240-CE69-11CD-A777-00DD01143C57}" ax:persistence="persistStreamInit" r:id="rId1"/>
</file>

<file path=xl/activeX/activeX10.xml><?xml version="1.0" encoding="utf-8"?>
<ax:ocx xmlns:ax="http://schemas.microsoft.com/office/2006/activeX" xmlns:r="http://schemas.openxmlformats.org/officeDocument/2006/relationships" ax:classid="{D7053240-CE69-11CD-A777-00DD01143C57}" ax:persistence="persistStreamInit" r:id="rId1"/>
</file>

<file path=xl/activeX/activeX11.xml><?xml version="1.0" encoding="utf-8"?>
<ax:ocx xmlns:ax="http://schemas.microsoft.com/office/2006/activeX" xmlns:r="http://schemas.openxmlformats.org/officeDocument/2006/relationships" ax:classid="{D7053240-CE69-11CD-A777-00DD01143C57}" ax:persistence="persistStreamInit" r:id="rId1"/>
</file>

<file path=xl/activeX/activeX12.xml><?xml version="1.0" encoding="utf-8"?>
<ax:ocx xmlns:ax="http://schemas.microsoft.com/office/2006/activeX" xmlns:r="http://schemas.openxmlformats.org/officeDocument/2006/relationships" ax:classid="{D7053240-CE69-11CD-A777-00DD01143C57}" ax:persistence="persistStreamInit" r:id="rId1"/>
</file>

<file path=xl/activeX/activeX13.xml><?xml version="1.0" encoding="utf-8"?>
<ax:ocx xmlns:ax="http://schemas.microsoft.com/office/2006/activeX" xmlns:r="http://schemas.openxmlformats.org/officeDocument/2006/relationships" ax:classid="{D7053240-CE69-11CD-A777-00DD01143C57}" ax:persistence="persistStreamInit" r:id="rId1"/>
</file>

<file path=xl/activeX/activeX14.xml><?xml version="1.0" encoding="utf-8"?>
<ax:ocx xmlns:ax="http://schemas.microsoft.com/office/2006/activeX" xmlns:r="http://schemas.openxmlformats.org/officeDocument/2006/relationships" ax:classid="{D7053240-CE69-11CD-A777-00DD01143C57}" ax:persistence="persistStreamInit" r:id="rId1"/>
</file>

<file path=xl/activeX/activeX15.xml><?xml version="1.0" encoding="utf-8"?>
<ax:ocx xmlns:ax="http://schemas.microsoft.com/office/2006/activeX" xmlns:r="http://schemas.openxmlformats.org/officeDocument/2006/relationships" ax:classid="{D7053240-CE69-11CD-A777-00DD01143C57}" ax:persistence="persistStreamInit" r:id="rId1"/>
</file>

<file path=xl/activeX/activeX16.xml><?xml version="1.0" encoding="utf-8"?>
<ax:ocx xmlns:ax="http://schemas.microsoft.com/office/2006/activeX" xmlns:r="http://schemas.openxmlformats.org/officeDocument/2006/relationships" ax:classid="{D7053240-CE69-11CD-A777-00DD01143C57}" ax:persistence="persistStreamInit" r:id="rId1"/>
</file>

<file path=xl/activeX/activeX17.xml><?xml version="1.0" encoding="utf-8"?>
<ax:ocx xmlns:ax="http://schemas.microsoft.com/office/2006/activeX" xmlns:r="http://schemas.openxmlformats.org/officeDocument/2006/relationships" ax:classid="{D7053240-CE69-11CD-A777-00DD01143C57}" ax:persistence="persistStreamInit" r:id="rId1"/>
</file>

<file path=xl/activeX/activeX18.xml><?xml version="1.0" encoding="utf-8"?>
<ax:ocx xmlns:ax="http://schemas.microsoft.com/office/2006/activeX" xmlns:r="http://schemas.openxmlformats.org/officeDocument/2006/relationships" ax:classid="{D7053240-CE69-11CD-A777-00DD01143C57}" ax:persistence="persistStreamInit" r:id="rId1"/>
</file>

<file path=xl/activeX/activeX19.xml><?xml version="1.0" encoding="utf-8"?>
<ax:ocx xmlns:ax="http://schemas.microsoft.com/office/2006/activeX" xmlns:r="http://schemas.openxmlformats.org/officeDocument/2006/relationships" ax:classid="{D7053240-CE69-11CD-A777-00DD01143C57}" ax:persistence="persistStreamInit" r:id="rId1"/>
</file>

<file path=xl/activeX/activeX20.xml><?xml version="1.0" encoding="utf-8"?>
<ax:ocx xmlns:ax="http://schemas.microsoft.com/office/2006/activeX" xmlns:r="http://schemas.openxmlformats.org/officeDocument/2006/relationships" ax:classid="{D7053240-CE69-11CD-A777-00DD01143C57}" ax:persistence="persistStreamInit" r:id="rId1"/>
</file>

<file path=xl/activeX/activeX21.xml><?xml version="1.0" encoding="utf-8"?>
<ax:ocx xmlns:ax="http://schemas.microsoft.com/office/2006/activeX" xmlns:r="http://schemas.openxmlformats.org/officeDocument/2006/relationships" ax:classid="{D7053240-CE69-11CD-A777-00DD01143C57}" ax:persistence="persistStreamInit" r:id="rId1"/>
</file>

<file path=xl/activeX/activeX22.xml><?xml version="1.0" encoding="utf-8"?>
<ax:ocx xmlns:ax="http://schemas.microsoft.com/office/2006/activeX" xmlns:r="http://schemas.openxmlformats.org/officeDocument/2006/relationships" ax:classid="{D7053240-CE69-11CD-A777-00DD01143C57}" ax:persistence="persistStreamInit" r:id="rId1"/>
</file>

<file path=xl/activeX/activeX23.xml><?xml version="1.0" encoding="utf-8"?>
<ax:ocx xmlns:ax="http://schemas.microsoft.com/office/2006/activeX" xmlns:r="http://schemas.openxmlformats.org/officeDocument/2006/relationships" ax:classid="{D7053240-CE69-11CD-A777-00DD01143C57}" ax:persistence="persistStreamInit" r:id="rId1"/>
</file>

<file path=xl/activeX/activeX24.xml><?xml version="1.0" encoding="utf-8"?>
<ax:ocx xmlns:ax="http://schemas.microsoft.com/office/2006/activeX" xmlns:r="http://schemas.openxmlformats.org/officeDocument/2006/relationships" ax:classid="{D7053240-CE69-11CD-A777-00DD01143C57}" ax:persistence="persistStreamInit" r:id="rId1"/>
</file>

<file path=xl/activeX/activeX25.xml><?xml version="1.0" encoding="utf-8"?>
<ax:ocx xmlns:ax="http://schemas.microsoft.com/office/2006/activeX" xmlns:r="http://schemas.openxmlformats.org/officeDocument/2006/relationships" ax:classid="{D7053240-CE69-11CD-A777-00DD01143C57}" ax:persistence="persistStreamInit" r:id="rId1"/>
</file>

<file path=xl/activeX/activeX26.xml><?xml version="1.0" encoding="utf-8"?>
<ax:ocx xmlns:ax="http://schemas.microsoft.com/office/2006/activeX" xmlns:r="http://schemas.openxmlformats.org/officeDocument/2006/relationships" ax:classid="{D7053240-CE69-11CD-A777-00DD01143C57}" ax:persistence="persistStreamInit" r:id="rId1"/>
</file>

<file path=xl/activeX/activeX27.xml><?xml version="1.0" encoding="utf-8"?>
<ax:ocx xmlns:ax="http://schemas.microsoft.com/office/2006/activeX" xmlns:r="http://schemas.openxmlformats.org/officeDocument/2006/relationships" ax:classid="{D7053240-CE69-11CD-A777-00DD01143C57}" ax:persistence="persistStreamInit" r:id="rId1"/>
</file>

<file path=xl/activeX/activeX28.xml><?xml version="1.0" encoding="utf-8"?>
<ax:ocx xmlns:ax="http://schemas.microsoft.com/office/2006/activeX" xmlns:r="http://schemas.openxmlformats.org/officeDocument/2006/relationships" ax:classid="{D7053240-CE69-11CD-A777-00DD01143C57}" ax:persistence="persistStreamInit" r:id="rId1"/>
</file>

<file path=xl/activeX/activeX29.xml><?xml version="1.0" encoding="utf-8"?>
<ax:ocx xmlns:ax="http://schemas.microsoft.com/office/2006/activeX" xmlns:r="http://schemas.openxmlformats.org/officeDocument/2006/relationships" ax:classid="{D7053240-CE69-11CD-A777-00DD01143C57}" ax:persistence="persistStreamInit" r:id="rId1"/>
</file>

<file path=xl/activeX/activeX30.xml><?xml version="1.0" encoding="utf-8"?>
<ax:ocx xmlns:ax="http://schemas.microsoft.com/office/2006/activeX" xmlns:r="http://schemas.openxmlformats.org/officeDocument/2006/relationships" ax:classid="{D7053240-CE69-11CD-A777-00DD01143C57}" ax:persistence="persistStreamInit" r:id="rId1"/>
</file>

<file path=xl/activeX/activeX31.xml><?xml version="1.0" encoding="utf-8"?>
<ax:ocx xmlns:ax="http://schemas.microsoft.com/office/2006/activeX" xmlns:r="http://schemas.openxmlformats.org/officeDocument/2006/relationships" ax:classid="{D7053240-CE69-11CD-A777-00DD01143C57}" ax:persistence="persistStreamInit" r:id="rId1"/>
</file>

<file path=xl/activeX/activeX32.xml><?xml version="1.0" encoding="utf-8"?>
<ax:ocx xmlns:ax="http://schemas.microsoft.com/office/2006/activeX" xmlns:r="http://schemas.openxmlformats.org/officeDocument/2006/relationships" ax:classid="{D7053240-CE69-11CD-A777-00DD01143C57}" ax:persistence="persistStreamInit" r:id="rId1"/>
</file>

<file path=xl/activeX/activeX33.xml><?xml version="1.0" encoding="utf-8"?>
<ax:ocx xmlns:ax="http://schemas.microsoft.com/office/2006/activeX" xmlns:r="http://schemas.openxmlformats.org/officeDocument/2006/relationships" ax:classid="{D7053240-CE69-11CD-A777-00DD01143C57}" ax:persistence="persistStreamInit" r:id="rId1"/>
</file>

<file path=xl/activeX/activeX34.xml><?xml version="1.0" encoding="utf-8"?>
<ax:ocx xmlns:ax="http://schemas.microsoft.com/office/2006/activeX" xmlns:r="http://schemas.openxmlformats.org/officeDocument/2006/relationships" ax:classid="{D7053240-CE69-11CD-A777-00DD01143C57}" ax:persistence="persistStreamInit" r:id="rId1"/>
</file>

<file path=xl/activeX/activeX35.xml><?xml version="1.0" encoding="utf-8"?>
<ax:ocx xmlns:ax="http://schemas.microsoft.com/office/2006/activeX" xmlns:r="http://schemas.openxmlformats.org/officeDocument/2006/relationships" ax:classid="{D7053240-CE69-11CD-A777-00DD01143C57}" ax:persistence="persistStreamInit" r:id="rId1"/>
</file>

<file path=xl/activeX/activeX36.xml><?xml version="1.0" encoding="utf-8"?>
<ax:ocx xmlns:ax="http://schemas.microsoft.com/office/2006/activeX" xmlns:r="http://schemas.openxmlformats.org/officeDocument/2006/relationships" ax:classid="{D7053240-CE69-11CD-A777-00DD01143C57}" ax:persistence="persistStreamInit" r:id="rId1"/>
</file>

<file path=xl/activeX/activeX37.xml><?xml version="1.0" encoding="utf-8"?>
<ax:ocx xmlns:ax="http://schemas.microsoft.com/office/2006/activeX" xmlns:r="http://schemas.openxmlformats.org/officeDocument/2006/relationships" ax:classid="{D7053240-CE69-11CD-A777-00DD01143C57}" ax:persistence="persistStreamInit" r:id="rId1"/>
</file>

<file path=xl/activeX/activeX38.xml><?xml version="1.0" encoding="utf-8"?>
<ax:ocx xmlns:ax="http://schemas.microsoft.com/office/2006/activeX" xmlns:r="http://schemas.openxmlformats.org/officeDocument/2006/relationships" ax:classid="{D7053240-CE69-11CD-A777-00DD01143C57}" ax:persistence="persistStreamInit" r:id="rId1"/>
</file>

<file path=xl/activeX/activeX39.xml><?xml version="1.0" encoding="utf-8"?>
<ax:ocx xmlns:ax="http://schemas.microsoft.com/office/2006/activeX" xmlns:r="http://schemas.openxmlformats.org/officeDocument/2006/relationships" ax:classid="{D7053240-CE69-11CD-A777-00DD01143C57}" ax:persistence="persistStreamInit" r:id="rId1"/>
</file>

<file path=xl/activeX/activeX40.xml><?xml version="1.0" encoding="utf-8"?>
<ax:ocx xmlns:ax="http://schemas.microsoft.com/office/2006/activeX" xmlns:r="http://schemas.openxmlformats.org/officeDocument/2006/relationships" ax:classid="{D7053240-CE69-11CD-A777-00DD01143C57}" ax:persistence="persistStreamInit" r:id="rId1"/>
</file>

<file path=xl/activeX/activeX41.xml><?xml version="1.0" encoding="utf-8"?>
<ax:ocx xmlns:ax="http://schemas.microsoft.com/office/2006/activeX" xmlns:r="http://schemas.openxmlformats.org/officeDocument/2006/relationships" ax:classid="{D7053240-CE69-11CD-A777-00DD01143C57}" ax:persistence="persistStreamInit" r:id="rId1"/>
</file>

<file path=xl/activeX/activeX42.xml><?xml version="1.0" encoding="utf-8"?>
<ax:ocx xmlns:ax="http://schemas.microsoft.com/office/2006/activeX" xmlns:r="http://schemas.openxmlformats.org/officeDocument/2006/relationships" ax:classid="{D7053240-CE69-11CD-A777-00DD01143C57}" ax:persistence="persistStreamInit" r:id="rId1"/>
</file>

<file path=xl/activeX/activeX43.xml><?xml version="1.0" encoding="utf-8"?>
<ax:ocx xmlns:ax="http://schemas.microsoft.com/office/2006/activeX" xmlns:r="http://schemas.openxmlformats.org/officeDocument/2006/relationships" ax:classid="{D7053240-CE69-11CD-A777-00DD01143C57}" ax:persistence="persistStreamInit" r:id="rId1"/>
</file>

<file path=xl/activeX/activeX44.xml><?xml version="1.0" encoding="utf-8"?>
<ax:ocx xmlns:ax="http://schemas.microsoft.com/office/2006/activeX" xmlns:r="http://schemas.openxmlformats.org/officeDocument/2006/relationships" ax:classid="{D7053240-CE69-11CD-A777-00DD01143C57}" ax:persistence="persistStreamInit" r:id="rId1"/>
</file>

<file path=xl/activeX/activeX45.xml><?xml version="1.0" encoding="utf-8"?>
<ax:ocx xmlns:ax="http://schemas.microsoft.com/office/2006/activeX" xmlns:r="http://schemas.openxmlformats.org/officeDocument/2006/relationships" ax:classid="{D7053240-CE69-11CD-A777-00DD01143C57}" ax:persistence="persistStreamInit" r:id="rId1"/>
</file>

<file path=xl/activeX/activeX46.xml><?xml version="1.0" encoding="utf-8"?>
<ax:ocx xmlns:ax="http://schemas.microsoft.com/office/2006/activeX" xmlns:r="http://schemas.openxmlformats.org/officeDocument/2006/relationships" ax:classid="{D7053240-CE69-11CD-A777-00DD01143C57}" ax:persistence="persistStreamInit" r:id="rId1"/>
</file>

<file path=xl/activeX/activeX47.xml><?xml version="1.0" encoding="utf-8"?>
<ax:ocx xmlns:ax="http://schemas.microsoft.com/office/2006/activeX" xmlns:r="http://schemas.openxmlformats.org/officeDocument/2006/relationships" ax:classid="{D7053240-CE69-11CD-A777-00DD01143C57}" ax:persistence="persistStreamInit" r:id="rId1"/>
</file>

<file path=xl/activeX/activeX48.xml><?xml version="1.0" encoding="utf-8"?>
<ax:ocx xmlns:ax="http://schemas.microsoft.com/office/2006/activeX" xmlns:r="http://schemas.openxmlformats.org/officeDocument/2006/relationships" ax:classid="{D7053240-CE69-11CD-A777-00DD01143C57}" ax:persistence="persistStreamInit" r:id="rId1"/>
</file>

<file path=xl/activeX/activeX49.xml><?xml version="1.0" encoding="utf-8"?>
<ax:ocx xmlns:ax="http://schemas.microsoft.com/office/2006/activeX" xmlns:r="http://schemas.openxmlformats.org/officeDocument/2006/relationships" ax:classid="{D7053240-CE69-11CD-A777-00DD01143C57}" ax:persistence="persistStreamInit" r:id="rId1"/>
</file>

<file path=xl/activeX/activeX50.xml><?xml version="1.0" encoding="utf-8"?>
<ax:ocx xmlns:ax="http://schemas.microsoft.com/office/2006/activeX" xmlns:r="http://schemas.openxmlformats.org/officeDocument/2006/relationships" ax:classid="{D7053240-CE69-11CD-A777-00DD01143C57}" ax:persistence="persistStreamInit" r:id="rId1"/>
</file>

<file path=xl/activeX/activeX51.xml><?xml version="1.0" encoding="utf-8"?>
<ax:ocx xmlns:ax="http://schemas.microsoft.com/office/2006/activeX" xmlns:r="http://schemas.openxmlformats.org/officeDocument/2006/relationships" ax:classid="{D7053240-CE69-11CD-A777-00DD01143C57}" ax:persistence="persistStreamInit" r:id="rId1"/>
</file>

<file path=xl/activeX/activeX52.xml><?xml version="1.0" encoding="utf-8"?>
<ax:ocx xmlns:ax="http://schemas.microsoft.com/office/2006/activeX" xmlns:r="http://schemas.openxmlformats.org/officeDocument/2006/relationships" ax:classid="{D7053240-CE69-11CD-A777-00DD01143C57}" ax:persistence="persistStreamInit" r:id="rId1"/>
</file>

<file path=xl/activeX/activeX53.xml><?xml version="1.0" encoding="utf-8"?>
<ax:ocx xmlns:ax="http://schemas.microsoft.com/office/2006/activeX" xmlns:r="http://schemas.openxmlformats.org/officeDocument/2006/relationships" ax:classid="{D7053240-CE69-11CD-A777-00DD01143C57}" ax:persistence="persistStreamInit" r:id="rId1"/>
</file>

<file path=xl/activeX/activeX54.xml><?xml version="1.0" encoding="utf-8"?>
<ax:ocx xmlns:ax="http://schemas.microsoft.com/office/2006/activeX" xmlns:r="http://schemas.openxmlformats.org/officeDocument/2006/relationships" ax:classid="{D7053240-CE69-11CD-A777-00DD01143C57}" ax:persistence="persistStreamInit" r:id="rId1"/>
</file>

<file path=xl/activeX/activeX55.xml><?xml version="1.0" encoding="utf-8"?>
<ax:ocx xmlns:ax="http://schemas.microsoft.com/office/2006/activeX" xmlns:r="http://schemas.openxmlformats.org/officeDocument/2006/relationships" ax:classid="{D7053240-CE69-11CD-A777-00DD01143C57}" ax:persistence="persistStreamInit" r:id="rId1"/>
</file>

<file path=xl/activeX/activeX56.xml><?xml version="1.0" encoding="utf-8"?>
<ax:ocx xmlns:ax="http://schemas.microsoft.com/office/2006/activeX" xmlns:r="http://schemas.openxmlformats.org/officeDocument/2006/relationships" ax:classid="{D7053240-CE69-11CD-A777-00DD01143C57}" ax:persistence="persistStreamInit" r:id="rId1"/>
</file>

<file path=xl/activeX/activeX57.xml><?xml version="1.0" encoding="utf-8"?>
<ax:ocx xmlns:ax="http://schemas.microsoft.com/office/2006/activeX" xmlns:r="http://schemas.openxmlformats.org/officeDocument/2006/relationships" ax:classid="{D7053240-CE69-11CD-A777-00DD01143C57}" ax:persistence="persistStreamInit" r:id="rId1"/>
</file>

<file path=xl/activeX/activeX58.xml><?xml version="1.0" encoding="utf-8"?>
<ax:ocx xmlns:ax="http://schemas.microsoft.com/office/2006/activeX" xmlns:r="http://schemas.openxmlformats.org/officeDocument/2006/relationships" ax:classid="{D7053240-CE69-11CD-A777-00DD01143C57}" ax:persistence="persistStreamInit" r:id="rId1"/>
</file>

<file path=xl/activeX/activeX59.xml><?xml version="1.0" encoding="utf-8"?>
<ax:ocx xmlns:ax="http://schemas.microsoft.com/office/2006/activeX" xmlns:r="http://schemas.openxmlformats.org/officeDocument/2006/relationships" ax:classid="{D7053240-CE69-11CD-A777-00DD01143C57}" ax:persistence="persistStreamInit" r:id="rId1"/>
</file>

<file path=xl/activeX/activeX60.xml><?xml version="1.0" encoding="utf-8"?>
<ax:ocx xmlns:ax="http://schemas.microsoft.com/office/2006/activeX" xmlns:r="http://schemas.openxmlformats.org/officeDocument/2006/relationships" ax:classid="{D7053240-CE69-11CD-A777-00DD01143C57}" ax:persistence="persistStreamInit" r:id="rId1"/>
</file>

<file path=xl/activeX/activeX61.xml><?xml version="1.0" encoding="utf-8"?>
<ax:ocx xmlns:ax="http://schemas.microsoft.com/office/2006/activeX" xmlns:r="http://schemas.openxmlformats.org/officeDocument/2006/relationships" ax:classid="{D7053240-CE69-11CD-A777-00DD01143C57}" ax:persistence="persistStreamInit" r:id="rId1"/>
</file>

<file path=xl/activeX/activeX62.xml><?xml version="1.0" encoding="utf-8"?>
<ax:ocx xmlns:ax="http://schemas.microsoft.com/office/2006/activeX" xmlns:r="http://schemas.openxmlformats.org/officeDocument/2006/relationships" ax:classid="{D7053240-CE69-11CD-A777-00DD01143C57}" ax:persistence="persistStreamInit" r:id="rId1"/>
</file>

<file path=xl/activeX/activeX63.xml><?xml version="1.0" encoding="utf-8"?>
<ax:ocx xmlns:ax="http://schemas.microsoft.com/office/2006/activeX" xmlns:r="http://schemas.openxmlformats.org/officeDocument/2006/relationships" ax:classid="{D7053240-CE69-11CD-A777-00DD01143C57}" ax:persistence="persistStreamInit" r:id="rId1"/>
</file>

<file path=xl/activeX/activeX64.xml><?xml version="1.0" encoding="utf-8"?>
<ax:ocx xmlns:ax="http://schemas.microsoft.com/office/2006/activeX" xmlns:r="http://schemas.openxmlformats.org/officeDocument/2006/relationships" ax:classid="{D7053240-CE69-11CD-A777-00DD01143C57}" ax:persistence="persistStreamInit" r:id="rId1"/>
</file>

<file path=xl/activeX/activeX65.xml><?xml version="1.0" encoding="utf-8"?>
<ax:ocx xmlns:ax="http://schemas.microsoft.com/office/2006/activeX" xmlns:r="http://schemas.openxmlformats.org/officeDocument/2006/relationships" ax:classid="{D7053240-CE69-11CD-A777-00DD01143C57}" ax:persistence="persistStreamInit" r:id="rId1"/>
</file>

<file path=xl/activeX/activeX66.xml><?xml version="1.0" encoding="utf-8"?>
<ax:ocx xmlns:ax="http://schemas.microsoft.com/office/2006/activeX" xmlns:r="http://schemas.openxmlformats.org/officeDocument/2006/relationships" ax:classid="{D7053240-CE69-11CD-A777-00DD01143C57}" ax:persistence="persistStreamInit" r:id="rId1"/>
</file>

<file path=xl/activeX/activeX67.xml><?xml version="1.0" encoding="utf-8"?>
<ax:ocx xmlns:ax="http://schemas.microsoft.com/office/2006/activeX" xmlns:r="http://schemas.openxmlformats.org/officeDocument/2006/relationships" ax:classid="{D7053240-CE69-11CD-A777-00DD01143C57}" ax:persistence="persistStreamInit" r:id="rId1"/>
</file>

<file path=xl/activeX/activeX68.xml><?xml version="1.0" encoding="utf-8"?>
<ax:ocx xmlns:ax="http://schemas.microsoft.com/office/2006/activeX" xmlns:r="http://schemas.openxmlformats.org/officeDocument/2006/relationships" ax:classid="{D7053240-CE69-11CD-A777-00DD01143C57}" ax:persistence="persistStreamInit" r:id="rId1"/>
</file>

<file path=xl/activeX/activeX69.xml><?xml version="1.0" encoding="utf-8"?>
<ax:ocx xmlns:ax="http://schemas.microsoft.com/office/2006/activeX" xmlns:r="http://schemas.openxmlformats.org/officeDocument/2006/relationships" ax:classid="{D7053240-CE69-11CD-A777-00DD01143C57}" ax:persistence="persistStreamInit" r:id="rId1"/>
</file>

<file path=xl/drawings/_rels/vmlDrawing1.v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 Id="rId5" Type="http://schemas.openxmlformats.org/officeDocument/2006/relationships/image" Target="../media/image5.emf"/><Relationship Id="rId4" Type="http://schemas.openxmlformats.org/officeDocument/2006/relationships/image" Target="../media/image4.emf"/></Relationships>
</file>

<file path=xl/drawings/_rels/vmlDrawing2.vml.rels><?xml version="1.0" encoding="UTF-8" standalone="yes"?>
<Relationships xmlns="http://schemas.openxmlformats.org/package/2006/relationships"><Relationship Id="rId3" Type="http://schemas.openxmlformats.org/officeDocument/2006/relationships/image" Target="../media/image8.emf"/><Relationship Id="rId7" Type="http://schemas.openxmlformats.org/officeDocument/2006/relationships/image" Target="../media/image12.emf"/><Relationship Id="rId2" Type="http://schemas.openxmlformats.org/officeDocument/2006/relationships/image" Target="../media/image7.emf"/><Relationship Id="rId1" Type="http://schemas.openxmlformats.org/officeDocument/2006/relationships/image" Target="../media/image6.emf"/><Relationship Id="rId6" Type="http://schemas.openxmlformats.org/officeDocument/2006/relationships/image" Target="../media/image11.emf"/><Relationship Id="rId5" Type="http://schemas.openxmlformats.org/officeDocument/2006/relationships/image" Target="../media/image10.emf"/><Relationship Id="rId4" Type="http://schemas.openxmlformats.org/officeDocument/2006/relationships/image" Target="../media/image9.emf"/></Relationships>
</file>

<file path=xl/drawings/_rels/vmlDrawing3.vml.rels><?xml version="1.0" encoding="UTF-8" standalone="yes"?>
<Relationships xmlns="http://schemas.openxmlformats.org/package/2006/relationships"><Relationship Id="rId8" Type="http://schemas.openxmlformats.org/officeDocument/2006/relationships/image" Target="../media/image20.emf"/><Relationship Id="rId3" Type="http://schemas.openxmlformats.org/officeDocument/2006/relationships/image" Target="../media/image15.emf"/><Relationship Id="rId7" Type="http://schemas.openxmlformats.org/officeDocument/2006/relationships/image" Target="../media/image19.emf"/><Relationship Id="rId2" Type="http://schemas.openxmlformats.org/officeDocument/2006/relationships/image" Target="../media/image14.emf"/><Relationship Id="rId1" Type="http://schemas.openxmlformats.org/officeDocument/2006/relationships/image" Target="../media/image13.emf"/><Relationship Id="rId6" Type="http://schemas.openxmlformats.org/officeDocument/2006/relationships/image" Target="../media/image18.emf"/><Relationship Id="rId5" Type="http://schemas.openxmlformats.org/officeDocument/2006/relationships/image" Target="../media/image17.emf"/><Relationship Id="rId4" Type="http://schemas.openxmlformats.org/officeDocument/2006/relationships/image" Target="../media/image16.emf"/></Relationships>
</file>

<file path=xl/drawings/_rels/vmlDrawing4.vml.rels><?xml version="1.0" encoding="UTF-8" standalone="yes"?>
<Relationships xmlns="http://schemas.openxmlformats.org/package/2006/relationships"><Relationship Id="rId3" Type="http://schemas.openxmlformats.org/officeDocument/2006/relationships/image" Target="../media/image23.emf"/><Relationship Id="rId2" Type="http://schemas.openxmlformats.org/officeDocument/2006/relationships/image" Target="../media/image22.emf"/><Relationship Id="rId1" Type="http://schemas.openxmlformats.org/officeDocument/2006/relationships/image" Target="../media/image21.emf"/><Relationship Id="rId5" Type="http://schemas.openxmlformats.org/officeDocument/2006/relationships/image" Target="../media/image25.emf"/><Relationship Id="rId4" Type="http://schemas.openxmlformats.org/officeDocument/2006/relationships/image" Target="../media/image24.emf"/></Relationships>
</file>

<file path=xl/drawings/_rels/vmlDrawing5.vml.rels><?xml version="1.0" encoding="UTF-8" standalone="yes"?>
<Relationships xmlns="http://schemas.openxmlformats.org/package/2006/relationships"><Relationship Id="rId3" Type="http://schemas.openxmlformats.org/officeDocument/2006/relationships/image" Target="../media/image28.emf"/><Relationship Id="rId2" Type="http://schemas.openxmlformats.org/officeDocument/2006/relationships/image" Target="../media/image27.emf"/><Relationship Id="rId1" Type="http://schemas.openxmlformats.org/officeDocument/2006/relationships/image" Target="../media/image26.emf"/><Relationship Id="rId4" Type="http://schemas.openxmlformats.org/officeDocument/2006/relationships/image" Target="../media/image29.emf"/></Relationships>
</file>

<file path=xl/drawings/_rels/vmlDrawing6.vml.rels><?xml version="1.0" encoding="UTF-8" standalone="yes"?>
<Relationships xmlns="http://schemas.openxmlformats.org/package/2006/relationships"><Relationship Id="rId3" Type="http://schemas.openxmlformats.org/officeDocument/2006/relationships/image" Target="../media/image32.emf"/><Relationship Id="rId2" Type="http://schemas.openxmlformats.org/officeDocument/2006/relationships/image" Target="../media/image31.emf"/><Relationship Id="rId1" Type="http://schemas.openxmlformats.org/officeDocument/2006/relationships/image" Target="../media/image30.emf"/><Relationship Id="rId5" Type="http://schemas.openxmlformats.org/officeDocument/2006/relationships/image" Target="../media/image34.emf"/><Relationship Id="rId4" Type="http://schemas.openxmlformats.org/officeDocument/2006/relationships/image" Target="../media/image33.emf"/></Relationships>
</file>

<file path=xl/drawings/_rels/vmlDrawing7.vml.rels><?xml version="1.0" encoding="UTF-8" standalone="yes"?>
<Relationships xmlns="http://schemas.openxmlformats.org/package/2006/relationships"><Relationship Id="rId3" Type="http://schemas.openxmlformats.org/officeDocument/2006/relationships/image" Target="../media/image37.emf"/><Relationship Id="rId7" Type="http://schemas.openxmlformats.org/officeDocument/2006/relationships/image" Target="../media/image41.emf"/><Relationship Id="rId2" Type="http://schemas.openxmlformats.org/officeDocument/2006/relationships/image" Target="../media/image36.emf"/><Relationship Id="rId1" Type="http://schemas.openxmlformats.org/officeDocument/2006/relationships/image" Target="../media/image35.emf"/><Relationship Id="rId6" Type="http://schemas.openxmlformats.org/officeDocument/2006/relationships/image" Target="../media/image40.emf"/><Relationship Id="rId5" Type="http://schemas.openxmlformats.org/officeDocument/2006/relationships/image" Target="../media/image39.emf"/><Relationship Id="rId4" Type="http://schemas.openxmlformats.org/officeDocument/2006/relationships/image" Target="../media/image38.emf"/></Relationships>
</file>

<file path=xl/drawings/_rels/vmlDrawing8.vml.rels><?xml version="1.0" encoding="UTF-8" standalone="yes"?>
<Relationships xmlns="http://schemas.openxmlformats.org/package/2006/relationships"><Relationship Id="rId3" Type="http://schemas.openxmlformats.org/officeDocument/2006/relationships/image" Target="../media/image44.emf"/><Relationship Id="rId2" Type="http://schemas.openxmlformats.org/officeDocument/2006/relationships/image" Target="../media/image43.emf"/><Relationship Id="rId1" Type="http://schemas.openxmlformats.org/officeDocument/2006/relationships/image" Target="../media/image42.emf"/><Relationship Id="rId6" Type="http://schemas.openxmlformats.org/officeDocument/2006/relationships/image" Target="../media/image47.emf"/><Relationship Id="rId5" Type="http://schemas.openxmlformats.org/officeDocument/2006/relationships/image" Target="../media/image46.emf"/><Relationship Id="rId4" Type="http://schemas.openxmlformats.org/officeDocument/2006/relationships/image" Target="../media/image45.emf"/></Relationships>
</file>

<file path=xl/drawings/_rels/vmlDrawing11.vml.rels><?xml version="1.0" encoding="UTF-8" standalone="yes"?>
<Relationships xmlns="http://schemas.openxmlformats.org/package/2006/relationships"><Relationship Id="rId3" Type="http://schemas.openxmlformats.org/officeDocument/2006/relationships/image" Target="../media/image50.emf"/><Relationship Id="rId2" Type="http://schemas.openxmlformats.org/officeDocument/2006/relationships/image" Target="../media/image49.emf"/><Relationship Id="rId1" Type="http://schemas.openxmlformats.org/officeDocument/2006/relationships/image" Target="../media/image48.emf"/><Relationship Id="rId6" Type="http://schemas.openxmlformats.org/officeDocument/2006/relationships/image" Target="../media/image53.emf"/><Relationship Id="rId5" Type="http://schemas.openxmlformats.org/officeDocument/2006/relationships/image" Target="../media/image52.emf"/><Relationship Id="rId4" Type="http://schemas.openxmlformats.org/officeDocument/2006/relationships/image" Target="../media/image51.emf"/></Relationships>
</file>

<file path=xl/drawings/_rels/vmlDrawing12.vml.rels><?xml version="1.0" encoding="UTF-8" standalone="yes"?>
<Relationships xmlns="http://schemas.openxmlformats.org/package/2006/relationships"><Relationship Id="rId3" Type="http://schemas.openxmlformats.org/officeDocument/2006/relationships/image" Target="../media/image56.emf"/><Relationship Id="rId7" Type="http://schemas.openxmlformats.org/officeDocument/2006/relationships/image" Target="../media/image60.emf"/><Relationship Id="rId2" Type="http://schemas.openxmlformats.org/officeDocument/2006/relationships/image" Target="../media/image55.emf"/><Relationship Id="rId1" Type="http://schemas.openxmlformats.org/officeDocument/2006/relationships/image" Target="../media/image54.emf"/><Relationship Id="rId6" Type="http://schemas.openxmlformats.org/officeDocument/2006/relationships/image" Target="../media/image59.emf"/><Relationship Id="rId5" Type="http://schemas.openxmlformats.org/officeDocument/2006/relationships/image" Target="../media/image58.emf"/><Relationship Id="rId4" Type="http://schemas.openxmlformats.org/officeDocument/2006/relationships/image" Target="../media/image57.emf"/></Relationships>
</file>

<file path=xl/drawings/_rels/vmlDrawing13.vml.rels><?xml version="1.0" encoding="UTF-8" standalone="yes"?>
<Relationships xmlns="http://schemas.openxmlformats.org/package/2006/relationships"><Relationship Id="rId3" Type="http://schemas.openxmlformats.org/officeDocument/2006/relationships/image" Target="../media/image63.emf"/><Relationship Id="rId2" Type="http://schemas.openxmlformats.org/officeDocument/2006/relationships/image" Target="../media/image62.emf"/><Relationship Id="rId1" Type="http://schemas.openxmlformats.org/officeDocument/2006/relationships/image" Target="../media/image61.emf"/><Relationship Id="rId5" Type="http://schemas.openxmlformats.org/officeDocument/2006/relationships/image" Target="../media/image65.emf"/><Relationship Id="rId4" Type="http://schemas.openxmlformats.org/officeDocument/2006/relationships/image" Target="../media/image64.emf"/></Relationships>
</file>

<file path=xl/drawings/_rels/vmlDrawing14.vml.rels><?xml version="1.0" encoding="UTF-8" standalone="yes"?>
<Relationships xmlns="http://schemas.openxmlformats.org/package/2006/relationships"><Relationship Id="rId3" Type="http://schemas.openxmlformats.org/officeDocument/2006/relationships/image" Target="../media/image68.emf"/><Relationship Id="rId2" Type="http://schemas.openxmlformats.org/officeDocument/2006/relationships/image" Target="../media/image67.emf"/><Relationship Id="rId1" Type="http://schemas.openxmlformats.org/officeDocument/2006/relationships/image" Target="../media/image66.emf"/><Relationship Id="rId4" Type="http://schemas.openxmlformats.org/officeDocument/2006/relationships/image" Target="../media/image69.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22860</xdr:colOff>
          <xdr:row>4</xdr:row>
          <xdr:rowOff>22860</xdr:rowOff>
        </xdr:from>
        <xdr:to>
          <xdr:col>5</xdr:col>
          <xdr:colOff>1821180</xdr:colOff>
          <xdr:row>5</xdr:row>
          <xdr:rowOff>91440</xdr:rowOff>
        </xdr:to>
        <xdr:sp macro="" textlink="">
          <xdr:nvSpPr>
            <xdr:cNvPr id="56321" name="cmdTechnologySets" hidden="1">
              <a:extLst>
                <a:ext uri="{63B3BB69-23CF-44E3-9099-C40C66FF867C}">
                  <a14:compatExt spid="_x0000_s56321"/>
                </a:ext>
                <a:ext uri="{FF2B5EF4-FFF2-40B4-BE49-F238E27FC236}">
                  <a16:creationId xmlns:a16="http://schemas.microsoft.com/office/drawing/2014/main" id="{00000000-0008-0000-0000-000001D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7620</xdr:colOff>
          <xdr:row>2</xdr:row>
          <xdr:rowOff>152400</xdr:rowOff>
        </xdr:from>
        <xdr:to>
          <xdr:col>1</xdr:col>
          <xdr:colOff>0</xdr:colOff>
          <xdr:row>4</xdr:row>
          <xdr:rowOff>0</xdr:rowOff>
        </xdr:to>
        <xdr:sp macro="" textlink="">
          <xdr:nvSpPr>
            <xdr:cNvPr id="56322" name="cmdCheckTechnologiesSheet" hidden="1">
              <a:extLst>
                <a:ext uri="{63B3BB69-23CF-44E3-9099-C40C66FF867C}">
                  <a14:compatExt spid="_x0000_s56322"/>
                </a:ext>
                <a:ext uri="{FF2B5EF4-FFF2-40B4-BE49-F238E27FC236}">
                  <a16:creationId xmlns:a16="http://schemas.microsoft.com/office/drawing/2014/main" id="{00000000-0008-0000-0000-000002D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7620</xdr:colOff>
          <xdr:row>4</xdr:row>
          <xdr:rowOff>22860</xdr:rowOff>
        </xdr:from>
        <xdr:to>
          <xdr:col>3</xdr:col>
          <xdr:colOff>647700</xdr:colOff>
          <xdr:row>5</xdr:row>
          <xdr:rowOff>91440</xdr:rowOff>
        </xdr:to>
        <xdr:sp macro="" textlink="">
          <xdr:nvSpPr>
            <xdr:cNvPr id="56323" name="cmdTACTUnit" hidden="1">
              <a:extLst>
                <a:ext uri="{63B3BB69-23CF-44E3-9099-C40C66FF867C}">
                  <a14:compatExt spid="_x0000_s56323"/>
                </a:ext>
                <a:ext uri="{FF2B5EF4-FFF2-40B4-BE49-F238E27FC236}">
                  <a16:creationId xmlns:a16="http://schemas.microsoft.com/office/drawing/2014/main" id="{00000000-0008-0000-0000-000003D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7620</xdr:colOff>
          <xdr:row>4</xdr:row>
          <xdr:rowOff>22860</xdr:rowOff>
        </xdr:from>
        <xdr:to>
          <xdr:col>4</xdr:col>
          <xdr:colOff>647700</xdr:colOff>
          <xdr:row>5</xdr:row>
          <xdr:rowOff>91440</xdr:rowOff>
        </xdr:to>
        <xdr:sp macro="" textlink="">
          <xdr:nvSpPr>
            <xdr:cNvPr id="56324" name="cmdTCAPUnit" hidden="1">
              <a:extLst>
                <a:ext uri="{63B3BB69-23CF-44E3-9099-C40C66FF867C}">
                  <a14:compatExt spid="_x0000_s56324"/>
                </a:ext>
                <a:ext uri="{FF2B5EF4-FFF2-40B4-BE49-F238E27FC236}">
                  <a16:creationId xmlns:a16="http://schemas.microsoft.com/office/drawing/2014/main" id="{00000000-0008-0000-0000-000004D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381000</xdr:colOff>
          <xdr:row>1</xdr:row>
          <xdr:rowOff>152400</xdr:rowOff>
        </xdr:from>
        <xdr:to>
          <xdr:col>4</xdr:col>
          <xdr:colOff>274320</xdr:colOff>
          <xdr:row>3</xdr:row>
          <xdr:rowOff>190500</xdr:rowOff>
        </xdr:to>
        <xdr:sp macro="" textlink="">
          <xdr:nvSpPr>
            <xdr:cNvPr id="56325" name="cmdRefreshUnits" hidden="1">
              <a:extLst>
                <a:ext uri="{63B3BB69-23CF-44E3-9099-C40C66FF867C}">
                  <a14:compatExt spid="_x0000_s56325"/>
                </a:ext>
                <a:ext uri="{FF2B5EF4-FFF2-40B4-BE49-F238E27FC236}">
                  <a16:creationId xmlns:a16="http://schemas.microsoft.com/office/drawing/2014/main" id="{00000000-0008-0000-0000-000005D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7620</xdr:colOff>
          <xdr:row>3</xdr:row>
          <xdr:rowOff>99060</xdr:rowOff>
        </xdr:from>
        <xdr:to>
          <xdr:col>4</xdr:col>
          <xdr:colOff>982980</xdr:colOff>
          <xdr:row>4</xdr:row>
          <xdr:rowOff>121920</xdr:rowOff>
        </xdr:to>
        <xdr:sp macro="" textlink="">
          <xdr:nvSpPr>
            <xdr:cNvPr id="55297" name="cmdEnergySets" hidden="1">
              <a:extLst>
                <a:ext uri="{63B3BB69-23CF-44E3-9099-C40C66FF867C}">
                  <a14:compatExt spid="_x0000_s55297"/>
                </a:ext>
                <a:ext uri="{FF2B5EF4-FFF2-40B4-BE49-F238E27FC236}">
                  <a16:creationId xmlns:a16="http://schemas.microsoft.com/office/drawing/2014/main" id="{00000000-0008-0000-0100-000001D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7620</xdr:colOff>
          <xdr:row>4</xdr:row>
          <xdr:rowOff>175260</xdr:rowOff>
        </xdr:from>
        <xdr:to>
          <xdr:col>4</xdr:col>
          <xdr:colOff>982980</xdr:colOff>
          <xdr:row>6</xdr:row>
          <xdr:rowOff>0</xdr:rowOff>
        </xdr:to>
        <xdr:sp macro="" textlink="">
          <xdr:nvSpPr>
            <xdr:cNvPr id="55298" name="cmdDemandSets" hidden="1">
              <a:extLst>
                <a:ext uri="{63B3BB69-23CF-44E3-9099-C40C66FF867C}">
                  <a14:compatExt spid="_x0000_s55298"/>
                </a:ext>
                <a:ext uri="{FF2B5EF4-FFF2-40B4-BE49-F238E27FC236}">
                  <a16:creationId xmlns:a16="http://schemas.microsoft.com/office/drawing/2014/main" id="{00000000-0008-0000-0100-000002D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998220</xdr:colOff>
          <xdr:row>4</xdr:row>
          <xdr:rowOff>175260</xdr:rowOff>
        </xdr:from>
        <xdr:to>
          <xdr:col>4</xdr:col>
          <xdr:colOff>1973580</xdr:colOff>
          <xdr:row>6</xdr:row>
          <xdr:rowOff>0</xdr:rowOff>
        </xdr:to>
        <xdr:sp macro="" textlink="">
          <xdr:nvSpPr>
            <xdr:cNvPr id="55299" name="cmdEmissionSets" hidden="1">
              <a:extLst>
                <a:ext uri="{63B3BB69-23CF-44E3-9099-C40C66FF867C}">
                  <a14:compatExt spid="_x0000_s55299"/>
                </a:ext>
                <a:ext uri="{FF2B5EF4-FFF2-40B4-BE49-F238E27FC236}">
                  <a16:creationId xmlns:a16="http://schemas.microsoft.com/office/drawing/2014/main" id="{00000000-0008-0000-0100-000003D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998220</xdr:colOff>
          <xdr:row>3</xdr:row>
          <xdr:rowOff>99060</xdr:rowOff>
        </xdr:from>
        <xdr:to>
          <xdr:col>4</xdr:col>
          <xdr:colOff>1973580</xdr:colOff>
          <xdr:row>4</xdr:row>
          <xdr:rowOff>121920</xdr:rowOff>
        </xdr:to>
        <xdr:sp macro="" textlink="">
          <xdr:nvSpPr>
            <xdr:cNvPr id="55300" name="cmdMaterialSets" hidden="1">
              <a:extLst>
                <a:ext uri="{63B3BB69-23CF-44E3-9099-C40C66FF867C}">
                  <a14:compatExt spid="_x0000_s55300"/>
                </a:ext>
                <a:ext uri="{FF2B5EF4-FFF2-40B4-BE49-F238E27FC236}">
                  <a16:creationId xmlns:a16="http://schemas.microsoft.com/office/drawing/2014/main" id="{00000000-0008-0000-0100-000004D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7620</xdr:colOff>
          <xdr:row>2</xdr:row>
          <xdr:rowOff>144780</xdr:rowOff>
        </xdr:from>
        <xdr:to>
          <xdr:col>0</xdr:col>
          <xdr:colOff>830580</xdr:colOff>
          <xdr:row>4</xdr:row>
          <xdr:rowOff>0</xdr:rowOff>
        </xdr:to>
        <xdr:sp macro="" textlink="">
          <xdr:nvSpPr>
            <xdr:cNvPr id="55301" name="cmdCheckCommoditiesSheet" hidden="1">
              <a:extLst>
                <a:ext uri="{63B3BB69-23CF-44E3-9099-C40C66FF867C}">
                  <a14:compatExt spid="_x0000_s55301"/>
                </a:ext>
                <a:ext uri="{FF2B5EF4-FFF2-40B4-BE49-F238E27FC236}">
                  <a16:creationId xmlns:a16="http://schemas.microsoft.com/office/drawing/2014/main" id="{00000000-0008-0000-0100-000005D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7620</xdr:colOff>
          <xdr:row>4</xdr:row>
          <xdr:rowOff>175260</xdr:rowOff>
        </xdr:from>
        <xdr:to>
          <xdr:col>3</xdr:col>
          <xdr:colOff>670560</xdr:colOff>
          <xdr:row>6</xdr:row>
          <xdr:rowOff>0</xdr:rowOff>
        </xdr:to>
        <xdr:sp macro="" textlink="">
          <xdr:nvSpPr>
            <xdr:cNvPr id="55302" name="cmdCommUnit" hidden="1">
              <a:extLst>
                <a:ext uri="{63B3BB69-23CF-44E3-9099-C40C66FF867C}">
                  <a14:compatExt spid="_x0000_s55302"/>
                </a:ext>
                <a:ext uri="{FF2B5EF4-FFF2-40B4-BE49-F238E27FC236}">
                  <a16:creationId xmlns:a16="http://schemas.microsoft.com/office/drawing/2014/main" id="{00000000-0008-0000-0100-000006D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68580</xdr:colOff>
          <xdr:row>2</xdr:row>
          <xdr:rowOff>114300</xdr:rowOff>
        </xdr:from>
        <xdr:to>
          <xdr:col>3</xdr:col>
          <xdr:colOff>624840</xdr:colOff>
          <xdr:row>4</xdr:row>
          <xdr:rowOff>106680</xdr:rowOff>
        </xdr:to>
        <xdr:sp macro="" textlink="">
          <xdr:nvSpPr>
            <xdr:cNvPr id="55303" name="cmdRefreshUnits" hidden="1">
              <a:extLst>
                <a:ext uri="{63B3BB69-23CF-44E3-9099-C40C66FF867C}">
                  <a14:compatExt spid="_x0000_s55303"/>
                </a:ext>
                <a:ext uri="{FF2B5EF4-FFF2-40B4-BE49-F238E27FC236}">
                  <a16:creationId xmlns:a16="http://schemas.microsoft.com/office/drawing/2014/main" id="{00000000-0008-0000-0100-000007D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7620</xdr:colOff>
          <xdr:row>3</xdr:row>
          <xdr:rowOff>99060</xdr:rowOff>
        </xdr:from>
        <xdr:to>
          <xdr:col>4</xdr:col>
          <xdr:colOff>982980</xdr:colOff>
          <xdr:row>4</xdr:row>
          <xdr:rowOff>121920</xdr:rowOff>
        </xdr:to>
        <xdr:sp macro="" textlink="">
          <xdr:nvSpPr>
            <xdr:cNvPr id="2049" name="cmdEnergySets" hidden="1">
              <a:extLst>
                <a:ext uri="{63B3BB69-23CF-44E3-9099-C40C66FF867C}">
                  <a14:compatExt spid="_x0000_s2049"/>
                </a:ext>
                <a:ext uri="{FF2B5EF4-FFF2-40B4-BE49-F238E27FC236}">
                  <a16:creationId xmlns:a16="http://schemas.microsoft.com/office/drawing/2014/main" id="{00000000-0008-0000-0200-000001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7620</xdr:colOff>
          <xdr:row>4</xdr:row>
          <xdr:rowOff>175260</xdr:rowOff>
        </xdr:from>
        <xdr:to>
          <xdr:col>4</xdr:col>
          <xdr:colOff>982980</xdr:colOff>
          <xdr:row>6</xdr:row>
          <xdr:rowOff>0</xdr:rowOff>
        </xdr:to>
        <xdr:sp macro="" textlink="">
          <xdr:nvSpPr>
            <xdr:cNvPr id="2051" name="cmdDemandSets" hidden="1">
              <a:extLst>
                <a:ext uri="{63B3BB69-23CF-44E3-9099-C40C66FF867C}">
                  <a14:compatExt spid="_x0000_s2051"/>
                </a:ext>
                <a:ext uri="{FF2B5EF4-FFF2-40B4-BE49-F238E27FC236}">
                  <a16:creationId xmlns:a16="http://schemas.microsoft.com/office/drawing/2014/main" id="{00000000-0008-0000-0200-000003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998220</xdr:colOff>
          <xdr:row>4</xdr:row>
          <xdr:rowOff>175260</xdr:rowOff>
        </xdr:from>
        <xdr:to>
          <xdr:col>4</xdr:col>
          <xdr:colOff>1973580</xdr:colOff>
          <xdr:row>6</xdr:row>
          <xdr:rowOff>0</xdr:rowOff>
        </xdr:to>
        <xdr:sp macro="" textlink="">
          <xdr:nvSpPr>
            <xdr:cNvPr id="2052" name="cmdEmissionSets" hidden="1">
              <a:extLst>
                <a:ext uri="{63B3BB69-23CF-44E3-9099-C40C66FF867C}">
                  <a14:compatExt spid="_x0000_s2052"/>
                </a:ext>
                <a:ext uri="{FF2B5EF4-FFF2-40B4-BE49-F238E27FC236}">
                  <a16:creationId xmlns:a16="http://schemas.microsoft.com/office/drawing/2014/main" id="{00000000-0008-0000-0200-000004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998220</xdr:colOff>
          <xdr:row>3</xdr:row>
          <xdr:rowOff>99060</xdr:rowOff>
        </xdr:from>
        <xdr:to>
          <xdr:col>4</xdr:col>
          <xdr:colOff>1973580</xdr:colOff>
          <xdr:row>4</xdr:row>
          <xdr:rowOff>121920</xdr:rowOff>
        </xdr:to>
        <xdr:sp macro="" textlink="">
          <xdr:nvSpPr>
            <xdr:cNvPr id="2053" name="cmdMaterialSets" hidden="1">
              <a:extLst>
                <a:ext uri="{63B3BB69-23CF-44E3-9099-C40C66FF867C}">
                  <a14:compatExt spid="_x0000_s2053"/>
                </a:ext>
                <a:ext uri="{FF2B5EF4-FFF2-40B4-BE49-F238E27FC236}">
                  <a16:creationId xmlns:a16="http://schemas.microsoft.com/office/drawing/2014/main" id="{00000000-0008-0000-0200-000005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7620</xdr:colOff>
          <xdr:row>2</xdr:row>
          <xdr:rowOff>144780</xdr:rowOff>
        </xdr:from>
        <xdr:to>
          <xdr:col>0</xdr:col>
          <xdr:colOff>830580</xdr:colOff>
          <xdr:row>4</xdr:row>
          <xdr:rowOff>0</xdr:rowOff>
        </xdr:to>
        <xdr:sp macro="" textlink="">
          <xdr:nvSpPr>
            <xdr:cNvPr id="2061" name="cmdCheckCommoditiesSheet" hidden="1">
              <a:extLst>
                <a:ext uri="{63B3BB69-23CF-44E3-9099-C40C66FF867C}">
                  <a14:compatExt spid="_x0000_s2061"/>
                </a:ext>
                <a:ext uri="{FF2B5EF4-FFF2-40B4-BE49-F238E27FC236}">
                  <a16:creationId xmlns:a16="http://schemas.microsoft.com/office/drawing/2014/main" id="{00000000-0008-0000-0200-00000D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7620</xdr:colOff>
          <xdr:row>4</xdr:row>
          <xdr:rowOff>175260</xdr:rowOff>
        </xdr:from>
        <xdr:to>
          <xdr:col>3</xdr:col>
          <xdr:colOff>670560</xdr:colOff>
          <xdr:row>6</xdr:row>
          <xdr:rowOff>0</xdr:rowOff>
        </xdr:to>
        <xdr:sp macro="" textlink="">
          <xdr:nvSpPr>
            <xdr:cNvPr id="2063" name="cmdCommUnit" hidden="1">
              <a:extLst>
                <a:ext uri="{63B3BB69-23CF-44E3-9099-C40C66FF867C}">
                  <a14:compatExt spid="_x0000_s2063"/>
                </a:ext>
                <a:ext uri="{FF2B5EF4-FFF2-40B4-BE49-F238E27FC236}">
                  <a16:creationId xmlns:a16="http://schemas.microsoft.com/office/drawing/2014/main" id="{00000000-0008-0000-0200-00000F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68580</xdr:colOff>
          <xdr:row>2</xdr:row>
          <xdr:rowOff>114300</xdr:rowOff>
        </xdr:from>
        <xdr:to>
          <xdr:col>3</xdr:col>
          <xdr:colOff>624840</xdr:colOff>
          <xdr:row>4</xdr:row>
          <xdr:rowOff>106680</xdr:rowOff>
        </xdr:to>
        <xdr:sp macro="" textlink="">
          <xdr:nvSpPr>
            <xdr:cNvPr id="2073" name="cmdRefreshUnits" hidden="1">
              <a:extLst>
                <a:ext uri="{63B3BB69-23CF-44E3-9099-C40C66FF867C}">
                  <a14:compatExt spid="_x0000_s2073"/>
                </a:ext>
                <a:ext uri="{FF2B5EF4-FFF2-40B4-BE49-F238E27FC236}">
                  <a16:creationId xmlns:a16="http://schemas.microsoft.com/office/drawing/2014/main" id="{00000000-0008-0000-0200-000019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541020</xdr:colOff>
          <xdr:row>2</xdr:row>
          <xdr:rowOff>0</xdr:rowOff>
        </xdr:from>
        <xdr:to>
          <xdr:col>4</xdr:col>
          <xdr:colOff>1516380</xdr:colOff>
          <xdr:row>3</xdr:row>
          <xdr:rowOff>68580</xdr:rowOff>
        </xdr:to>
        <xdr:sp macro="" textlink="">
          <xdr:nvSpPr>
            <xdr:cNvPr id="2074" name="cmdTaxSubSets" hidden="1">
              <a:extLst>
                <a:ext uri="{63B3BB69-23CF-44E3-9099-C40C66FF867C}">
                  <a14:compatExt spid="_x0000_s2074"/>
                </a:ext>
                <a:ext uri="{FF2B5EF4-FFF2-40B4-BE49-F238E27FC236}">
                  <a16:creationId xmlns:a16="http://schemas.microsoft.com/office/drawing/2014/main" id="{00000000-0008-0000-0200-00001A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22860</xdr:colOff>
          <xdr:row>4</xdr:row>
          <xdr:rowOff>22860</xdr:rowOff>
        </xdr:from>
        <xdr:to>
          <xdr:col>5</xdr:col>
          <xdr:colOff>1821180</xdr:colOff>
          <xdr:row>5</xdr:row>
          <xdr:rowOff>91440</xdr:rowOff>
        </xdr:to>
        <xdr:sp macro="" textlink="">
          <xdr:nvSpPr>
            <xdr:cNvPr id="1025" name="cmdTechnologySets" hidden="1">
              <a:extLst>
                <a:ext uri="{63B3BB69-23CF-44E3-9099-C40C66FF867C}">
                  <a14:compatExt spid="_x0000_s1025"/>
                </a:ext>
                <a:ext uri="{FF2B5EF4-FFF2-40B4-BE49-F238E27FC236}">
                  <a16:creationId xmlns:a16="http://schemas.microsoft.com/office/drawing/2014/main" id="{00000000-0008-0000-0300-00000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7620</xdr:colOff>
          <xdr:row>2</xdr:row>
          <xdr:rowOff>152400</xdr:rowOff>
        </xdr:from>
        <xdr:to>
          <xdr:col>1</xdr:col>
          <xdr:colOff>0</xdr:colOff>
          <xdr:row>4</xdr:row>
          <xdr:rowOff>0</xdr:rowOff>
        </xdr:to>
        <xdr:sp macro="" textlink="">
          <xdr:nvSpPr>
            <xdr:cNvPr id="1034" name="cmdCheckTechnologiesSheet" hidden="1">
              <a:extLst>
                <a:ext uri="{63B3BB69-23CF-44E3-9099-C40C66FF867C}">
                  <a14:compatExt spid="_x0000_s1034"/>
                </a:ext>
                <a:ext uri="{FF2B5EF4-FFF2-40B4-BE49-F238E27FC236}">
                  <a16:creationId xmlns:a16="http://schemas.microsoft.com/office/drawing/2014/main" id="{00000000-0008-0000-0300-00000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7620</xdr:colOff>
          <xdr:row>4</xdr:row>
          <xdr:rowOff>22860</xdr:rowOff>
        </xdr:from>
        <xdr:to>
          <xdr:col>3</xdr:col>
          <xdr:colOff>647700</xdr:colOff>
          <xdr:row>5</xdr:row>
          <xdr:rowOff>91440</xdr:rowOff>
        </xdr:to>
        <xdr:sp macro="" textlink="">
          <xdr:nvSpPr>
            <xdr:cNvPr id="1035" name="cmdTACTUnit" hidden="1">
              <a:extLst>
                <a:ext uri="{63B3BB69-23CF-44E3-9099-C40C66FF867C}">
                  <a14:compatExt spid="_x0000_s1035"/>
                </a:ext>
                <a:ext uri="{FF2B5EF4-FFF2-40B4-BE49-F238E27FC236}">
                  <a16:creationId xmlns:a16="http://schemas.microsoft.com/office/drawing/2014/main" id="{00000000-0008-0000-0300-00000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7620</xdr:colOff>
          <xdr:row>4</xdr:row>
          <xdr:rowOff>22860</xdr:rowOff>
        </xdr:from>
        <xdr:to>
          <xdr:col>4</xdr:col>
          <xdr:colOff>647700</xdr:colOff>
          <xdr:row>5</xdr:row>
          <xdr:rowOff>91440</xdr:rowOff>
        </xdr:to>
        <xdr:sp macro="" textlink="">
          <xdr:nvSpPr>
            <xdr:cNvPr id="1036" name="cmdTCAPUnit" hidden="1">
              <a:extLst>
                <a:ext uri="{63B3BB69-23CF-44E3-9099-C40C66FF867C}">
                  <a14:compatExt spid="_x0000_s1036"/>
                </a:ext>
                <a:ext uri="{FF2B5EF4-FFF2-40B4-BE49-F238E27FC236}">
                  <a16:creationId xmlns:a16="http://schemas.microsoft.com/office/drawing/2014/main" id="{00000000-0008-0000-0300-00000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381000</xdr:colOff>
          <xdr:row>1</xdr:row>
          <xdr:rowOff>152400</xdr:rowOff>
        </xdr:from>
        <xdr:to>
          <xdr:col>4</xdr:col>
          <xdr:colOff>274320</xdr:colOff>
          <xdr:row>3</xdr:row>
          <xdr:rowOff>190500</xdr:rowOff>
        </xdr:to>
        <xdr:sp macro="" textlink="">
          <xdr:nvSpPr>
            <xdr:cNvPr id="1135" name="cmdRefreshUnits" hidden="1">
              <a:extLst>
                <a:ext uri="{63B3BB69-23CF-44E3-9099-C40C66FF867C}">
                  <a14:compatExt spid="_x0000_s1135"/>
                </a:ext>
                <a:ext uri="{FF2B5EF4-FFF2-40B4-BE49-F238E27FC236}">
                  <a16:creationId xmlns:a16="http://schemas.microsoft.com/office/drawing/2014/main" id="{00000000-0008-0000-0300-00006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22860</xdr:colOff>
          <xdr:row>4</xdr:row>
          <xdr:rowOff>22860</xdr:rowOff>
        </xdr:from>
        <xdr:to>
          <xdr:col>4</xdr:col>
          <xdr:colOff>998220</xdr:colOff>
          <xdr:row>5</xdr:row>
          <xdr:rowOff>45720</xdr:rowOff>
        </xdr:to>
        <xdr:sp macro="" textlink="">
          <xdr:nvSpPr>
            <xdr:cNvPr id="10242" name="cmdConstraintSets" hidden="1">
              <a:extLst>
                <a:ext uri="{63B3BB69-23CF-44E3-9099-C40C66FF867C}">
                  <a14:compatExt spid="_x0000_s10242"/>
                </a:ext>
                <a:ext uri="{FF2B5EF4-FFF2-40B4-BE49-F238E27FC236}">
                  <a16:creationId xmlns:a16="http://schemas.microsoft.com/office/drawing/2014/main" id="{00000000-0008-0000-0400-000002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7620</xdr:colOff>
          <xdr:row>3</xdr:row>
          <xdr:rowOff>0</xdr:rowOff>
        </xdr:from>
        <xdr:to>
          <xdr:col>0</xdr:col>
          <xdr:colOff>792480</xdr:colOff>
          <xdr:row>4</xdr:row>
          <xdr:rowOff>0</xdr:rowOff>
        </xdr:to>
        <xdr:sp macro="" textlink="">
          <xdr:nvSpPr>
            <xdr:cNvPr id="10246" name="cmdCheckConstraintsSheet" hidden="1">
              <a:extLst>
                <a:ext uri="{63B3BB69-23CF-44E3-9099-C40C66FF867C}">
                  <a14:compatExt spid="_x0000_s10246"/>
                </a:ext>
                <a:ext uri="{FF2B5EF4-FFF2-40B4-BE49-F238E27FC236}">
                  <a16:creationId xmlns:a16="http://schemas.microsoft.com/office/drawing/2014/main" id="{00000000-0008-0000-0400-000006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22860</xdr:colOff>
          <xdr:row>4</xdr:row>
          <xdr:rowOff>7620</xdr:rowOff>
        </xdr:from>
        <xdr:to>
          <xdr:col>3</xdr:col>
          <xdr:colOff>579120</xdr:colOff>
          <xdr:row>5</xdr:row>
          <xdr:rowOff>30480</xdr:rowOff>
        </xdr:to>
        <xdr:sp macro="" textlink="">
          <xdr:nvSpPr>
            <xdr:cNvPr id="10247" name="cmdConstraintUnit" hidden="1">
              <a:extLst>
                <a:ext uri="{63B3BB69-23CF-44E3-9099-C40C66FF867C}">
                  <a14:compatExt spid="_x0000_s10247"/>
                </a:ext>
                <a:ext uri="{FF2B5EF4-FFF2-40B4-BE49-F238E27FC236}">
                  <a16:creationId xmlns:a16="http://schemas.microsoft.com/office/drawing/2014/main" id="{00000000-0008-0000-0400-000007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22860</xdr:colOff>
          <xdr:row>2</xdr:row>
          <xdr:rowOff>45720</xdr:rowOff>
        </xdr:from>
        <xdr:to>
          <xdr:col>3</xdr:col>
          <xdr:colOff>579120</xdr:colOff>
          <xdr:row>4</xdr:row>
          <xdr:rowOff>15240</xdr:rowOff>
        </xdr:to>
        <xdr:sp macro="" textlink="">
          <xdr:nvSpPr>
            <xdr:cNvPr id="10359" name="cmdRefreshUnits" hidden="1">
              <a:extLst>
                <a:ext uri="{63B3BB69-23CF-44E3-9099-C40C66FF867C}">
                  <a14:compatExt spid="_x0000_s10359"/>
                </a:ext>
                <a:ext uri="{FF2B5EF4-FFF2-40B4-BE49-F238E27FC236}">
                  <a16:creationId xmlns:a16="http://schemas.microsoft.com/office/drawing/2014/main" id="{00000000-0008-0000-0400-000077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xdr:colOff>
          <xdr:row>4</xdr:row>
          <xdr:rowOff>7620</xdr:rowOff>
        </xdr:from>
        <xdr:to>
          <xdr:col>0</xdr:col>
          <xdr:colOff>693420</xdr:colOff>
          <xdr:row>5</xdr:row>
          <xdr:rowOff>0</xdr:rowOff>
        </xdr:to>
        <xdr:sp macro="" textlink="">
          <xdr:nvSpPr>
            <xdr:cNvPr id="4097" name="cmdAddParameter" hidden="1">
              <a:extLst>
                <a:ext uri="{63B3BB69-23CF-44E3-9099-C40C66FF867C}">
                  <a14:compatExt spid="_x0000_s4097"/>
                </a:ext>
                <a:ext uri="{FF2B5EF4-FFF2-40B4-BE49-F238E27FC236}">
                  <a16:creationId xmlns:a16="http://schemas.microsoft.com/office/drawing/2014/main" id="{00000000-0008-0000-0500-000001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xdr:row>
          <xdr:rowOff>22860</xdr:rowOff>
        </xdr:from>
        <xdr:to>
          <xdr:col>2</xdr:col>
          <xdr:colOff>1394460</xdr:colOff>
          <xdr:row>4</xdr:row>
          <xdr:rowOff>0</xdr:rowOff>
        </xdr:to>
        <xdr:sp macro="" textlink="">
          <xdr:nvSpPr>
            <xdr:cNvPr id="4098" name="cmdCommNameAndDesc" hidden="1">
              <a:extLst>
                <a:ext uri="{63B3BB69-23CF-44E3-9099-C40C66FF867C}">
                  <a14:compatExt spid="_x0000_s4098"/>
                </a:ext>
                <a:ext uri="{FF2B5EF4-FFF2-40B4-BE49-F238E27FC236}">
                  <a16:creationId xmlns:a16="http://schemas.microsoft.com/office/drawing/2014/main" id="{00000000-0008-0000-0500-000002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7620</xdr:colOff>
          <xdr:row>5</xdr:row>
          <xdr:rowOff>0</xdr:rowOff>
        </xdr:from>
        <xdr:to>
          <xdr:col>0</xdr:col>
          <xdr:colOff>693420</xdr:colOff>
          <xdr:row>5</xdr:row>
          <xdr:rowOff>236220</xdr:rowOff>
        </xdr:to>
        <xdr:sp macro="" textlink="">
          <xdr:nvSpPr>
            <xdr:cNvPr id="4100" name="cmdAddParamQualifier" hidden="1">
              <a:extLst>
                <a:ext uri="{63B3BB69-23CF-44E3-9099-C40C66FF867C}">
                  <a14:compatExt spid="_x0000_s4100"/>
                </a:ext>
                <a:ext uri="{FF2B5EF4-FFF2-40B4-BE49-F238E27FC236}">
                  <a16:creationId xmlns:a16="http://schemas.microsoft.com/office/drawing/2014/main" id="{00000000-0008-0000-0500-000004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7620</xdr:colOff>
          <xdr:row>3</xdr:row>
          <xdr:rowOff>22860</xdr:rowOff>
        </xdr:from>
        <xdr:to>
          <xdr:col>0</xdr:col>
          <xdr:colOff>693420</xdr:colOff>
          <xdr:row>4</xdr:row>
          <xdr:rowOff>7620</xdr:rowOff>
        </xdr:to>
        <xdr:sp macro="" textlink="">
          <xdr:nvSpPr>
            <xdr:cNvPr id="4106" name="cmdCheckCommDataSheet" hidden="1">
              <a:extLst>
                <a:ext uri="{63B3BB69-23CF-44E3-9099-C40C66FF867C}">
                  <a14:compatExt spid="_x0000_s4106"/>
                </a:ext>
                <a:ext uri="{FF2B5EF4-FFF2-40B4-BE49-F238E27FC236}">
                  <a16:creationId xmlns:a16="http://schemas.microsoft.com/office/drawing/2014/main" id="{00000000-0008-0000-0500-00000A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1409700</xdr:colOff>
          <xdr:row>2</xdr:row>
          <xdr:rowOff>76200</xdr:rowOff>
        </xdr:from>
        <xdr:to>
          <xdr:col>3</xdr:col>
          <xdr:colOff>320040</xdr:colOff>
          <xdr:row>4</xdr:row>
          <xdr:rowOff>7620</xdr:rowOff>
        </xdr:to>
        <xdr:sp macro="" textlink="">
          <xdr:nvSpPr>
            <xdr:cNvPr id="4299" name="cmdRefreshUnits" hidden="1">
              <a:extLst>
                <a:ext uri="{63B3BB69-23CF-44E3-9099-C40C66FF867C}">
                  <a14:compatExt spid="_x0000_s4299"/>
                </a:ext>
                <a:ext uri="{FF2B5EF4-FFF2-40B4-BE49-F238E27FC236}">
                  <a16:creationId xmlns:a16="http://schemas.microsoft.com/office/drawing/2014/main" id="{00000000-0008-0000-0500-0000CB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38100</xdr:colOff>
          <xdr:row>2</xdr:row>
          <xdr:rowOff>152400</xdr:rowOff>
        </xdr:from>
        <xdr:to>
          <xdr:col>2</xdr:col>
          <xdr:colOff>1554480</xdr:colOff>
          <xdr:row>4</xdr:row>
          <xdr:rowOff>7620</xdr:rowOff>
        </xdr:to>
        <xdr:sp macro="" textlink="">
          <xdr:nvSpPr>
            <xdr:cNvPr id="3074" name="cmdTechNameAndDesc" hidden="1">
              <a:extLst>
                <a:ext uri="{63B3BB69-23CF-44E3-9099-C40C66FF867C}">
                  <a14:compatExt spid="_x0000_s3074"/>
                </a:ext>
                <a:ext uri="{FF2B5EF4-FFF2-40B4-BE49-F238E27FC236}">
                  <a16:creationId xmlns:a16="http://schemas.microsoft.com/office/drawing/2014/main" id="{00000000-0008-0000-0600-0000020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7620</xdr:colOff>
          <xdr:row>2</xdr:row>
          <xdr:rowOff>144780</xdr:rowOff>
        </xdr:from>
        <xdr:to>
          <xdr:col>4</xdr:col>
          <xdr:colOff>594360</xdr:colOff>
          <xdr:row>4</xdr:row>
          <xdr:rowOff>0</xdr:rowOff>
        </xdr:to>
        <xdr:sp macro="" textlink="">
          <xdr:nvSpPr>
            <xdr:cNvPr id="3075" name="cmdCommIN" hidden="1">
              <a:extLst>
                <a:ext uri="{63B3BB69-23CF-44E3-9099-C40C66FF867C}">
                  <a14:compatExt spid="_x0000_s3075"/>
                </a:ext>
                <a:ext uri="{FF2B5EF4-FFF2-40B4-BE49-F238E27FC236}">
                  <a16:creationId xmlns:a16="http://schemas.microsoft.com/office/drawing/2014/main" id="{00000000-0008-0000-0600-0000030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7620</xdr:colOff>
          <xdr:row>2</xdr:row>
          <xdr:rowOff>144780</xdr:rowOff>
        </xdr:from>
        <xdr:to>
          <xdr:col>5</xdr:col>
          <xdr:colOff>701040</xdr:colOff>
          <xdr:row>4</xdr:row>
          <xdr:rowOff>0</xdr:rowOff>
        </xdr:to>
        <xdr:sp macro="" textlink="">
          <xdr:nvSpPr>
            <xdr:cNvPr id="3076" name="cmdCommOUT" hidden="1">
              <a:extLst>
                <a:ext uri="{63B3BB69-23CF-44E3-9099-C40C66FF867C}">
                  <a14:compatExt spid="_x0000_s3076"/>
                </a:ext>
                <a:ext uri="{FF2B5EF4-FFF2-40B4-BE49-F238E27FC236}">
                  <a16:creationId xmlns:a16="http://schemas.microsoft.com/office/drawing/2014/main" id="{00000000-0008-0000-0600-0000040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7620</xdr:colOff>
          <xdr:row>3</xdr:row>
          <xdr:rowOff>198120</xdr:rowOff>
        </xdr:from>
        <xdr:to>
          <xdr:col>0</xdr:col>
          <xdr:colOff>693420</xdr:colOff>
          <xdr:row>4</xdr:row>
          <xdr:rowOff>220980</xdr:rowOff>
        </xdr:to>
        <xdr:sp macro="" textlink="">
          <xdr:nvSpPr>
            <xdr:cNvPr id="3077" name="cmdAddParameter" hidden="1">
              <a:extLst>
                <a:ext uri="{63B3BB69-23CF-44E3-9099-C40C66FF867C}">
                  <a14:compatExt spid="_x0000_s3077"/>
                </a:ext>
                <a:ext uri="{FF2B5EF4-FFF2-40B4-BE49-F238E27FC236}">
                  <a16:creationId xmlns:a16="http://schemas.microsoft.com/office/drawing/2014/main" id="{00000000-0008-0000-0600-0000050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7620</xdr:colOff>
          <xdr:row>5</xdr:row>
          <xdr:rowOff>7620</xdr:rowOff>
        </xdr:from>
        <xdr:to>
          <xdr:col>1</xdr:col>
          <xdr:colOff>7620</xdr:colOff>
          <xdr:row>6</xdr:row>
          <xdr:rowOff>30480</xdr:rowOff>
        </xdr:to>
        <xdr:sp macro="" textlink="">
          <xdr:nvSpPr>
            <xdr:cNvPr id="3079" name="cmdAddParamQualifier" hidden="1">
              <a:extLst>
                <a:ext uri="{63B3BB69-23CF-44E3-9099-C40C66FF867C}">
                  <a14:compatExt spid="_x0000_s3079"/>
                </a:ext>
                <a:ext uri="{FF2B5EF4-FFF2-40B4-BE49-F238E27FC236}">
                  <a16:creationId xmlns:a16="http://schemas.microsoft.com/office/drawing/2014/main" id="{00000000-0008-0000-0600-0000070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7620</xdr:colOff>
          <xdr:row>2</xdr:row>
          <xdr:rowOff>152400</xdr:rowOff>
        </xdr:from>
        <xdr:to>
          <xdr:col>1</xdr:col>
          <xdr:colOff>7620</xdr:colOff>
          <xdr:row>4</xdr:row>
          <xdr:rowOff>7620</xdr:rowOff>
        </xdr:to>
        <xdr:sp macro="" textlink="">
          <xdr:nvSpPr>
            <xdr:cNvPr id="3080" name="cmdCheckTechDataSheet" hidden="1">
              <a:extLst>
                <a:ext uri="{63B3BB69-23CF-44E3-9099-C40C66FF867C}">
                  <a14:compatExt spid="_x0000_s3080"/>
                </a:ext>
                <a:ext uri="{FF2B5EF4-FFF2-40B4-BE49-F238E27FC236}">
                  <a16:creationId xmlns:a16="http://schemas.microsoft.com/office/drawing/2014/main" id="{00000000-0008-0000-0600-0000080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2</xdr:row>
          <xdr:rowOff>22860</xdr:rowOff>
        </xdr:from>
        <xdr:to>
          <xdr:col>4</xdr:col>
          <xdr:colOff>15240</xdr:colOff>
          <xdr:row>4</xdr:row>
          <xdr:rowOff>15240</xdr:rowOff>
        </xdr:to>
        <xdr:sp macro="" textlink="">
          <xdr:nvSpPr>
            <xdr:cNvPr id="3112" name="cmdRefreshUnits" hidden="1">
              <a:extLst>
                <a:ext uri="{63B3BB69-23CF-44E3-9099-C40C66FF867C}">
                  <a14:compatExt spid="_x0000_s3112"/>
                </a:ext>
                <a:ext uri="{FF2B5EF4-FFF2-40B4-BE49-F238E27FC236}">
                  <a16:creationId xmlns:a16="http://schemas.microsoft.com/office/drawing/2014/main" id="{00000000-0008-0000-0600-0000280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22860</xdr:colOff>
          <xdr:row>3</xdr:row>
          <xdr:rowOff>0</xdr:rowOff>
        </xdr:from>
        <xdr:to>
          <xdr:col>2</xdr:col>
          <xdr:colOff>998220</xdr:colOff>
          <xdr:row>4</xdr:row>
          <xdr:rowOff>22860</xdr:rowOff>
        </xdr:to>
        <xdr:sp macro="" textlink="">
          <xdr:nvSpPr>
            <xdr:cNvPr id="11265" name="cmdConstrNameAndDesc" hidden="1">
              <a:extLst>
                <a:ext uri="{63B3BB69-23CF-44E3-9099-C40C66FF867C}">
                  <a14:compatExt spid="_x0000_s11265"/>
                </a:ext>
                <a:ext uri="{FF2B5EF4-FFF2-40B4-BE49-F238E27FC236}">
                  <a16:creationId xmlns:a16="http://schemas.microsoft.com/office/drawing/2014/main" id="{00000000-0008-0000-0700-000001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3</xdr:row>
          <xdr:rowOff>0</xdr:rowOff>
        </xdr:from>
        <xdr:to>
          <xdr:col>4</xdr:col>
          <xdr:colOff>655320</xdr:colOff>
          <xdr:row>4</xdr:row>
          <xdr:rowOff>22860</xdr:rowOff>
        </xdr:to>
        <xdr:sp macro="" textlink="">
          <xdr:nvSpPr>
            <xdr:cNvPr id="11266" name="cmdTechName" hidden="1">
              <a:extLst>
                <a:ext uri="{63B3BB69-23CF-44E3-9099-C40C66FF867C}">
                  <a14:compatExt spid="_x0000_s11266"/>
                </a:ext>
                <a:ext uri="{FF2B5EF4-FFF2-40B4-BE49-F238E27FC236}">
                  <a16:creationId xmlns:a16="http://schemas.microsoft.com/office/drawing/2014/main" id="{00000000-0008-0000-0700-000002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7620</xdr:colOff>
          <xdr:row>4</xdr:row>
          <xdr:rowOff>0</xdr:rowOff>
        </xdr:from>
        <xdr:to>
          <xdr:col>0</xdr:col>
          <xdr:colOff>693420</xdr:colOff>
          <xdr:row>5</xdr:row>
          <xdr:rowOff>7620</xdr:rowOff>
        </xdr:to>
        <xdr:sp macro="" textlink="">
          <xdr:nvSpPr>
            <xdr:cNvPr id="11268" name="cmdAddParameter" hidden="1">
              <a:extLst>
                <a:ext uri="{63B3BB69-23CF-44E3-9099-C40C66FF867C}">
                  <a14:compatExt spid="_x0000_s11268"/>
                </a:ext>
                <a:ext uri="{FF2B5EF4-FFF2-40B4-BE49-F238E27FC236}">
                  <a16:creationId xmlns:a16="http://schemas.microsoft.com/office/drawing/2014/main" id="{00000000-0008-0000-0700-000004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7620</xdr:colOff>
          <xdr:row>2</xdr:row>
          <xdr:rowOff>152400</xdr:rowOff>
        </xdr:from>
        <xdr:to>
          <xdr:col>1</xdr:col>
          <xdr:colOff>0</xdr:colOff>
          <xdr:row>4</xdr:row>
          <xdr:rowOff>7620</xdr:rowOff>
        </xdr:to>
        <xdr:sp macro="" textlink="">
          <xdr:nvSpPr>
            <xdr:cNvPr id="11271" name="cmdCheckConstrDataSheet" hidden="1">
              <a:extLst>
                <a:ext uri="{63B3BB69-23CF-44E3-9099-C40C66FF867C}">
                  <a14:compatExt spid="_x0000_s11271"/>
                </a:ext>
                <a:ext uri="{FF2B5EF4-FFF2-40B4-BE49-F238E27FC236}">
                  <a16:creationId xmlns:a16="http://schemas.microsoft.com/office/drawing/2014/main" id="{00000000-0008-0000-0700-000007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7620</xdr:colOff>
          <xdr:row>5</xdr:row>
          <xdr:rowOff>0</xdr:rowOff>
        </xdr:from>
        <xdr:to>
          <xdr:col>0</xdr:col>
          <xdr:colOff>693420</xdr:colOff>
          <xdr:row>6</xdr:row>
          <xdr:rowOff>22860</xdr:rowOff>
        </xdr:to>
        <xdr:sp macro="" textlink="">
          <xdr:nvSpPr>
            <xdr:cNvPr id="11361" name="cmdAddParamQualifier" hidden="1">
              <a:extLst>
                <a:ext uri="{63B3BB69-23CF-44E3-9099-C40C66FF867C}">
                  <a14:compatExt spid="_x0000_s11361"/>
                </a:ext>
                <a:ext uri="{FF2B5EF4-FFF2-40B4-BE49-F238E27FC236}">
                  <a16:creationId xmlns:a16="http://schemas.microsoft.com/office/drawing/2014/main" id="{00000000-0008-0000-0700-000061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1013460</xdr:colOff>
          <xdr:row>2</xdr:row>
          <xdr:rowOff>30480</xdr:rowOff>
        </xdr:from>
        <xdr:to>
          <xdr:col>3</xdr:col>
          <xdr:colOff>365760</xdr:colOff>
          <xdr:row>4</xdr:row>
          <xdr:rowOff>22860</xdr:rowOff>
        </xdr:to>
        <xdr:sp macro="" textlink="">
          <xdr:nvSpPr>
            <xdr:cNvPr id="11374" name="cmdRefreshUnits" hidden="1">
              <a:extLst>
                <a:ext uri="{63B3BB69-23CF-44E3-9099-C40C66FF867C}">
                  <a14:compatExt spid="_x0000_s11374"/>
                </a:ext>
                <a:ext uri="{FF2B5EF4-FFF2-40B4-BE49-F238E27FC236}">
                  <a16:creationId xmlns:a16="http://schemas.microsoft.com/office/drawing/2014/main" id="{00000000-0008-0000-0700-00006E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22860</xdr:colOff>
          <xdr:row>3</xdr:row>
          <xdr:rowOff>0</xdr:rowOff>
        </xdr:from>
        <xdr:to>
          <xdr:col>2</xdr:col>
          <xdr:colOff>998220</xdr:colOff>
          <xdr:row>4</xdr:row>
          <xdr:rowOff>22860</xdr:rowOff>
        </xdr:to>
        <xdr:sp macro="" textlink="">
          <xdr:nvSpPr>
            <xdr:cNvPr id="81921" name="cmdConstrNameAndDesc" hidden="1">
              <a:extLst>
                <a:ext uri="{63B3BB69-23CF-44E3-9099-C40C66FF867C}">
                  <a14:compatExt spid="_x0000_s81921"/>
                </a:ext>
                <a:ext uri="{FF2B5EF4-FFF2-40B4-BE49-F238E27FC236}">
                  <a16:creationId xmlns:a16="http://schemas.microsoft.com/office/drawing/2014/main" id="{00000000-0008-0000-0E00-0000014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3</xdr:row>
          <xdr:rowOff>0</xdr:rowOff>
        </xdr:from>
        <xdr:to>
          <xdr:col>4</xdr:col>
          <xdr:colOff>655320</xdr:colOff>
          <xdr:row>4</xdr:row>
          <xdr:rowOff>22860</xdr:rowOff>
        </xdr:to>
        <xdr:sp macro="" textlink="">
          <xdr:nvSpPr>
            <xdr:cNvPr id="81922" name="cmdTechName" hidden="1">
              <a:extLst>
                <a:ext uri="{63B3BB69-23CF-44E3-9099-C40C66FF867C}">
                  <a14:compatExt spid="_x0000_s81922"/>
                </a:ext>
                <a:ext uri="{FF2B5EF4-FFF2-40B4-BE49-F238E27FC236}">
                  <a16:creationId xmlns:a16="http://schemas.microsoft.com/office/drawing/2014/main" id="{00000000-0008-0000-0E00-0000024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7620</xdr:colOff>
          <xdr:row>4</xdr:row>
          <xdr:rowOff>0</xdr:rowOff>
        </xdr:from>
        <xdr:to>
          <xdr:col>0</xdr:col>
          <xdr:colOff>693420</xdr:colOff>
          <xdr:row>5</xdr:row>
          <xdr:rowOff>7620</xdr:rowOff>
        </xdr:to>
        <xdr:sp macro="" textlink="">
          <xdr:nvSpPr>
            <xdr:cNvPr id="81923" name="cmdAddParameter" hidden="1">
              <a:extLst>
                <a:ext uri="{63B3BB69-23CF-44E3-9099-C40C66FF867C}">
                  <a14:compatExt spid="_x0000_s81923"/>
                </a:ext>
                <a:ext uri="{FF2B5EF4-FFF2-40B4-BE49-F238E27FC236}">
                  <a16:creationId xmlns:a16="http://schemas.microsoft.com/office/drawing/2014/main" id="{00000000-0008-0000-0E00-0000034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7620</xdr:colOff>
          <xdr:row>2</xdr:row>
          <xdr:rowOff>152400</xdr:rowOff>
        </xdr:from>
        <xdr:to>
          <xdr:col>1</xdr:col>
          <xdr:colOff>0</xdr:colOff>
          <xdr:row>4</xdr:row>
          <xdr:rowOff>7620</xdr:rowOff>
        </xdr:to>
        <xdr:sp macro="" textlink="">
          <xdr:nvSpPr>
            <xdr:cNvPr id="81924" name="cmdCheckConstrDataSheet" hidden="1">
              <a:extLst>
                <a:ext uri="{63B3BB69-23CF-44E3-9099-C40C66FF867C}">
                  <a14:compatExt spid="_x0000_s81924"/>
                </a:ext>
                <a:ext uri="{FF2B5EF4-FFF2-40B4-BE49-F238E27FC236}">
                  <a16:creationId xmlns:a16="http://schemas.microsoft.com/office/drawing/2014/main" id="{00000000-0008-0000-0E00-0000044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7620</xdr:colOff>
          <xdr:row>5</xdr:row>
          <xdr:rowOff>0</xdr:rowOff>
        </xdr:from>
        <xdr:to>
          <xdr:col>0</xdr:col>
          <xdr:colOff>693420</xdr:colOff>
          <xdr:row>6</xdr:row>
          <xdr:rowOff>22860</xdr:rowOff>
        </xdr:to>
        <xdr:sp macro="" textlink="">
          <xdr:nvSpPr>
            <xdr:cNvPr id="81925" name="cmdAddParamQualifier" hidden="1">
              <a:extLst>
                <a:ext uri="{63B3BB69-23CF-44E3-9099-C40C66FF867C}">
                  <a14:compatExt spid="_x0000_s81925"/>
                </a:ext>
                <a:ext uri="{FF2B5EF4-FFF2-40B4-BE49-F238E27FC236}">
                  <a16:creationId xmlns:a16="http://schemas.microsoft.com/office/drawing/2014/main" id="{00000000-0008-0000-0E00-0000054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1013460</xdr:colOff>
          <xdr:row>2</xdr:row>
          <xdr:rowOff>30480</xdr:rowOff>
        </xdr:from>
        <xdr:to>
          <xdr:col>3</xdr:col>
          <xdr:colOff>365760</xdr:colOff>
          <xdr:row>4</xdr:row>
          <xdr:rowOff>22860</xdr:rowOff>
        </xdr:to>
        <xdr:sp macro="" textlink="">
          <xdr:nvSpPr>
            <xdr:cNvPr id="81926" name="cmdRefreshUnits" hidden="1">
              <a:extLst>
                <a:ext uri="{63B3BB69-23CF-44E3-9099-C40C66FF867C}">
                  <a14:compatExt spid="_x0000_s81926"/>
                </a:ext>
                <a:ext uri="{FF2B5EF4-FFF2-40B4-BE49-F238E27FC236}">
                  <a16:creationId xmlns:a16="http://schemas.microsoft.com/office/drawing/2014/main" id="{00000000-0008-0000-0E00-0000064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1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38100</xdr:colOff>
          <xdr:row>2</xdr:row>
          <xdr:rowOff>152400</xdr:rowOff>
        </xdr:from>
        <xdr:to>
          <xdr:col>2</xdr:col>
          <xdr:colOff>1554480</xdr:colOff>
          <xdr:row>4</xdr:row>
          <xdr:rowOff>7620</xdr:rowOff>
        </xdr:to>
        <xdr:sp macro="" textlink="">
          <xdr:nvSpPr>
            <xdr:cNvPr id="64513" name="cmdTechNameAndDesc" hidden="1">
              <a:extLst>
                <a:ext uri="{63B3BB69-23CF-44E3-9099-C40C66FF867C}">
                  <a14:compatExt spid="_x0000_s64513"/>
                </a:ext>
                <a:ext uri="{FF2B5EF4-FFF2-40B4-BE49-F238E27FC236}">
                  <a16:creationId xmlns:a16="http://schemas.microsoft.com/office/drawing/2014/main" id="{00000000-0008-0000-0F00-000001F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7620</xdr:colOff>
          <xdr:row>2</xdr:row>
          <xdr:rowOff>144780</xdr:rowOff>
        </xdr:from>
        <xdr:to>
          <xdr:col>4</xdr:col>
          <xdr:colOff>594360</xdr:colOff>
          <xdr:row>4</xdr:row>
          <xdr:rowOff>0</xdr:rowOff>
        </xdr:to>
        <xdr:sp macro="" textlink="">
          <xdr:nvSpPr>
            <xdr:cNvPr id="64514" name="cmdCommIN" hidden="1">
              <a:extLst>
                <a:ext uri="{63B3BB69-23CF-44E3-9099-C40C66FF867C}">
                  <a14:compatExt spid="_x0000_s64514"/>
                </a:ext>
                <a:ext uri="{FF2B5EF4-FFF2-40B4-BE49-F238E27FC236}">
                  <a16:creationId xmlns:a16="http://schemas.microsoft.com/office/drawing/2014/main" id="{00000000-0008-0000-0F00-000002F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7620</xdr:colOff>
          <xdr:row>2</xdr:row>
          <xdr:rowOff>144780</xdr:rowOff>
        </xdr:from>
        <xdr:to>
          <xdr:col>5</xdr:col>
          <xdr:colOff>701040</xdr:colOff>
          <xdr:row>4</xdr:row>
          <xdr:rowOff>0</xdr:rowOff>
        </xdr:to>
        <xdr:sp macro="" textlink="">
          <xdr:nvSpPr>
            <xdr:cNvPr id="64515" name="cmdCommOUT" hidden="1">
              <a:extLst>
                <a:ext uri="{63B3BB69-23CF-44E3-9099-C40C66FF867C}">
                  <a14:compatExt spid="_x0000_s64515"/>
                </a:ext>
                <a:ext uri="{FF2B5EF4-FFF2-40B4-BE49-F238E27FC236}">
                  <a16:creationId xmlns:a16="http://schemas.microsoft.com/office/drawing/2014/main" id="{00000000-0008-0000-0F00-000003F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7620</xdr:colOff>
          <xdr:row>3</xdr:row>
          <xdr:rowOff>198120</xdr:rowOff>
        </xdr:from>
        <xdr:to>
          <xdr:col>0</xdr:col>
          <xdr:colOff>693420</xdr:colOff>
          <xdr:row>4</xdr:row>
          <xdr:rowOff>220980</xdr:rowOff>
        </xdr:to>
        <xdr:sp macro="" textlink="">
          <xdr:nvSpPr>
            <xdr:cNvPr id="64516" name="cmdAddParameter" hidden="1">
              <a:extLst>
                <a:ext uri="{63B3BB69-23CF-44E3-9099-C40C66FF867C}">
                  <a14:compatExt spid="_x0000_s64516"/>
                </a:ext>
                <a:ext uri="{FF2B5EF4-FFF2-40B4-BE49-F238E27FC236}">
                  <a16:creationId xmlns:a16="http://schemas.microsoft.com/office/drawing/2014/main" id="{00000000-0008-0000-0F00-000004F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7620</xdr:colOff>
          <xdr:row>5</xdr:row>
          <xdr:rowOff>7620</xdr:rowOff>
        </xdr:from>
        <xdr:to>
          <xdr:col>1</xdr:col>
          <xdr:colOff>7620</xdr:colOff>
          <xdr:row>6</xdr:row>
          <xdr:rowOff>30480</xdr:rowOff>
        </xdr:to>
        <xdr:sp macro="" textlink="">
          <xdr:nvSpPr>
            <xdr:cNvPr id="64517" name="cmdAddParamQualifier" hidden="1">
              <a:extLst>
                <a:ext uri="{63B3BB69-23CF-44E3-9099-C40C66FF867C}">
                  <a14:compatExt spid="_x0000_s64517"/>
                </a:ext>
                <a:ext uri="{FF2B5EF4-FFF2-40B4-BE49-F238E27FC236}">
                  <a16:creationId xmlns:a16="http://schemas.microsoft.com/office/drawing/2014/main" id="{00000000-0008-0000-0F00-000005F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7620</xdr:colOff>
          <xdr:row>2</xdr:row>
          <xdr:rowOff>152400</xdr:rowOff>
        </xdr:from>
        <xdr:to>
          <xdr:col>1</xdr:col>
          <xdr:colOff>7620</xdr:colOff>
          <xdr:row>4</xdr:row>
          <xdr:rowOff>7620</xdr:rowOff>
        </xdr:to>
        <xdr:sp macro="" textlink="">
          <xdr:nvSpPr>
            <xdr:cNvPr id="64518" name="cmdCheckTechDataSheet" hidden="1">
              <a:extLst>
                <a:ext uri="{63B3BB69-23CF-44E3-9099-C40C66FF867C}">
                  <a14:compatExt spid="_x0000_s64518"/>
                </a:ext>
                <a:ext uri="{FF2B5EF4-FFF2-40B4-BE49-F238E27FC236}">
                  <a16:creationId xmlns:a16="http://schemas.microsoft.com/office/drawing/2014/main" id="{00000000-0008-0000-0F00-000006F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2</xdr:row>
          <xdr:rowOff>22860</xdr:rowOff>
        </xdr:from>
        <xdr:to>
          <xdr:col>4</xdr:col>
          <xdr:colOff>15240</xdr:colOff>
          <xdr:row>4</xdr:row>
          <xdr:rowOff>15240</xdr:rowOff>
        </xdr:to>
        <xdr:sp macro="" textlink="">
          <xdr:nvSpPr>
            <xdr:cNvPr id="64519" name="cmdRefreshUnits" hidden="1">
              <a:extLst>
                <a:ext uri="{63B3BB69-23CF-44E3-9099-C40C66FF867C}">
                  <a14:compatExt spid="_x0000_s64519"/>
                </a:ext>
                <a:ext uri="{FF2B5EF4-FFF2-40B4-BE49-F238E27FC236}">
                  <a16:creationId xmlns:a16="http://schemas.microsoft.com/office/drawing/2014/main" id="{00000000-0008-0000-0F00-000007F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1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xdr:colOff>
          <xdr:row>4</xdr:row>
          <xdr:rowOff>7620</xdr:rowOff>
        </xdr:from>
        <xdr:to>
          <xdr:col>0</xdr:col>
          <xdr:colOff>693420</xdr:colOff>
          <xdr:row>5</xdr:row>
          <xdr:rowOff>0</xdr:rowOff>
        </xdr:to>
        <xdr:sp macro="" textlink="">
          <xdr:nvSpPr>
            <xdr:cNvPr id="61441" name="cmdAddParameter" hidden="1">
              <a:extLst>
                <a:ext uri="{63B3BB69-23CF-44E3-9099-C40C66FF867C}">
                  <a14:compatExt spid="_x0000_s61441"/>
                </a:ext>
                <a:ext uri="{FF2B5EF4-FFF2-40B4-BE49-F238E27FC236}">
                  <a16:creationId xmlns:a16="http://schemas.microsoft.com/office/drawing/2014/main" id="{00000000-0008-0000-1000-000001F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xdr:row>
          <xdr:rowOff>22860</xdr:rowOff>
        </xdr:from>
        <xdr:to>
          <xdr:col>2</xdr:col>
          <xdr:colOff>1394460</xdr:colOff>
          <xdr:row>4</xdr:row>
          <xdr:rowOff>0</xdr:rowOff>
        </xdr:to>
        <xdr:sp macro="" textlink="">
          <xdr:nvSpPr>
            <xdr:cNvPr id="61442" name="cmdCommNameAndDesc" hidden="1">
              <a:extLst>
                <a:ext uri="{63B3BB69-23CF-44E3-9099-C40C66FF867C}">
                  <a14:compatExt spid="_x0000_s61442"/>
                </a:ext>
                <a:ext uri="{FF2B5EF4-FFF2-40B4-BE49-F238E27FC236}">
                  <a16:creationId xmlns:a16="http://schemas.microsoft.com/office/drawing/2014/main" id="{00000000-0008-0000-1000-000002F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7620</xdr:colOff>
          <xdr:row>5</xdr:row>
          <xdr:rowOff>0</xdr:rowOff>
        </xdr:from>
        <xdr:to>
          <xdr:col>0</xdr:col>
          <xdr:colOff>693420</xdr:colOff>
          <xdr:row>5</xdr:row>
          <xdr:rowOff>236220</xdr:rowOff>
        </xdr:to>
        <xdr:sp macro="" textlink="">
          <xdr:nvSpPr>
            <xdr:cNvPr id="61443" name="cmdAddParamQualifier" hidden="1">
              <a:extLst>
                <a:ext uri="{63B3BB69-23CF-44E3-9099-C40C66FF867C}">
                  <a14:compatExt spid="_x0000_s61443"/>
                </a:ext>
                <a:ext uri="{FF2B5EF4-FFF2-40B4-BE49-F238E27FC236}">
                  <a16:creationId xmlns:a16="http://schemas.microsoft.com/office/drawing/2014/main" id="{00000000-0008-0000-1000-000003F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7620</xdr:colOff>
          <xdr:row>3</xdr:row>
          <xdr:rowOff>22860</xdr:rowOff>
        </xdr:from>
        <xdr:to>
          <xdr:col>0</xdr:col>
          <xdr:colOff>693420</xdr:colOff>
          <xdr:row>4</xdr:row>
          <xdr:rowOff>7620</xdr:rowOff>
        </xdr:to>
        <xdr:sp macro="" textlink="">
          <xdr:nvSpPr>
            <xdr:cNvPr id="61444" name="cmdCheckCommDataSheet" hidden="1">
              <a:extLst>
                <a:ext uri="{63B3BB69-23CF-44E3-9099-C40C66FF867C}">
                  <a14:compatExt spid="_x0000_s61444"/>
                </a:ext>
                <a:ext uri="{FF2B5EF4-FFF2-40B4-BE49-F238E27FC236}">
                  <a16:creationId xmlns:a16="http://schemas.microsoft.com/office/drawing/2014/main" id="{00000000-0008-0000-1000-000004F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1409700</xdr:colOff>
          <xdr:row>2</xdr:row>
          <xdr:rowOff>76200</xdr:rowOff>
        </xdr:from>
        <xdr:to>
          <xdr:col>3</xdr:col>
          <xdr:colOff>320040</xdr:colOff>
          <xdr:row>4</xdr:row>
          <xdr:rowOff>7620</xdr:rowOff>
        </xdr:to>
        <xdr:sp macro="" textlink="">
          <xdr:nvSpPr>
            <xdr:cNvPr id="61445" name="cmdRefreshUnits" hidden="1">
              <a:extLst>
                <a:ext uri="{63B3BB69-23CF-44E3-9099-C40C66FF867C}">
                  <a14:compatExt spid="_x0000_s61445"/>
                </a:ext>
                <a:ext uri="{FF2B5EF4-FFF2-40B4-BE49-F238E27FC236}">
                  <a16:creationId xmlns:a16="http://schemas.microsoft.com/office/drawing/2014/main" id="{00000000-0008-0000-1000-000005F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1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22860</xdr:colOff>
          <xdr:row>4</xdr:row>
          <xdr:rowOff>22860</xdr:rowOff>
        </xdr:from>
        <xdr:to>
          <xdr:col>4</xdr:col>
          <xdr:colOff>998220</xdr:colOff>
          <xdr:row>5</xdr:row>
          <xdr:rowOff>45720</xdr:rowOff>
        </xdr:to>
        <xdr:sp macro="" textlink="">
          <xdr:nvSpPr>
            <xdr:cNvPr id="60417" name="cmdConstraintSets" hidden="1">
              <a:extLst>
                <a:ext uri="{63B3BB69-23CF-44E3-9099-C40C66FF867C}">
                  <a14:compatExt spid="_x0000_s60417"/>
                </a:ext>
                <a:ext uri="{FF2B5EF4-FFF2-40B4-BE49-F238E27FC236}">
                  <a16:creationId xmlns:a16="http://schemas.microsoft.com/office/drawing/2014/main" id="{00000000-0008-0000-1100-000001E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7620</xdr:colOff>
          <xdr:row>3</xdr:row>
          <xdr:rowOff>0</xdr:rowOff>
        </xdr:from>
        <xdr:to>
          <xdr:col>0</xdr:col>
          <xdr:colOff>792480</xdr:colOff>
          <xdr:row>4</xdr:row>
          <xdr:rowOff>0</xdr:rowOff>
        </xdr:to>
        <xdr:sp macro="" textlink="">
          <xdr:nvSpPr>
            <xdr:cNvPr id="60418" name="cmdCheckConstraintsSheet" hidden="1">
              <a:extLst>
                <a:ext uri="{63B3BB69-23CF-44E3-9099-C40C66FF867C}">
                  <a14:compatExt spid="_x0000_s60418"/>
                </a:ext>
                <a:ext uri="{FF2B5EF4-FFF2-40B4-BE49-F238E27FC236}">
                  <a16:creationId xmlns:a16="http://schemas.microsoft.com/office/drawing/2014/main" id="{00000000-0008-0000-1100-000002E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22860</xdr:colOff>
          <xdr:row>4</xdr:row>
          <xdr:rowOff>7620</xdr:rowOff>
        </xdr:from>
        <xdr:to>
          <xdr:col>3</xdr:col>
          <xdr:colOff>579120</xdr:colOff>
          <xdr:row>5</xdr:row>
          <xdr:rowOff>30480</xdr:rowOff>
        </xdr:to>
        <xdr:sp macro="" textlink="">
          <xdr:nvSpPr>
            <xdr:cNvPr id="60419" name="cmdConstraintUnit" hidden="1">
              <a:extLst>
                <a:ext uri="{63B3BB69-23CF-44E3-9099-C40C66FF867C}">
                  <a14:compatExt spid="_x0000_s60419"/>
                </a:ext>
                <a:ext uri="{FF2B5EF4-FFF2-40B4-BE49-F238E27FC236}">
                  <a16:creationId xmlns:a16="http://schemas.microsoft.com/office/drawing/2014/main" id="{00000000-0008-0000-1100-000003E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22860</xdr:colOff>
          <xdr:row>2</xdr:row>
          <xdr:rowOff>45720</xdr:rowOff>
        </xdr:from>
        <xdr:to>
          <xdr:col>3</xdr:col>
          <xdr:colOff>579120</xdr:colOff>
          <xdr:row>4</xdr:row>
          <xdr:rowOff>15240</xdr:rowOff>
        </xdr:to>
        <xdr:sp macro="" textlink="">
          <xdr:nvSpPr>
            <xdr:cNvPr id="60420" name="cmdRefreshUnits" hidden="1">
              <a:extLst>
                <a:ext uri="{63B3BB69-23CF-44E3-9099-C40C66FF867C}">
                  <a14:compatExt spid="_x0000_s60420"/>
                </a:ext>
                <a:ext uri="{FF2B5EF4-FFF2-40B4-BE49-F238E27FC236}">
                  <a16:creationId xmlns:a16="http://schemas.microsoft.com/office/drawing/2014/main" id="{00000000-0008-0000-1100-000004E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2626umcec001\rdodder$\EMODEL\China\Anhui\Scen4\MODEL.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usepa-my.sharepoint.com/personal/lenox_carol_epa_gov/Documents/EPAUS9rT_20/VT_EPAUS9rT_BIOFUEL_v20.1.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DEL"/>
    </sheetNames>
    <sheetDataSet>
      <sheetData sheetId="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me"/>
      <sheetName val="Conversions"/>
      <sheetName val="ANSv6.0-Technologies"/>
      <sheetName val="ANSv6.0-Commodities"/>
      <sheetName val="ANSv6.1-Commodities"/>
      <sheetName val="SEC_Comm"/>
      <sheetName val="ANSv6.1-Technologies"/>
      <sheetName val="SEC_Processes"/>
      <sheetName val="ANSv6.0-ConstrData"/>
      <sheetName val="ANSv6.0-TechData"/>
      <sheetName val="ANSv6.0-CommData"/>
      <sheetName val="ANSv6.0-Constraints"/>
      <sheetName val="ANSv6.1-Constraints"/>
      <sheetName val="ANSv6.1-CommData"/>
      <sheetName val="ANSv6.1-TechData"/>
      <sheetName val="ProcessCharac_BiochemEth"/>
      <sheetName val="CornEthProdDry"/>
      <sheetName val="CornEthProdWet"/>
      <sheetName val="CellEthProdBio"/>
      <sheetName val="EthRESID"/>
      <sheetName val="EthRESID-old"/>
      <sheetName val="ProcessCharac_Biodiesel"/>
      <sheetName val="Biodiesel"/>
      <sheetName val="ProcessCharac_Thermochem"/>
      <sheetName val="Thermochem(TBD)"/>
      <sheetName val="CellEthTC"/>
      <sheetName val="CellGSLTC"/>
      <sheetName val="CellGSLPYR"/>
      <sheetName val="ProcessCharac_FuelTransport"/>
      <sheetName val="Emissions"/>
      <sheetName val="Scenarios"/>
      <sheetName val="ConstrData"/>
      <sheetName val="RFS2 Volumes"/>
      <sheetName val="Alt Fuel Vols"/>
      <sheetName val="Co-products"/>
      <sheetName val="ANSv6.1-ConstrData"/>
      <sheetName val="CARD_DATA_Sheet"/>
      <sheetName val="EthTrans2"/>
      <sheetName val="Int'l Exp+Imp"/>
      <sheetName val="EthTrans"/>
      <sheetName val="Emissions-Trans"/>
      <sheetName val="Blend"/>
      <sheetName val="Credits"/>
      <sheetName val="CARD CellETH Yields"/>
      <sheetName val="Soybean0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ow r="7">
          <cell r="B7" t="str">
            <v>RFS</v>
          </cell>
        </row>
        <row r="10">
          <cell r="I10">
            <v>1346.4336641712002</v>
          </cell>
          <cell r="J10">
            <v>1346.4336641712002</v>
          </cell>
          <cell r="K10">
            <v>1346.4336641712002</v>
          </cell>
        </row>
        <row r="18">
          <cell r="B18" t="str">
            <v>N</v>
          </cell>
        </row>
      </sheetData>
      <sheetData sheetId="31"/>
      <sheetData sheetId="32">
        <row r="31">
          <cell r="G31">
            <v>350.464295594053</v>
          </cell>
        </row>
      </sheetData>
      <sheetData sheetId="33">
        <row r="32">
          <cell r="F32">
            <v>12.054575556194266</v>
          </cell>
        </row>
      </sheetData>
      <sheetData sheetId="34"/>
      <sheetData sheetId="35"/>
      <sheetData sheetId="36"/>
      <sheetData sheetId="37"/>
      <sheetData sheetId="38">
        <row r="44">
          <cell r="E44">
            <v>25.724149814439194</v>
          </cell>
        </row>
      </sheetData>
      <sheetData sheetId="39"/>
      <sheetData sheetId="40"/>
      <sheetData sheetId="41"/>
      <sheetData sheetId="42"/>
      <sheetData sheetId="43"/>
      <sheetData sheetId="4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control" Target="../activeX/activeX3.xml"/><Relationship Id="rId13" Type="http://schemas.openxmlformats.org/officeDocument/2006/relationships/image" Target="../media/image5.emf"/><Relationship Id="rId3" Type="http://schemas.openxmlformats.org/officeDocument/2006/relationships/vmlDrawing" Target="../drawings/vmlDrawing1.vml"/><Relationship Id="rId7" Type="http://schemas.openxmlformats.org/officeDocument/2006/relationships/image" Target="../media/image2.emf"/><Relationship Id="rId12" Type="http://schemas.openxmlformats.org/officeDocument/2006/relationships/control" Target="../activeX/activeX5.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ontrol" Target="../activeX/activeX2.xml"/><Relationship Id="rId11" Type="http://schemas.openxmlformats.org/officeDocument/2006/relationships/image" Target="../media/image4.emf"/><Relationship Id="rId5" Type="http://schemas.openxmlformats.org/officeDocument/2006/relationships/image" Target="../media/image1.emf"/><Relationship Id="rId10" Type="http://schemas.openxmlformats.org/officeDocument/2006/relationships/control" Target="../activeX/activeX4.xml"/><Relationship Id="rId4" Type="http://schemas.openxmlformats.org/officeDocument/2006/relationships/control" Target="../activeX/activeX1.xml"/><Relationship Id="rId9" Type="http://schemas.openxmlformats.org/officeDocument/2006/relationships/image" Target="../media/image3.emf"/></Relationships>
</file>

<file path=xl/worksheets/_rels/sheet2.xml.rels><?xml version="1.0" encoding="UTF-8" standalone="yes"?>
<Relationships xmlns="http://schemas.openxmlformats.org/package/2006/relationships"><Relationship Id="rId8" Type="http://schemas.openxmlformats.org/officeDocument/2006/relationships/control" Target="../activeX/activeX8.xml"/><Relationship Id="rId13" Type="http://schemas.openxmlformats.org/officeDocument/2006/relationships/image" Target="../media/image10.emf"/><Relationship Id="rId3" Type="http://schemas.openxmlformats.org/officeDocument/2006/relationships/vmlDrawing" Target="../drawings/vmlDrawing2.vml"/><Relationship Id="rId7" Type="http://schemas.openxmlformats.org/officeDocument/2006/relationships/image" Target="../media/image7.emf"/><Relationship Id="rId12" Type="http://schemas.openxmlformats.org/officeDocument/2006/relationships/control" Target="../activeX/activeX10.xml"/><Relationship Id="rId17" Type="http://schemas.openxmlformats.org/officeDocument/2006/relationships/image" Target="../media/image12.emf"/><Relationship Id="rId2" Type="http://schemas.openxmlformats.org/officeDocument/2006/relationships/drawing" Target="../drawings/drawing2.xml"/><Relationship Id="rId16" Type="http://schemas.openxmlformats.org/officeDocument/2006/relationships/control" Target="../activeX/activeX12.xml"/><Relationship Id="rId1" Type="http://schemas.openxmlformats.org/officeDocument/2006/relationships/printerSettings" Target="../printerSettings/printerSettings2.bin"/><Relationship Id="rId6" Type="http://schemas.openxmlformats.org/officeDocument/2006/relationships/control" Target="../activeX/activeX7.xml"/><Relationship Id="rId11" Type="http://schemas.openxmlformats.org/officeDocument/2006/relationships/image" Target="../media/image9.emf"/><Relationship Id="rId5" Type="http://schemas.openxmlformats.org/officeDocument/2006/relationships/image" Target="../media/image6.emf"/><Relationship Id="rId15" Type="http://schemas.openxmlformats.org/officeDocument/2006/relationships/image" Target="../media/image11.emf"/><Relationship Id="rId10" Type="http://schemas.openxmlformats.org/officeDocument/2006/relationships/control" Target="../activeX/activeX9.xml"/><Relationship Id="rId4" Type="http://schemas.openxmlformats.org/officeDocument/2006/relationships/control" Target="../activeX/activeX6.xml"/><Relationship Id="rId9" Type="http://schemas.openxmlformats.org/officeDocument/2006/relationships/image" Target="../media/image8.emf"/><Relationship Id="rId14" Type="http://schemas.openxmlformats.org/officeDocument/2006/relationships/control" Target="../activeX/activeX11.xml"/></Relationships>
</file>

<file path=xl/worksheets/_rels/sheet3.xml.rels><?xml version="1.0" encoding="UTF-8" standalone="yes"?>
<Relationships xmlns="http://schemas.openxmlformats.org/package/2006/relationships"><Relationship Id="rId8" Type="http://schemas.openxmlformats.org/officeDocument/2006/relationships/control" Target="../activeX/activeX15.xml"/><Relationship Id="rId13" Type="http://schemas.openxmlformats.org/officeDocument/2006/relationships/image" Target="../media/image17.emf"/><Relationship Id="rId18" Type="http://schemas.openxmlformats.org/officeDocument/2006/relationships/control" Target="../activeX/activeX20.xml"/><Relationship Id="rId3" Type="http://schemas.openxmlformats.org/officeDocument/2006/relationships/vmlDrawing" Target="../drawings/vmlDrawing3.vml"/><Relationship Id="rId7" Type="http://schemas.openxmlformats.org/officeDocument/2006/relationships/image" Target="../media/image14.emf"/><Relationship Id="rId12" Type="http://schemas.openxmlformats.org/officeDocument/2006/relationships/control" Target="../activeX/activeX17.xml"/><Relationship Id="rId17" Type="http://schemas.openxmlformats.org/officeDocument/2006/relationships/image" Target="../media/image19.emf"/><Relationship Id="rId2" Type="http://schemas.openxmlformats.org/officeDocument/2006/relationships/drawing" Target="../drawings/drawing3.xml"/><Relationship Id="rId16" Type="http://schemas.openxmlformats.org/officeDocument/2006/relationships/control" Target="../activeX/activeX19.xml"/><Relationship Id="rId1" Type="http://schemas.openxmlformats.org/officeDocument/2006/relationships/printerSettings" Target="../printerSettings/printerSettings3.bin"/><Relationship Id="rId6" Type="http://schemas.openxmlformats.org/officeDocument/2006/relationships/control" Target="../activeX/activeX14.xml"/><Relationship Id="rId11" Type="http://schemas.openxmlformats.org/officeDocument/2006/relationships/image" Target="../media/image16.emf"/><Relationship Id="rId5" Type="http://schemas.openxmlformats.org/officeDocument/2006/relationships/image" Target="../media/image13.emf"/><Relationship Id="rId15" Type="http://schemas.openxmlformats.org/officeDocument/2006/relationships/image" Target="../media/image18.emf"/><Relationship Id="rId10" Type="http://schemas.openxmlformats.org/officeDocument/2006/relationships/control" Target="../activeX/activeX16.xml"/><Relationship Id="rId19" Type="http://schemas.openxmlformats.org/officeDocument/2006/relationships/image" Target="../media/image20.emf"/><Relationship Id="rId4" Type="http://schemas.openxmlformats.org/officeDocument/2006/relationships/control" Target="../activeX/activeX13.xml"/><Relationship Id="rId9" Type="http://schemas.openxmlformats.org/officeDocument/2006/relationships/image" Target="../media/image15.emf"/><Relationship Id="rId14" Type="http://schemas.openxmlformats.org/officeDocument/2006/relationships/control" Target="../activeX/activeX18.xml"/></Relationships>
</file>

<file path=xl/worksheets/_rels/sheet4.xml.rels><?xml version="1.0" encoding="UTF-8" standalone="yes"?>
<Relationships xmlns="http://schemas.openxmlformats.org/package/2006/relationships"><Relationship Id="rId8" Type="http://schemas.openxmlformats.org/officeDocument/2006/relationships/control" Target="../activeX/activeX23.xml"/><Relationship Id="rId13" Type="http://schemas.openxmlformats.org/officeDocument/2006/relationships/image" Target="../media/image25.emf"/><Relationship Id="rId3" Type="http://schemas.openxmlformats.org/officeDocument/2006/relationships/vmlDrawing" Target="../drawings/vmlDrawing4.vml"/><Relationship Id="rId7" Type="http://schemas.openxmlformats.org/officeDocument/2006/relationships/image" Target="../media/image22.emf"/><Relationship Id="rId12" Type="http://schemas.openxmlformats.org/officeDocument/2006/relationships/control" Target="../activeX/activeX25.xml"/><Relationship Id="rId2" Type="http://schemas.openxmlformats.org/officeDocument/2006/relationships/drawing" Target="../drawings/drawing4.xml"/><Relationship Id="rId1" Type="http://schemas.openxmlformats.org/officeDocument/2006/relationships/printerSettings" Target="../printerSettings/printerSettings4.bin"/><Relationship Id="rId6" Type="http://schemas.openxmlformats.org/officeDocument/2006/relationships/control" Target="../activeX/activeX22.xml"/><Relationship Id="rId11" Type="http://schemas.openxmlformats.org/officeDocument/2006/relationships/image" Target="../media/image24.emf"/><Relationship Id="rId5" Type="http://schemas.openxmlformats.org/officeDocument/2006/relationships/image" Target="../media/image21.emf"/><Relationship Id="rId10" Type="http://schemas.openxmlformats.org/officeDocument/2006/relationships/control" Target="../activeX/activeX24.xml"/><Relationship Id="rId4" Type="http://schemas.openxmlformats.org/officeDocument/2006/relationships/control" Target="../activeX/activeX21.xml"/><Relationship Id="rId9" Type="http://schemas.openxmlformats.org/officeDocument/2006/relationships/image" Target="../media/image23.emf"/></Relationships>
</file>

<file path=xl/worksheets/_rels/sheet5.xml.rels><?xml version="1.0" encoding="UTF-8" standalone="yes"?>
<Relationships xmlns="http://schemas.openxmlformats.org/package/2006/relationships"><Relationship Id="rId8" Type="http://schemas.openxmlformats.org/officeDocument/2006/relationships/control" Target="../activeX/activeX28.xml"/><Relationship Id="rId3" Type="http://schemas.openxmlformats.org/officeDocument/2006/relationships/vmlDrawing" Target="../drawings/vmlDrawing5.vml"/><Relationship Id="rId7" Type="http://schemas.openxmlformats.org/officeDocument/2006/relationships/image" Target="../media/image27.emf"/><Relationship Id="rId2" Type="http://schemas.openxmlformats.org/officeDocument/2006/relationships/drawing" Target="../drawings/drawing5.xml"/><Relationship Id="rId1" Type="http://schemas.openxmlformats.org/officeDocument/2006/relationships/printerSettings" Target="../printerSettings/printerSettings5.bin"/><Relationship Id="rId6" Type="http://schemas.openxmlformats.org/officeDocument/2006/relationships/control" Target="../activeX/activeX27.xml"/><Relationship Id="rId11" Type="http://schemas.openxmlformats.org/officeDocument/2006/relationships/image" Target="../media/image29.emf"/><Relationship Id="rId5" Type="http://schemas.openxmlformats.org/officeDocument/2006/relationships/image" Target="../media/image26.emf"/><Relationship Id="rId10" Type="http://schemas.openxmlformats.org/officeDocument/2006/relationships/control" Target="../activeX/activeX29.xml"/><Relationship Id="rId4" Type="http://schemas.openxmlformats.org/officeDocument/2006/relationships/control" Target="../activeX/activeX26.xml"/><Relationship Id="rId9" Type="http://schemas.openxmlformats.org/officeDocument/2006/relationships/image" Target="../media/image28.emf"/></Relationships>
</file>

<file path=xl/worksheets/_rels/sheet6.xml.rels><?xml version="1.0" encoding="UTF-8" standalone="yes"?>
<Relationships xmlns="http://schemas.openxmlformats.org/package/2006/relationships"><Relationship Id="rId8" Type="http://schemas.openxmlformats.org/officeDocument/2006/relationships/control" Target="../activeX/activeX32.xml"/><Relationship Id="rId13" Type="http://schemas.openxmlformats.org/officeDocument/2006/relationships/image" Target="../media/image34.emf"/><Relationship Id="rId3" Type="http://schemas.openxmlformats.org/officeDocument/2006/relationships/vmlDrawing" Target="../drawings/vmlDrawing6.vml"/><Relationship Id="rId7" Type="http://schemas.openxmlformats.org/officeDocument/2006/relationships/image" Target="../media/image31.emf"/><Relationship Id="rId12" Type="http://schemas.openxmlformats.org/officeDocument/2006/relationships/control" Target="../activeX/activeX34.xml"/><Relationship Id="rId2" Type="http://schemas.openxmlformats.org/officeDocument/2006/relationships/drawing" Target="../drawings/drawing6.xml"/><Relationship Id="rId1" Type="http://schemas.openxmlformats.org/officeDocument/2006/relationships/printerSettings" Target="../printerSettings/printerSettings6.bin"/><Relationship Id="rId6" Type="http://schemas.openxmlformats.org/officeDocument/2006/relationships/control" Target="../activeX/activeX31.xml"/><Relationship Id="rId11" Type="http://schemas.openxmlformats.org/officeDocument/2006/relationships/image" Target="../media/image33.emf"/><Relationship Id="rId5" Type="http://schemas.openxmlformats.org/officeDocument/2006/relationships/image" Target="../media/image30.emf"/><Relationship Id="rId10" Type="http://schemas.openxmlformats.org/officeDocument/2006/relationships/control" Target="../activeX/activeX33.xml"/><Relationship Id="rId4" Type="http://schemas.openxmlformats.org/officeDocument/2006/relationships/control" Target="../activeX/activeX30.xml"/><Relationship Id="rId9" Type="http://schemas.openxmlformats.org/officeDocument/2006/relationships/image" Target="../media/image32.emf"/></Relationships>
</file>

<file path=xl/worksheets/_rels/sheet7.xml.rels><?xml version="1.0" encoding="UTF-8" standalone="yes"?>
<Relationships xmlns="http://schemas.openxmlformats.org/package/2006/relationships"><Relationship Id="rId8" Type="http://schemas.openxmlformats.org/officeDocument/2006/relationships/control" Target="../activeX/activeX37.xml"/><Relationship Id="rId13" Type="http://schemas.openxmlformats.org/officeDocument/2006/relationships/image" Target="../media/image39.emf"/><Relationship Id="rId3" Type="http://schemas.openxmlformats.org/officeDocument/2006/relationships/vmlDrawing" Target="../drawings/vmlDrawing7.vml"/><Relationship Id="rId7" Type="http://schemas.openxmlformats.org/officeDocument/2006/relationships/image" Target="../media/image36.emf"/><Relationship Id="rId12" Type="http://schemas.openxmlformats.org/officeDocument/2006/relationships/control" Target="../activeX/activeX39.xml"/><Relationship Id="rId17" Type="http://schemas.openxmlformats.org/officeDocument/2006/relationships/image" Target="../media/image41.emf"/><Relationship Id="rId2" Type="http://schemas.openxmlformats.org/officeDocument/2006/relationships/drawing" Target="../drawings/drawing7.xml"/><Relationship Id="rId16" Type="http://schemas.openxmlformats.org/officeDocument/2006/relationships/control" Target="../activeX/activeX41.xml"/><Relationship Id="rId1" Type="http://schemas.openxmlformats.org/officeDocument/2006/relationships/printerSettings" Target="../printerSettings/printerSettings7.bin"/><Relationship Id="rId6" Type="http://schemas.openxmlformats.org/officeDocument/2006/relationships/control" Target="../activeX/activeX36.xml"/><Relationship Id="rId11" Type="http://schemas.openxmlformats.org/officeDocument/2006/relationships/image" Target="../media/image38.emf"/><Relationship Id="rId5" Type="http://schemas.openxmlformats.org/officeDocument/2006/relationships/image" Target="../media/image35.emf"/><Relationship Id="rId15" Type="http://schemas.openxmlformats.org/officeDocument/2006/relationships/image" Target="../media/image40.emf"/><Relationship Id="rId10" Type="http://schemas.openxmlformats.org/officeDocument/2006/relationships/control" Target="../activeX/activeX38.xml"/><Relationship Id="rId4" Type="http://schemas.openxmlformats.org/officeDocument/2006/relationships/control" Target="../activeX/activeX35.xml"/><Relationship Id="rId9" Type="http://schemas.openxmlformats.org/officeDocument/2006/relationships/image" Target="../media/image37.emf"/><Relationship Id="rId14" Type="http://schemas.openxmlformats.org/officeDocument/2006/relationships/control" Target="../activeX/activeX40.xml"/></Relationships>
</file>

<file path=xl/worksheets/_rels/sheet8.xml.rels><?xml version="1.0" encoding="UTF-8" standalone="yes"?>
<Relationships xmlns="http://schemas.openxmlformats.org/package/2006/relationships"><Relationship Id="rId8" Type="http://schemas.openxmlformats.org/officeDocument/2006/relationships/control" Target="../activeX/activeX44.xml"/><Relationship Id="rId13" Type="http://schemas.openxmlformats.org/officeDocument/2006/relationships/image" Target="../media/image46.emf"/><Relationship Id="rId3" Type="http://schemas.openxmlformats.org/officeDocument/2006/relationships/vmlDrawing" Target="../drawings/vmlDrawing8.vml"/><Relationship Id="rId7" Type="http://schemas.openxmlformats.org/officeDocument/2006/relationships/image" Target="../media/image43.emf"/><Relationship Id="rId12" Type="http://schemas.openxmlformats.org/officeDocument/2006/relationships/control" Target="../activeX/activeX46.xml"/><Relationship Id="rId2" Type="http://schemas.openxmlformats.org/officeDocument/2006/relationships/drawing" Target="../drawings/drawing8.xml"/><Relationship Id="rId1" Type="http://schemas.openxmlformats.org/officeDocument/2006/relationships/printerSettings" Target="../printerSettings/printerSettings8.bin"/><Relationship Id="rId6" Type="http://schemas.openxmlformats.org/officeDocument/2006/relationships/control" Target="../activeX/activeX43.xml"/><Relationship Id="rId11" Type="http://schemas.openxmlformats.org/officeDocument/2006/relationships/image" Target="../media/image45.emf"/><Relationship Id="rId5" Type="http://schemas.openxmlformats.org/officeDocument/2006/relationships/image" Target="../media/image42.emf"/><Relationship Id="rId15" Type="http://schemas.openxmlformats.org/officeDocument/2006/relationships/image" Target="../media/image47.emf"/><Relationship Id="rId10" Type="http://schemas.openxmlformats.org/officeDocument/2006/relationships/control" Target="../activeX/activeX45.xml"/><Relationship Id="rId4" Type="http://schemas.openxmlformats.org/officeDocument/2006/relationships/control" Target="../activeX/activeX42.xml"/><Relationship Id="rId9" Type="http://schemas.openxmlformats.org/officeDocument/2006/relationships/image" Target="../media/image44.emf"/><Relationship Id="rId14" Type="http://schemas.openxmlformats.org/officeDocument/2006/relationships/control" Target="../activeX/activeX47.xml"/></Relationships>
</file>

<file path=xl/worksheets/_rels/sheet9.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9.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10.vml"/></Relationships>
</file>

<file path=xl/worksheets/_rels/sheet15.xml.rels><?xml version="1.0" encoding="UTF-8" standalone="yes"?>
<Relationships xmlns="http://schemas.openxmlformats.org/package/2006/relationships"><Relationship Id="rId8" Type="http://schemas.openxmlformats.org/officeDocument/2006/relationships/control" Target="../activeX/activeX50.xml"/><Relationship Id="rId13" Type="http://schemas.openxmlformats.org/officeDocument/2006/relationships/image" Target="../media/image52.emf"/><Relationship Id="rId3" Type="http://schemas.openxmlformats.org/officeDocument/2006/relationships/vmlDrawing" Target="../drawings/vmlDrawing11.vml"/><Relationship Id="rId7" Type="http://schemas.openxmlformats.org/officeDocument/2006/relationships/image" Target="../media/image49.emf"/><Relationship Id="rId12" Type="http://schemas.openxmlformats.org/officeDocument/2006/relationships/control" Target="../activeX/activeX52.xml"/><Relationship Id="rId2" Type="http://schemas.openxmlformats.org/officeDocument/2006/relationships/drawing" Target="../drawings/drawing9.xml"/><Relationship Id="rId1" Type="http://schemas.openxmlformats.org/officeDocument/2006/relationships/printerSettings" Target="../printerSettings/printerSettings10.bin"/><Relationship Id="rId6" Type="http://schemas.openxmlformats.org/officeDocument/2006/relationships/control" Target="../activeX/activeX49.xml"/><Relationship Id="rId11" Type="http://schemas.openxmlformats.org/officeDocument/2006/relationships/image" Target="../media/image51.emf"/><Relationship Id="rId5" Type="http://schemas.openxmlformats.org/officeDocument/2006/relationships/image" Target="../media/image48.emf"/><Relationship Id="rId15" Type="http://schemas.openxmlformats.org/officeDocument/2006/relationships/image" Target="../media/image53.emf"/><Relationship Id="rId10" Type="http://schemas.openxmlformats.org/officeDocument/2006/relationships/control" Target="../activeX/activeX51.xml"/><Relationship Id="rId4" Type="http://schemas.openxmlformats.org/officeDocument/2006/relationships/control" Target="../activeX/activeX48.xml"/><Relationship Id="rId9" Type="http://schemas.openxmlformats.org/officeDocument/2006/relationships/image" Target="../media/image50.emf"/><Relationship Id="rId14" Type="http://schemas.openxmlformats.org/officeDocument/2006/relationships/control" Target="../activeX/activeX53.xml"/></Relationships>
</file>

<file path=xl/worksheets/_rels/sheet16.xml.rels><?xml version="1.0" encoding="UTF-8" standalone="yes"?>
<Relationships xmlns="http://schemas.openxmlformats.org/package/2006/relationships"><Relationship Id="rId8" Type="http://schemas.openxmlformats.org/officeDocument/2006/relationships/control" Target="../activeX/activeX56.xml"/><Relationship Id="rId13" Type="http://schemas.openxmlformats.org/officeDocument/2006/relationships/image" Target="../media/image58.emf"/><Relationship Id="rId3" Type="http://schemas.openxmlformats.org/officeDocument/2006/relationships/vmlDrawing" Target="../drawings/vmlDrawing12.vml"/><Relationship Id="rId7" Type="http://schemas.openxmlformats.org/officeDocument/2006/relationships/image" Target="../media/image55.emf"/><Relationship Id="rId12" Type="http://schemas.openxmlformats.org/officeDocument/2006/relationships/control" Target="../activeX/activeX58.xml"/><Relationship Id="rId17" Type="http://schemas.openxmlformats.org/officeDocument/2006/relationships/image" Target="../media/image60.emf"/><Relationship Id="rId2" Type="http://schemas.openxmlformats.org/officeDocument/2006/relationships/drawing" Target="../drawings/drawing10.xml"/><Relationship Id="rId16" Type="http://schemas.openxmlformats.org/officeDocument/2006/relationships/control" Target="../activeX/activeX60.xml"/><Relationship Id="rId1" Type="http://schemas.openxmlformats.org/officeDocument/2006/relationships/printerSettings" Target="../printerSettings/printerSettings11.bin"/><Relationship Id="rId6" Type="http://schemas.openxmlformats.org/officeDocument/2006/relationships/control" Target="../activeX/activeX55.xml"/><Relationship Id="rId11" Type="http://schemas.openxmlformats.org/officeDocument/2006/relationships/image" Target="../media/image57.emf"/><Relationship Id="rId5" Type="http://schemas.openxmlformats.org/officeDocument/2006/relationships/image" Target="../media/image54.emf"/><Relationship Id="rId15" Type="http://schemas.openxmlformats.org/officeDocument/2006/relationships/image" Target="../media/image59.emf"/><Relationship Id="rId10" Type="http://schemas.openxmlformats.org/officeDocument/2006/relationships/control" Target="../activeX/activeX57.xml"/><Relationship Id="rId4" Type="http://schemas.openxmlformats.org/officeDocument/2006/relationships/control" Target="../activeX/activeX54.xml"/><Relationship Id="rId9" Type="http://schemas.openxmlformats.org/officeDocument/2006/relationships/image" Target="../media/image56.emf"/><Relationship Id="rId14" Type="http://schemas.openxmlformats.org/officeDocument/2006/relationships/control" Target="../activeX/activeX59.xml"/></Relationships>
</file>

<file path=xl/worksheets/_rels/sheet17.xml.rels><?xml version="1.0" encoding="UTF-8" standalone="yes"?>
<Relationships xmlns="http://schemas.openxmlformats.org/package/2006/relationships"><Relationship Id="rId8" Type="http://schemas.openxmlformats.org/officeDocument/2006/relationships/control" Target="../activeX/activeX63.xml"/><Relationship Id="rId13" Type="http://schemas.openxmlformats.org/officeDocument/2006/relationships/image" Target="../media/image65.emf"/><Relationship Id="rId3" Type="http://schemas.openxmlformats.org/officeDocument/2006/relationships/vmlDrawing" Target="../drawings/vmlDrawing13.vml"/><Relationship Id="rId7" Type="http://schemas.openxmlformats.org/officeDocument/2006/relationships/image" Target="../media/image62.emf"/><Relationship Id="rId12" Type="http://schemas.openxmlformats.org/officeDocument/2006/relationships/control" Target="../activeX/activeX65.xml"/><Relationship Id="rId2" Type="http://schemas.openxmlformats.org/officeDocument/2006/relationships/drawing" Target="../drawings/drawing11.xml"/><Relationship Id="rId1" Type="http://schemas.openxmlformats.org/officeDocument/2006/relationships/printerSettings" Target="../printerSettings/printerSettings12.bin"/><Relationship Id="rId6" Type="http://schemas.openxmlformats.org/officeDocument/2006/relationships/control" Target="../activeX/activeX62.xml"/><Relationship Id="rId11" Type="http://schemas.openxmlformats.org/officeDocument/2006/relationships/image" Target="../media/image64.emf"/><Relationship Id="rId5" Type="http://schemas.openxmlformats.org/officeDocument/2006/relationships/image" Target="../media/image61.emf"/><Relationship Id="rId10" Type="http://schemas.openxmlformats.org/officeDocument/2006/relationships/control" Target="../activeX/activeX64.xml"/><Relationship Id="rId4" Type="http://schemas.openxmlformats.org/officeDocument/2006/relationships/control" Target="../activeX/activeX61.xml"/><Relationship Id="rId9" Type="http://schemas.openxmlformats.org/officeDocument/2006/relationships/image" Target="../media/image63.emf"/></Relationships>
</file>

<file path=xl/worksheets/_rels/sheet18.xml.rels><?xml version="1.0" encoding="UTF-8" standalone="yes"?>
<Relationships xmlns="http://schemas.openxmlformats.org/package/2006/relationships"><Relationship Id="rId8" Type="http://schemas.openxmlformats.org/officeDocument/2006/relationships/control" Target="../activeX/activeX68.xml"/><Relationship Id="rId3" Type="http://schemas.openxmlformats.org/officeDocument/2006/relationships/vmlDrawing" Target="../drawings/vmlDrawing14.vml"/><Relationship Id="rId7" Type="http://schemas.openxmlformats.org/officeDocument/2006/relationships/image" Target="../media/image67.emf"/><Relationship Id="rId2" Type="http://schemas.openxmlformats.org/officeDocument/2006/relationships/drawing" Target="../drawings/drawing12.xml"/><Relationship Id="rId1" Type="http://schemas.openxmlformats.org/officeDocument/2006/relationships/printerSettings" Target="../printerSettings/printerSettings13.bin"/><Relationship Id="rId6" Type="http://schemas.openxmlformats.org/officeDocument/2006/relationships/control" Target="../activeX/activeX67.xml"/><Relationship Id="rId11" Type="http://schemas.openxmlformats.org/officeDocument/2006/relationships/image" Target="../media/image69.emf"/><Relationship Id="rId5" Type="http://schemas.openxmlformats.org/officeDocument/2006/relationships/image" Target="../media/image66.emf"/><Relationship Id="rId10" Type="http://schemas.openxmlformats.org/officeDocument/2006/relationships/control" Target="../activeX/activeX69.xml"/><Relationship Id="rId4" Type="http://schemas.openxmlformats.org/officeDocument/2006/relationships/control" Target="../activeX/activeX66.xml"/><Relationship Id="rId9" Type="http://schemas.openxmlformats.org/officeDocument/2006/relationships/image" Target="../media/image68.emf"/></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8"/>
  <dimension ref="A1:L38"/>
  <sheetViews>
    <sheetView workbookViewId="0">
      <pane xSplit="3" ySplit="7" topLeftCell="D8" activePane="bottomRight" state="frozen"/>
      <selection pane="topRight" activeCell="D1" sqref="D1"/>
      <selection pane="bottomLeft" activeCell="A8" sqref="A8"/>
      <selection pane="bottomRight"/>
    </sheetView>
  </sheetViews>
  <sheetFormatPr defaultRowHeight="13.2" x14ac:dyDescent="0.25"/>
  <cols>
    <col min="1" max="1" width="12.44140625" customWidth="1"/>
    <col min="2" max="2" width="11.109375" customWidth="1"/>
    <col min="3" max="3" width="27.33203125" customWidth="1"/>
    <col min="4" max="4" width="9.6640625" customWidth="1"/>
    <col min="5" max="5" width="9.88671875" customWidth="1"/>
    <col min="6" max="6" width="30.44140625" customWidth="1"/>
    <col min="7" max="7" width="10.44140625" customWidth="1"/>
  </cols>
  <sheetData>
    <row r="1" spans="1:12" x14ac:dyDescent="0.25">
      <c r="A1" s="1" t="s">
        <v>16</v>
      </c>
      <c r="B1" s="2"/>
    </row>
    <row r="4" spans="1:12" ht="18" customHeight="1" x14ac:dyDescent="0.25"/>
    <row r="7" spans="1:12" x14ac:dyDescent="0.25">
      <c r="B7" s="1" t="s">
        <v>8</v>
      </c>
      <c r="C7" s="1" t="s">
        <v>9</v>
      </c>
      <c r="D7" s="1" t="s">
        <v>3</v>
      </c>
      <c r="E7" s="1" t="s">
        <v>4</v>
      </c>
      <c r="F7" s="1" t="s">
        <v>5</v>
      </c>
      <c r="G7" s="1" t="s">
        <v>2</v>
      </c>
    </row>
    <row r="8" spans="1:12" x14ac:dyDescent="0.25">
      <c r="B8" s="1"/>
      <c r="C8" s="1"/>
      <c r="D8" s="1"/>
      <c r="E8" s="1"/>
      <c r="F8" s="1"/>
      <c r="G8" s="1"/>
    </row>
    <row r="9" spans="1:12" x14ac:dyDescent="0.25">
      <c r="D9" s="7"/>
      <c r="E9" s="7"/>
      <c r="F9" s="7"/>
    </row>
    <row r="10" spans="1:12" x14ac:dyDescent="0.25">
      <c r="F10" s="3"/>
    </row>
    <row r="11" spans="1:12" x14ac:dyDescent="0.25">
      <c r="B11" s="1"/>
      <c r="C11" s="1"/>
      <c r="D11" s="16"/>
      <c r="E11" s="16"/>
    </row>
    <row r="12" spans="1:12" x14ac:dyDescent="0.25">
      <c r="B12" s="9"/>
      <c r="C12" s="7"/>
      <c r="F12" s="16"/>
    </row>
    <row r="13" spans="1:12" x14ac:dyDescent="0.25">
      <c r="B13" s="7"/>
      <c r="C13" s="7"/>
    </row>
    <row r="14" spans="1:12" x14ac:dyDescent="0.25">
      <c r="B14" s="7"/>
      <c r="C14" s="7"/>
      <c r="D14" s="6"/>
      <c r="F14" s="7"/>
      <c r="L14" s="5"/>
    </row>
    <row r="15" spans="1:12" x14ac:dyDescent="0.25">
      <c r="B15" s="7"/>
      <c r="C15" s="7"/>
      <c r="E15" s="6"/>
      <c r="F15" s="7"/>
    </row>
    <row r="16" spans="1:12" x14ac:dyDescent="0.25">
      <c r="B16" s="7"/>
      <c r="C16" s="7"/>
      <c r="F16" s="7"/>
    </row>
    <row r="17" spans="2:6" x14ac:dyDescent="0.25">
      <c r="D17" s="6"/>
    </row>
    <row r="18" spans="2:6" x14ac:dyDescent="0.25">
      <c r="E18" s="6"/>
    </row>
    <row r="20" spans="2:6" x14ac:dyDescent="0.25">
      <c r="B20" s="7"/>
      <c r="C20" s="7"/>
      <c r="F20" s="13"/>
    </row>
    <row r="21" spans="2:6" x14ac:dyDescent="0.25">
      <c r="B21" s="7"/>
      <c r="C21" s="7"/>
    </row>
    <row r="22" spans="2:6" x14ac:dyDescent="0.25">
      <c r="B22" s="7"/>
      <c r="C22" s="7"/>
      <c r="D22" s="7"/>
      <c r="E22" s="7"/>
      <c r="F22" s="7"/>
    </row>
    <row r="23" spans="2:6" x14ac:dyDescent="0.25">
      <c r="B23" s="7"/>
      <c r="C23" s="7"/>
    </row>
    <row r="24" spans="2:6" x14ac:dyDescent="0.25">
      <c r="B24" s="7"/>
      <c r="C24" s="7"/>
    </row>
    <row r="25" spans="2:6" x14ac:dyDescent="0.25">
      <c r="D25" s="6"/>
      <c r="E25" s="6"/>
    </row>
    <row r="26" spans="2:6" x14ac:dyDescent="0.25">
      <c r="F26" s="3"/>
    </row>
    <row r="27" spans="2:6" x14ac:dyDescent="0.25">
      <c r="B27" s="4"/>
      <c r="C27" s="3"/>
      <c r="D27" s="6"/>
      <c r="E27" s="6"/>
    </row>
    <row r="28" spans="2:6" x14ac:dyDescent="0.25">
      <c r="B28" s="7"/>
      <c r="C28" s="7"/>
      <c r="D28" s="13"/>
      <c r="E28" s="7"/>
      <c r="F28" s="7"/>
    </row>
    <row r="29" spans="2:6" x14ac:dyDescent="0.25">
      <c r="B29" s="7"/>
      <c r="C29" s="7"/>
    </row>
    <row r="30" spans="2:6" x14ac:dyDescent="0.25">
      <c r="B30" s="7"/>
      <c r="C30" s="7"/>
    </row>
    <row r="31" spans="2:6" x14ac:dyDescent="0.25">
      <c r="B31" s="7"/>
      <c r="C31" s="7"/>
    </row>
    <row r="32" spans="2:6" x14ac:dyDescent="0.25">
      <c r="B32" s="7"/>
      <c r="C32" s="7"/>
    </row>
    <row r="33" spans="2:6" x14ac:dyDescent="0.25">
      <c r="B33" s="10"/>
      <c r="C33" s="7"/>
    </row>
    <row r="37" spans="2:6" x14ac:dyDescent="0.25">
      <c r="B37" s="7"/>
      <c r="C37" s="7"/>
      <c r="F37" s="7"/>
    </row>
    <row r="38" spans="2:6" x14ac:dyDescent="0.25">
      <c r="B38" s="4"/>
      <c r="C38" s="3"/>
    </row>
  </sheetData>
  <phoneticPr fontId="0" type="noConversion"/>
  <pageMargins left="0.75" right="0.75" top="1" bottom="1" header="0.5" footer="0.5"/>
  <pageSetup paperSize="9" orientation="portrait" horizontalDpi="1200" verticalDpi="300" r:id="rId1"/>
  <headerFooter alignWithMargins="0"/>
  <drawing r:id="rId2"/>
  <legacyDrawing r:id="rId3"/>
  <controls>
    <mc:AlternateContent xmlns:mc="http://schemas.openxmlformats.org/markup-compatibility/2006">
      <mc:Choice Requires="x14">
        <control shapeId="56321" r:id="rId4" name="cmdTechnologySets">
          <controlPr defaultSize="0" autoLine="0" r:id="rId5">
            <anchor moveWithCells="1">
              <from>
                <xdr:col>5</xdr:col>
                <xdr:colOff>22860</xdr:colOff>
                <xdr:row>4</xdr:row>
                <xdr:rowOff>22860</xdr:rowOff>
              </from>
              <to>
                <xdr:col>5</xdr:col>
                <xdr:colOff>1821180</xdr:colOff>
                <xdr:row>5</xdr:row>
                <xdr:rowOff>91440</xdr:rowOff>
              </to>
            </anchor>
          </controlPr>
        </control>
      </mc:Choice>
      <mc:Fallback>
        <control shapeId="56321" r:id="rId4" name="cmdTechnologySets"/>
      </mc:Fallback>
    </mc:AlternateContent>
    <mc:AlternateContent xmlns:mc="http://schemas.openxmlformats.org/markup-compatibility/2006">
      <mc:Choice Requires="x14">
        <control shapeId="56322" r:id="rId6" name="cmdCheckTechnologiesSheet">
          <controlPr defaultSize="0" autoLine="0" autoPict="0" r:id="rId7">
            <anchor moveWithCells="1">
              <from>
                <xdr:col>0</xdr:col>
                <xdr:colOff>7620</xdr:colOff>
                <xdr:row>2</xdr:row>
                <xdr:rowOff>152400</xdr:rowOff>
              </from>
              <to>
                <xdr:col>1</xdr:col>
                <xdr:colOff>0</xdr:colOff>
                <xdr:row>4</xdr:row>
                <xdr:rowOff>0</xdr:rowOff>
              </to>
            </anchor>
          </controlPr>
        </control>
      </mc:Choice>
      <mc:Fallback>
        <control shapeId="56322" r:id="rId6" name="cmdCheckTechnologiesSheet"/>
      </mc:Fallback>
    </mc:AlternateContent>
    <mc:AlternateContent xmlns:mc="http://schemas.openxmlformats.org/markup-compatibility/2006">
      <mc:Choice Requires="x14">
        <control shapeId="56323" r:id="rId8" name="cmdTACTUnit">
          <controlPr defaultSize="0" autoLine="0" r:id="rId9">
            <anchor moveWithCells="1">
              <from>
                <xdr:col>3</xdr:col>
                <xdr:colOff>7620</xdr:colOff>
                <xdr:row>4</xdr:row>
                <xdr:rowOff>22860</xdr:rowOff>
              </from>
              <to>
                <xdr:col>3</xdr:col>
                <xdr:colOff>647700</xdr:colOff>
                <xdr:row>5</xdr:row>
                <xdr:rowOff>91440</xdr:rowOff>
              </to>
            </anchor>
          </controlPr>
        </control>
      </mc:Choice>
      <mc:Fallback>
        <control shapeId="56323" r:id="rId8" name="cmdTACTUnit"/>
      </mc:Fallback>
    </mc:AlternateContent>
    <mc:AlternateContent xmlns:mc="http://schemas.openxmlformats.org/markup-compatibility/2006">
      <mc:Choice Requires="x14">
        <control shapeId="56324" r:id="rId10" name="cmdTCAPUnit">
          <controlPr defaultSize="0" autoLine="0" r:id="rId11">
            <anchor moveWithCells="1">
              <from>
                <xdr:col>4</xdr:col>
                <xdr:colOff>7620</xdr:colOff>
                <xdr:row>4</xdr:row>
                <xdr:rowOff>22860</xdr:rowOff>
              </from>
              <to>
                <xdr:col>4</xdr:col>
                <xdr:colOff>647700</xdr:colOff>
                <xdr:row>5</xdr:row>
                <xdr:rowOff>91440</xdr:rowOff>
              </to>
            </anchor>
          </controlPr>
        </control>
      </mc:Choice>
      <mc:Fallback>
        <control shapeId="56324" r:id="rId10" name="cmdTCAPUnit"/>
      </mc:Fallback>
    </mc:AlternateContent>
    <mc:AlternateContent xmlns:mc="http://schemas.openxmlformats.org/markup-compatibility/2006">
      <mc:Choice Requires="x14">
        <control shapeId="56325" r:id="rId12" name="cmdRefreshUnits">
          <controlPr defaultSize="0" autoLine="0" r:id="rId13">
            <anchor moveWithCells="1">
              <from>
                <xdr:col>3</xdr:col>
                <xdr:colOff>381000</xdr:colOff>
                <xdr:row>1</xdr:row>
                <xdr:rowOff>152400</xdr:rowOff>
              </from>
              <to>
                <xdr:col>4</xdr:col>
                <xdr:colOff>274320</xdr:colOff>
                <xdr:row>3</xdr:row>
                <xdr:rowOff>190500</xdr:rowOff>
              </to>
            </anchor>
          </controlPr>
        </control>
      </mc:Choice>
      <mc:Fallback>
        <control shapeId="56325" r:id="rId12" name="cmdRefreshUnits"/>
      </mc:Fallback>
    </mc:AlternateContent>
  </control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7"/>
  <dimension ref="A1:F32"/>
  <sheetViews>
    <sheetView workbookViewId="0">
      <pane xSplit="3" ySplit="7" topLeftCell="D8" activePane="bottomRight" state="frozen"/>
      <selection pane="topRight" activeCell="D1" sqref="D1"/>
      <selection pane="bottomLeft" activeCell="A8" sqref="A8"/>
      <selection pane="bottomRight" sqref="A1:A65536"/>
    </sheetView>
  </sheetViews>
  <sheetFormatPr defaultRowHeight="13.2" x14ac:dyDescent="0.25"/>
  <cols>
    <col min="1" max="1" width="12.5546875" customWidth="1"/>
    <col min="2" max="2" width="12.33203125" customWidth="1"/>
    <col min="3" max="3" width="29.6640625" customWidth="1"/>
    <col min="4" max="4" width="10.33203125" customWidth="1"/>
    <col min="5" max="5" width="29.6640625" customWidth="1"/>
    <col min="6" max="6" width="10.33203125" customWidth="1"/>
  </cols>
  <sheetData>
    <row r="1" spans="1:6" x14ac:dyDescent="0.25">
      <c r="A1" s="1" t="s">
        <v>15</v>
      </c>
      <c r="B1" s="2"/>
    </row>
    <row r="4" spans="1:6" ht="17.25" customHeight="1" x14ac:dyDescent="0.25"/>
    <row r="5" spans="1:6" ht="17.25" customHeight="1" x14ac:dyDescent="0.25">
      <c r="C5" s="3"/>
    </row>
    <row r="6" spans="1:6" ht="15.75" customHeight="1" x14ac:dyDescent="0.25"/>
    <row r="7" spans="1:6" x14ac:dyDescent="0.25">
      <c r="B7" s="4" t="s">
        <v>6</v>
      </c>
      <c r="C7" s="1" t="s">
        <v>7</v>
      </c>
      <c r="D7" s="1" t="s">
        <v>1</v>
      </c>
      <c r="E7" s="1" t="s">
        <v>5</v>
      </c>
      <c r="F7" s="1" t="s">
        <v>2</v>
      </c>
    </row>
    <row r="8" spans="1:6" x14ac:dyDescent="0.25">
      <c r="B8" s="1"/>
      <c r="C8" s="1"/>
      <c r="D8" s="1"/>
      <c r="E8" s="7"/>
      <c r="F8" s="1"/>
    </row>
    <row r="9" spans="1:6" x14ac:dyDescent="0.25">
      <c r="D9" s="7"/>
      <c r="E9" s="7"/>
    </row>
    <row r="11" spans="1:6" x14ac:dyDescent="0.25">
      <c r="B11" s="7"/>
      <c r="C11" s="7"/>
      <c r="D11" s="16"/>
      <c r="E11" s="16"/>
    </row>
    <row r="12" spans="1:6" x14ac:dyDescent="0.25">
      <c r="B12" s="7"/>
      <c r="C12" s="7"/>
      <c r="E12" s="7"/>
    </row>
    <row r="13" spans="1:6" x14ac:dyDescent="0.25">
      <c r="B13" s="7"/>
      <c r="C13" s="7"/>
    </row>
    <row r="14" spans="1:6" x14ac:dyDescent="0.25">
      <c r="B14" s="7"/>
      <c r="C14" s="7"/>
      <c r="D14" s="6"/>
    </row>
    <row r="15" spans="1:6" x14ac:dyDescent="0.25">
      <c r="B15" s="7"/>
      <c r="C15" s="7"/>
      <c r="E15" s="7"/>
    </row>
    <row r="16" spans="1:6" x14ac:dyDescent="0.25">
      <c r="B16" s="7"/>
      <c r="C16" s="7"/>
      <c r="E16" s="7"/>
    </row>
    <row r="17" spans="2:5" x14ac:dyDescent="0.25">
      <c r="B17" s="7"/>
      <c r="C17" s="7"/>
      <c r="E17" s="7"/>
    </row>
    <row r="18" spans="2:5" x14ac:dyDescent="0.25">
      <c r="B18" s="7"/>
      <c r="C18" s="7"/>
      <c r="E18" s="7"/>
    </row>
    <row r="19" spans="2:5" x14ac:dyDescent="0.25">
      <c r="B19" s="7"/>
      <c r="C19" s="7"/>
      <c r="E19" s="7"/>
    </row>
    <row r="20" spans="2:5" x14ac:dyDescent="0.25">
      <c r="D20" s="6"/>
    </row>
    <row r="21" spans="2:5" x14ac:dyDescent="0.25">
      <c r="E21" s="3"/>
    </row>
    <row r="23" spans="2:5" x14ac:dyDescent="0.25">
      <c r="B23" s="7"/>
      <c r="C23" s="7"/>
      <c r="D23" s="7"/>
      <c r="E23" s="7"/>
    </row>
    <row r="24" spans="2:5" x14ac:dyDescent="0.25">
      <c r="B24" s="7"/>
      <c r="C24" s="7"/>
    </row>
    <row r="25" spans="2:5" x14ac:dyDescent="0.25">
      <c r="B25" s="7"/>
      <c r="C25" s="7"/>
      <c r="D25" s="6"/>
      <c r="E25" s="7"/>
    </row>
    <row r="26" spans="2:5" x14ac:dyDescent="0.25">
      <c r="B26" s="4"/>
      <c r="C26" s="3"/>
      <c r="E26" s="3"/>
    </row>
    <row r="27" spans="2:5" x14ac:dyDescent="0.25">
      <c r="E27" s="3"/>
    </row>
    <row r="29" spans="2:5" x14ac:dyDescent="0.25">
      <c r="B29" s="7"/>
      <c r="C29" s="7"/>
      <c r="D29" s="7"/>
      <c r="E29" s="7"/>
    </row>
    <row r="30" spans="2:5" x14ac:dyDescent="0.25">
      <c r="B30" s="7"/>
      <c r="C30" s="7"/>
    </row>
    <row r="31" spans="2:5" x14ac:dyDescent="0.25">
      <c r="B31" s="7"/>
      <c r="C31" s="7"/>
      <c r="E31" s="7"/>
    </row>
    <row r="32" spans="2:5" x14ac:dyDescent="0.25">
      <c r="B32" s="7"/>
      <c r="C32" s="7"/>
      <c r="E32" s="7"/>
    </row>
  </sheetData>
  <phoneticPr fontId="0" type="noConversion"/>
  <pageMargins left="0.75" right="0.75" top="1" bottom="1" header="0.5" footer="0.5"/>
  <pageSetup paperSize="9" orientation="portrait" horizontalDpi="1200" verticalDpi="300" r:id="rId1"/>
  <headerFooter alignWithMargins="0"/>
  <drawing r:id="rId2"/>
  <legacyDrawing r:id="rId3"/>
  <controls>
    <mc:AlternateContent xmlns:mc="http://schemas.openxmlformats.org/markup-compatibility/2006">
      <mc:Choice Requires="x14">
        <control shapeId="55297" r:id="rId4" name="cmdEnergySets">
          <controlPr defaultSize="0" autoLine="0" r:id="rId5">
            <anchor moveWithCells="1">
              <from>
                <xdr:col>4</xdr:col>
                <xdr:colOff>7620</xdr:colOff>
                <xdr:row>3</xdr:row>
                <xdr:rowOff>99060</xdr:rowOff>
              </from>
              <to>
                <xdr:col>4</xdr:col>
                <xdr:colOff>982980</xdr:colOff>
                <xdr:row>4</xdr:row>
                <xdr:rowOff>121920</xdr:rowOff>
              </to>
            </anchor>
          </controlPr>
        </control>
      </mc:Choice>
      <mc:Fallback>
        <control shapeId="55297" r:id="rId4" name="cmdEnergySets"/>
      </mc:Fallback>
    </mc:AlternateContent>
    <mc:AlternateContent xmlns:mc="http://schemas.openxmlformats.org/markup-compatibility/2006">
      <mc:Choice Requires="x14">
        <control shapeId="55298" r:id="rId6" name="cmdDemandSets">
          <controlPr defaultSize="0" autoLine="0" r:id="rId7">
            <anchor moveWithCells="1">
              <from>
                <xdr:col>4</xdr:col>
                <xdr:colOff>7620</xdr:colOff>
                <xdr:row>4</xdr:row>
                <xdr:rowOff>175260</xdr:rowOff>
              </from>
              <to>
                <xdr:col>4</xdr:col>
                <xdr:colOff>982980</xdr:colOff>
                <xdr:row>6</xdr:row>
                <xdr:rowOff>0</xdr:rowOff>
              </to>
            </anchor>
          </controlPr>
        </control>
      </mc:Choice>
      <mc:Fallback>
        <control shapeId="55298" r:id="rId6" name="cmdDemandSets"/>
      </mc:Fallback>
    </mc:AlternateContent>
    <mc:AlternateContent xmlns:mc="http://schemas.openxmlformats.org/markup-compatibility/2006">
      <mc:Choice Requires="x14">
        <control shapeId="55299" r:id="rId8" name="cmdEmissionSets">
          <controlPr defaultSize="0" autoLine="0" r:id="rId9">
            <anchor moveWithCells="1">
              <from>
                <xdr:col>4</xdr:col>
                <xdr:colOff>998220</xdr:colOff>
                <xdr:row>4</xdr:row>
                <xdr:rowOff>175260</xdr:rowOff>
              </from>
              <to>
                <xdr:col>4</xdr:col>
                <xdr:colOff>1973580</xdr:colOff>
                <xdr:row>6</xdr:row>
                <xdr:rowOff>0</xdr:rowOff>
              </to>
            </anchor>
          </controlPr>
        </control>
      </mc:Choice>
      <mc:Fallback>
        <control shapeId="55299" r:id="rId8" name="cmdEmissionSets"/>
      </mc:Fallback>
    </mc:AlternateContent>
    <mc:AlternateContent xmlns:mc="http://schemas.openxmlformats.org/markup-compatibility/2006">
      <mc:Choice Requires="x14">
        <control shapeId="55300" r:id="rId10" name="cmdMaterialSets">
          <controlPr defaultSize="0" autoLine="0" r:id="rId11">
            <anchor moveWithCells="1">
              <from>
                <xdr:col>4</xdr:col>
                <xdr:colOff>998220</xdr:colOff>
                <xdr:row>3</xdr:row>
                <xdr:rowOff>99060</xdr:rowOff>
              </from>
              <to>
                <xdr:col>4</xdr:col>
                <xdr:colOff>1973580</xdr:colOff>
                <xdr:row>4</xdr:row>
                <xdr:rowOff>121920</xdr:rowOff>
              </to>
            </anchor>
          </controlPr>
        </control>
      </mc:Choice>
      <mc:Fallback>
        <control shapeId="55300" r:id="rId10" name="cmdMaterialSets"/>
      </mc:Fallback>
    </mc:AlternateContent>
    <mc:AlternateContent xmlns:mc="http://schemas.openxmlformats.org/markup-compatibility/2006">
      <mc:Choice Requires="x14">
        <control shapeId="55301" r:id="rId12" name="cmdCheckCommoditiesSheet">
          <controlPr defaultSize="0" autoLine="0" autoPict="0" r:id="rId13">
            <anchor moveWithCells="1">
              <from>
                <xdr:col>0</xdr:col>
                <xdr:colOff>7620</xdr:colOff>
                <xdr:row>2</xdr:row>
                <xdr:rowOff>144780</xdr:rowOff>
              </from>
              <to>
                <xdr:col>0</xdr:col>
                <xdr:colOff>830580</xdr:colOff>
                <xdr:row>4</xdr:row>
                <xdr:rowOff>0</xdr:rowOff>
              </to>
            </anchor>
          </controlPr>
        </control>
      </mc:Choice>
      <mc:Fallback>
        <control shapeId="55301" r:id="rId12" name="cmdCheckCommoditiesSheet"/>
      </mc:Fallback>
    </mc:AlternateContent>
    <mc:AlternateContent xmlns:mc="http://schemas.openxmlformats.org/markup-compatibility/2006">
      <mc:Choice Requires="x14">
        <control shapeId="55302" r:id="rId14" name="cmdCommUnit">
          <controlPr defaultSize="0" autoLine="0" r:id="rId15">
            <anchor moveWithCells="1">
              <from>
                <xdr:col>3</xdr:col>
                <xdr:colOff>7620</xdr:colOff>
                <xdr:row>4</xdr:row>
                <xdr:rowOff>175260</xdr:rowOff>
              </from>
              <to>
                <xdr:col>3</xdr:col>
                <xdr:colOff>670560</xdr:colOff>
                <xdr:row>6</xdr:row>
                <xdr:rowOff>0</xdr:rowOff>
              </to>
            </anchor>
          </controlPr>
        </control>
      </mc:Choice>
      <mc:Fallback>
        <control shapeId="55302" r:id="rId14" name="cmdCommUnit"/>
      </mc:Fallback>
    </mc:AlternateContent>
    <mc:AlternateContent xmlns:mc="http://schemas.openxmlformats.org/markup-compatibility/2006">
      <mc:Choice Requires="x14">
        <control shapeId="55303" r:id="rId16" name="cmdRefreshUnits">
          <controlPr defaultSize="0" autoLine="0" r:id="rId17">
            <anchor moveWithCells="1">
              <from>
                <xdr:col>3</xdr:col>
                <xdr:colOff>68580</xdr:colOff>
                <xdr:row>2</xdr:row>
                <xdr:rowOff>114300</xdr:rowOff>
              </from>
              <to>
                <xdr:col>3</xdr:col>
                <xdr:colOff>624840</xdr:colOff>
                <xdr:row>4</xdr:row>
                <xdr:rowOff>106680</xdr:rowOff>
              </to>
            </anchor>
          </controlPr>
        </control>
      </mc:Choice>
      <mc:Fallback>
        <control shapeId="55303" r:id="rId16" name="cmdRefreshUnits"/>
      </mc:Fallback>
    </mc:AlternateContent>
  </control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F32"/>
  <sheetViews>
    <sheetView workbookViewId="0">
      <pane xSplit="3" ySplit="7" topLeftCell="D8" activePane="bottomRight" state="frozen"/>
      <selection pane="topRight" activeCell="D1" sqref="D1"/>
      <selection pane="bottomLeft" activeCell="A8" sqref="A8"/>
      <selection pane="bottomRight" activeCell="A2" sqref="A2"/>
    </sheetView>
  </sheetViews>
  <sheetFormatPr defaultRowHeight="13.2" x14ac:dyDescent="0.25"/>
  <cols>
    <col min="1" max="1" width="12.5546875" customWidth="1"/>
    <col min="2" max="2" width="12.33203125" customWidth="1"/>
    <col min="3" max="3" width="29.6640625" customWidth="1"/>
    <col min="4" max="4" width="10.33203125" customWidth="1"/>
    <col min="5" max="5" width="29.6640625" customWidth="1"/>
    <col min="6" max="6" width="10.33203125" customWidth="1"/>
  </cols>
  <sheetData>
    <row r="1" spans="1:6" x14ac:dyDescent="0.25">
      <c r="A1" s="1" t="s">
        <v>15</v>
      </c>
      <c r="B1" s="2"/>
    </row>
    <row r="4" spans="1:6" ht="17.25" customHeight="1" x14ac:dyDescent="0.25"/>
    <row r="5" spans="1:6" ht="17.25" customHeight="1" x14ac:dyDescent="0.25">
      <c r="C5" s="3"/>
    </row>
    <row r="6" spans="1:6" ht="15.75" customHeight="1" x14ac:dyDescent="0.25"/>
    <row r="7" spans="1:6" x14ac:dyDescent="0.25">
      <c r="B7" s="4" t="s">
        <v>6</v>
      </c>
      <c r="C7" s="1" t="s">
        <v>7</v>
      </c>
      <c r="D7" s="1" t="s">
        <v>1</v>
      </c>
      <c r="E7" s="1" t="s">
        <v>5</v>
      </c>
      <c r="F7" s="1" t="s">
        <v>2</v>
      </c>
    </row>
    <row r="8" spans="1:6" x14ac:dyDescent="0.25">
      <c r="B8" s="1"/>
      <c r="C8" s="1"/>
      <c r="D8" s="1"/>
      <c r="E8" s="7"/>
      <c r="F8" s="1"/>
    </row>
    <row r="9" spans="1:6" x14ac:dyDescent="0.25">
      <c r="D9" s="7"/>
      <c r="E9" s="7"/>
    </row>
    <row r="11" spans="1:6" x14ac:dyDescent="0.25">
      <c r="B11" s="7"/>
      <c r="C11" s="7"/>
      <c r="D11" s="16"/>
      <c r="E11" s="16"/>
    </row>
    <row r="12" spans="1:6" x14ac:dyDescent="0.25">
      <c r="B12" s="7"/>
      <c r="C12" s="7"/>
      <c r="E12" s="7"/>
    </row>
    <row r="13" spans="1:6" x14ac:dyDescent="0.25">
      <c r="B13" s="7"/>
      <c r="C13" s="7"/>
    </row>
    <row r="14" spans="1:6" x14ac:dyDescent="0.25">
      <c r="B14" s="7"/>
      <c r="C14" s="7"/>
      <c r="D14" s="6"/>
    </row>
    <row r="15" spans="1:6" x14ac:dyDescent="0.25">
      <c r="B15" s="7"/>
      <c r="C15" s="7"/>
      <c r="E15" s="7"/>
    </row>
    <row r="16" spans="1:6" x14ac:dyDescent="0.25">
      <c r="B16" s="7"/>
      <c r="C16" s="7"/>
      <c r="E16" s="7"/>
    </row>
    <row r="17" spans="2:5" x14ac:dyDescent="0.25">
      <c r="B17" s="7"/>
      <c r="C17" s="7"/>
      <c r="E17" s="7"/>
    </row>
    <row r="18" spans="2:5" x14ac:dyDescent="0.25">
      <c r="B18" s="7"/>
      <c r="C18" s="7"/>
      <c r="E18" s="7"/>
    </row>
    <row r="19" spans="2:5" x14ac:dyDescent="0.25">
      <c r="B19" s="7"/>
      <c r="C19" s="7"/>
      <c r="E19" s="7"/>
    </row>
    <row r="20" spans="2:5" x14ac:dyDescent="0.25">
      <c r="D20" s="6"/>
    </row>
    <row r="21" spans="2:5" x14ac:dyDescent="0.25">
      <c r="E21" s="3"/>
    </row>
    <row r="23" spans="2:5" x14ac:dyDescent="0.25">
      <c r="B23" s="7"/>
      <c r="C23" s="7"/>
      <c r="D23" s="7"/>
      <c r="E23" s="7"/>
    </row>
    <row r="24" spans="2:5" x14ac:dyDescent="0.25">
      <c r="B24" s="7"/>
      <c r="C24" s="7"/>
    </row>
    <row r="25" spans="2:5" x14ac:dyDescent="0.25">
      <c r="B25" s="7"/>
      <c r="C25" s="7"/>
      <c r="D25" s="6"/>
      <c r="E25" s="7"/>
    </row>
    <row r="26" spans="2:5" x14ac:dyDescent="0.25">
      <c r="B26" s="4"/>
      <c r="C26" s="3"/>
      <c r="E26" s="3"/>
    </row>
    <row r="27" spans="2:5" x14ac:dyDescent="0.25">
      <c r="E27" s="3"/>
    </row>
    <row r="29" spans="2:5" x14ac:dyDescent="0.25">
      <c r="B29" s="7"/>
      <c r="C29" s="7"/>
      <c r="D29" s="7"/>
      <c r="E29" s="7"/>
    </row>
    <row r="30" spans="2:5" x14ac:dyDescent="0.25">
      <c r="B30" s="7"/>
      <c r="C30" s="7"/>
    </row>
    <row r="31" spans="2:5" x14ac:dyDescent="0.25">
      <c r="B31" s="7"/>
      <c r="C31" s="7"/>
      <c r="E31" s="7"/>
    </row>
    <row r="32" spans="2:5" x14ac:dyDescent="0.25">
      <c r="B32" s="7"/>
      <c r="C32" s="7"/>
      <c r="E32" s="7"/>
    </row>
  </sheetData>
  <phoneticPr fontId="0" type="noConversion"/>
  <pageMargins left="0.75" right="0.75" top="1" bottom="1" header="0.5" footer="0.5"/>
  <pageSetup paperSize="9" orientation="portrait" horizontalDpi="1200" r:id="rId1"/>
  <headerFooter alignWithMargins="0"/>
  <drawing r:id="rId2"/>
  <legacyDrawing r:id="rId3"/>
  <controls>
    <mc:AlternateContent xmlns:mc="http://schemas.openxmlformats.org/markup-compatibility/2006">
      <mc:Choice Requires="x14">
        <control shapeId="2049" r:id="rId4" name="cmdEnergySets">
          <controlPr defaultSize="0" autoLine="0" r:id="rId5">
            <anchor moveWithCells="1">
              <from>
                <xdr:col>4</xdr:col>
                <xdr:colOff>7620</xdr:colOff>
                <xdr:row>3</xdr:row>
                <xdr:rowOff>99060</xdr:rowOff>
              </from>
              <to>
                <xdr:col>4</xdr:col>
                <xdr:colOff>982980</xdr:colOff>
                <xdr:row>4</xdr:row>
                <xdr:rowOff>121920</xdr:rowOff>
              </to>
            </anchor>
          </controlPr>
        </control>
      </mc:Choice>
      <mc:Fallback>
        <control shapeId="2049" r:id="rId4" name="cmdEnergySets"/>
      </mc:Fallback>
    </mc:AlternateContent>
    <mc:AlternateContent xmlns:mc="http://schemas.openxmlformats.org/markup-compatibility/2006">
      <mc:Choice Requires="x14">
        <control shapeId="2051" r:id="rId6" name="cmdDemandSets">
          <controlPr defaultSize="0" autoLine="0" r:id="rId7">
            <anchor moveWithCells="1">
              <from>
                <xdr:col>4</xdr:col>
                <xdr:colOff>7620</xdr:colOff>
                <xdr:row>4</xdr:row>
                <xdr:rowOff>175260</xdr:rowOff>
              </from>
              <to>
                <xdr:col>4</xdr:col>
                <xdr:colOff>982980</xdr:colOff>
                <xdr:row>6</xdr:row>
                <xdr:rowOff>0</xdr:rowOff>
              </to>
            </anchor>
          </controlPr>
        </control>
      </mc:Choice>
      <mc:Fallback>
        <control shapeId="2051" r:id="rId6" name="cmdDemandSets"/>
      </mc:Fallback>
    </mc:AlternateContent>
    <mc:AlternateContent xmlns:mc="http://schemas.openxmlformats.org/markup-compatibility/2006">
      <mc:Choice Requires="x14">
        <control shapeId="2052" r:id="rId8" name="cmdEmissionSets">
          <controlPr defaultSize="0" autoLine="0" r:id="rId9">
            <anchor moveWithCells="1">
              <from>
                <xdr:col>4</xdr:col>
                <xdr:colOff>998220</xdr:colOff>
                <xdr:row>4</xdr:row>
                <xdr:rowOff>175260</xdr:rowOff>
              </from>
              <to>
                <xdr:col>4</xdr:col>
                <xdr:colOff>1973580</xdr:colOff>
                <xdr:row>6</xdr:row>
                <xdr:rowOff>0</xdr:rowOff>
              </to>
            </anchor>
          </controlPr>
        </control>
      </mc:Choice>
      <mc:Fallback>
        <control shapeId="2052" r:id="rId8" name="cmdEmissionSets"/>
      </mc:Fallback>
    </mc:AlternateContent>
    <mc:AlternateContent xmlns:mc="http://schemas.openxmlformats.org/markup-compatibility/2006">
      <mc:Choice Requires="x14">
        <control shapeId="2053" r:id="rId10" name="cmdMaterialSets">
          <controlPr defaultSize="0" autoLine="0" r:id="rId11">
            <anchor moveWithCells="1">
              <from>
                <xdr:col>4</xdr:col>
                <xdr:colOff>998220</xdr:colOff>
                <xdr:row>3</xdr:row>
                <xdr:rowOff>99060</xdr:rowOff>
              </from>
              <to>
                <xdr:col>4</xdr:col>
                <xdr:colOff>1973580</xdr:colOff>
                <xdr:row>4</xdr:row>
                <xdr:rowOff>121920</xdr:rowOff>
              </to>
            </anchor>
          </controlPr>
        </control>
      </mc:Choice>
      <mc:Fallback>
        <control shapeId="2053" r:id="rId10" name="cmdMaterialSets"/>
      </mc:Fallback>
    </mc:AlternateContent>
    <mc:AlternateContent xmlns:mc="http://schemas.openxmlformats.org/markup-compatibility/2006">
      <mc:Choice Requires="x14">
        <control shapeId="2061" r:id="rId12" name="cmdCheckCommoditiesSheet">
          <controlPr defaultSize="0" autoLine="0" autoPict="0" r:id="rId13">
            <anchor moveWithCells="1">
              <from>
                <xdr:col>0</xdr:col>
                <xdr:colOff>7620</xdr:colOff>
                <xdr:row>2</xdr:row>
                <xdr:rowOff>144780</xdr:rowOff>
              </from>
              <to>
                <xdr:col>0</xdr:col>
                <xdr:colOff>830580</xdr:colOff>
                <xdr:row>4</xdr:row>
                <xdr:rowOff>0</xdr:rowOff>
              </to>
            </anchor>
          </controlPr>
        </control>
      </mc:Choice>
      <mc:Fallback>
        <control shapeId="2061" r:id="rId12" name="cmdCheckCommoditiesSheet"/>
      </mc:Fallback>
    </mc:AlternateContent>
    <mc:AlternateContent xmlns:mc="http://schemas.openxmlformats.org/markup-compatibility/2006">
      <mc:Choice Requires="x14">
        <control shapeId="2063" r:id="rId14" name="cmdCommUnit">
          <controlPr defaultSize="0" autoLine="0" r:id="rId15">
            <anchor moveWithCells="1">
              <from>
                <xdr:col>3</xdr:col>
                <xdr:colOff>7620</xdr:colOff>
                <xdr:row>4</xdr:row>
                <xdr:rowOff>175260</xdr:rowOff>
              </from>
              <to>
                <xdr:col>3</xdr:col>
                <xdr:colOff>670560</xdr:colOff>
                <xdr:row>6</xdr:row>
                <xdr:rowOff>0</xdr:rowOff>
              </to>
            </anchor>
          </controlPr>
        </control>
      </mc:Choice>
      <mc:Fallback>
        <control shapeId="2063" r:id="rId14" name="cmdCommUnit"/>
      </mc:Fallback>
    </mc:AlternateContent>
    <mc:AlternateContent xmlns:mc="http://schemas.openxmlformats.org/markup-compatibility/2006">
      <mc:Choice Requires="x14">
        <control shapeId="2073" r:id="rId16" name="cmdRefreshUnits">
          <controlPr defaultSize="0" autoLine="0" r:id="rId17">
            <anchor moveWithCells="1">
              <from>
                <xdr:col>3</xdr:col>
                <xdr:colOff>68580</xdr:colOff>
                <xdr:row>2</xdr:row>
                <xdr:rowOff>114300</xdr:rowOff>
              </from>
              <to>
                <xdr:col>3</xdr:col>
                <xdr:colOff>624840</xdr:colOff>
                <xdr:row>4</xdr:row>
                <xdr:rowOff>106680</xdr:rowOff>
              </to>
            </anchor>
          </controlPr>
        </control>
      </mc:Choice>
      <mc:Fallback>
        <control shapeId="2073" r:id="rId16" name="cmdRefreshUnits"/>
      </mc:Fallback>
    </mc:AlternateContent>
    <mc:AlternateContent xmlns:mc="http://schemas.openxmlformats.org/markup-compatibility/2006">
      <mc:Choice Requires="x14">
        <control shapeId="2074" r:id="rId18" name="cmdTaxSubSets">
          <controlPr defaultSize="0" autoLine="0" r:id="rId19">
            <anchor moveWithCells="1">
              <from>
                <xdr:col>4</xdr:col>
                <xdr:colOff>541020</xdr:colOff>
                <xdr:row>2</xdr:row>
                <xdr:rowOff>0</xdr:rowOff>
              </from>
              <to>
                <xdr:col>4</xdr:col>
                <xdr:colOff>1516380</xdr:colOff>
                <xdr:row>3</xdr:row>
                <xdr:rowOff>68580</xdr:rowOff>
              </to>
            </anchor>
          </controlPr>
        </control>
      </mc:Choice>
      <mc:Fallback>
        <control shapeId="2074" r:id="rId18" name="cmdTaxSubSets"/>
      </mc:Fallback>
    </mc:AlternateContent>
  </control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
  <dimension ref="A1:L38"/>
  <sheetViews>
    <sheetView workbookViewId="0">
      <pane xSplit="3" ySplit="7" topLeftCell="D8" activePane="bottomRight" state="frozen"/>
      <selection pane="topRight" activeCell="D1" sqref="D1"/>
      <selection pane="bottomLeft" activeCell="A8" sqref="A8"/>
      <selection pane="bottomRight"/>
    </sheetView>
  </sheetViews>
  <sheetFormatPr defaultRowHeight="13.2" x14ac:dyDescent="0.25"/>
  <cols>
    <col min="1" max="1" width="12.44140625" customWidth="1"/>
    <col min="2" max="2" width="11.109375" customWidth="1"/>
    <col min="3" max="3" width="27.33203125" customWidth="1"/>
    <col min="4" max="4" width="9.6640625" customWidth="1"/>
    <col min="5" max="5" width="9.88671875" customWidth="1"/>
    <col min="6" max="6" width="30.44140625" customWidth="1"/>
    <col min="7" max="7" width="10.44140625" customWidth="1"/>
  </cols>
  <sheetData>
    <row r="1" spans="1:12" x14ac:dyDescent="0.25">
      <c r="A1" s="1" t="s">
        <v>16</v>
      </c>
      <c r="B1" s="2"/>
    </row>
    <row r="4" spans="1:12" ht="18" customHeight="1" x14ac:dyDescent="0.25"/>
    <row r="7" spans="1:12" x14ac:dyDescent="0.25">
      <c r="B7" s="1" t="s">
        <v>8</v>
      </c>
      <c r="C7" s="1" t="s">
        <v>9</v>
      </c>
      <c r="D7" s="1" t="s">
        <v>3</v>
      </c>
      <c r="E7" s="1" t="s">
        <v>4</v>
      </c>
      <c r="F7" s="1" t="s">
        <v>5</v>
      </c>
      <c r="G7" s="1" t="s">
        <v>2</v>
      </c>
    </row>
    <row r="8" spans="1:12" x14ac:dyDescent="0.25">
      <c r="B8" s="1"/>
      <c r="C8" s="1"/>
      <c r="D8" s="1"/>
      <c r="E8" s="1"/>
      <c r="F8" s="1"/>
      <c r="G8" s="1"/>
    </row>
    <row r="9" spans="1:12" x14ac:dyDescent="0.25">
      <c r="D9" s="7"/>
      <c r="E9" s="7"/>
      <c r="F9" s="7"/>
    </row>
    <row r="10" spans="1:12" x14ac:dyDescent="0.25">
      <c r="F10" s="3"/>
    </row>
    <row r="11" spans="1:12" x14ac:dyDescent="0.25">
      <c r="B11" s="1"/>
      <c r="C11" s="1"/>
      <c r="D11" s="16"/>
      <c r="E11" s="16"/>
    </row>
    <row r="12" spans="1:12" x14ac:dyDescent="0.25">
      <c r="B12" s="9"/>
      <c r="C12" s="7"/>
      <c r="F12" s="16"/>
    </row>
    <row r="13" spans="1:12" x14ac:dyDescent="0.25">
      <c r="B13" s="7"/>
      <c r="C13" s="7"/>
    </row>
    <row r="14" spans="1:12" x14ac:dyDescent="0.25">
      <c r="B14" s="7"/>
      <c r="C14" s="7"/>
      <c r="D14" s="6"/>
      <c r="F14" s="7"/>
      <c r="L14" s="5"/>
    </row>
    <row r="15" spans="1:12" x14ac:dyDescent="0.25">
      <c r="B15" s="7"/>
      <c r="C15" s="7"/>
      <c r="E15" s="6"/>
      <c r="F15" s="7"/>
    </row>
    <row r="16" spans="1:12" x14ac:dyDescent="0.25">
      <c r="B16" s="7"/>
      <c r="C16" s="7"/>
      <c r="F16" s="7"/>
    </row>
    <row r="17" spans="2:6" x14ac:dyDescent="0.25">
      <c r="D17" s="6"/>
    </row>
    <row r="18" spans="2:6" x14ac:dyDescent="0.25">
      <c r="E18" s="6"/>
    </row>
    <row r="20" spans="2:6" x14ac:dyDescent="0.25">
      <c r="B20" s="7"/>
      <c r="C20" s="7"/>
      <c r="F20" s="13"/>
    </row>
    <row r="21" spans="2:6" x14ac:dyDescent="0.25">
      <c r="B21" s="7"/>
      <c r="C21" s="7"/>
    </row>
    <row r="22" spans="2:6" x14ac:dyDescent="0.25">
      <c r="B22" s="7"/>
      <c r="C22" s="7"/>
      <c r="D22" s="7"/>
      <c r="E22" s="7"/>
      <c r="F22" s="7"/>
    </row>
    <row r="23" spans="2:6" x14ac:dyDescent="0.25">
      <c r="B23" s="7"/>
      <c r="C23" s="7"/>
    </row>
    <row r="24" spans="2:6" x14ac:dyDescent="0.25">
      <c r="B24" s="7"/>
      <c r="C24" s="7"/>
    </row>
    <row r="25" spans="2:6" x14ac:dyDescent="0.25">
      <c r="D25" s="6"/>
      <c r="E25" s="6"/>
    </row>
    <row r="26" spans="2:6" x14ac:dyDescent="0.25">
      <c r="F26" s="3"/>
    </row>
    <row r="27" spans="2:6" x14ac:dyDescent="0.25">
      <c r="B27" s="4"/>
      <c r="C27" s="3"/>
      <c r="D27" s="6"/>
      <c r="E27" s="6"/>
    </row>
    <row r="28" spans="2:6" x14ac:dyDescent="0.25">
      <c r="B28" s="7"/>
      <c r="C28" s="7"/>
      <c r="D28" s="13"/>
      <c r="E28" s="7"/>
      <c r="F28" s="7"/>
    </row>
    <row r="29" spans="2:6" x14ac:dyDescent="0.25">
      <c r="B29" s="7"/>
      <c r="C29" s="7"/>
    </row>
    <row r="30" spans="2:6" x14ac:dyDescent="0.25">
      <c r="B30" s="7"/>
      <c r="C30" s="7"/>
    </row>
    <row r="31" spans="2:6" x14ac:dyDescent="0.25">
      <c r="B31" s="7"/>
      <c r="C31" s="7"/>
    </row>
    <row r="32" spans="2:6" x14ac:dyDescent="0.25">
      <c r="B32" s="7"/>
      <c r="C32" s="7"/>
    </row>
    <row r="33" spans="2:6" x14ac:dyDescent="0.25">
      <c r="B33" s="10"/>
      <c r="C33" s="7"/>
    </row>
    <row r="37" spans="2:6" x14ac:dyDescent="0.25">
      <c r="B37" s="7"/>
      <c r="C37" s="7"/>
      <c r="F37" s="7"/>
    </row>
    <row r="38" spans="2:6" x14ac:dyDescent="0.25">
      <c r="B38" s="4"/>
      <c r="C38" s="3"/>
    </row>
  </sheetData>
  <phoneticPr fontId="0" type="noConversion"/>
  <pageMargins left="0.75" right="0.75" top="1" bottom="1" header="0.5" footer="0.5"/>
  <pageSetup paperSize="9" orientation="portrait" horizontalDpi="1200" r:id="rId1"/>
  <headerFooter alignWithMargins="0"/>
  <drawing r:id="rId2"/>
  <legacyDrawing r:id="rId3"/>
  <controls>
    <mc:AlternateContent xmlns:mc="http://schemas.openxmlformats.org/markup-compatibility/2006">
      <mc:Choice Requires="x14">
        <control shapeId="1025" r:id="rId4" name="cmdTechnologySets">
          <controlPr defaultSize="0" autoLine="0" r:id="rId5">
            <anchor moveWithCells="1">
              <from>
                <xdr:col>5</xdr:col>
                <xdr:colOff>22860</xdr:colOff>
                <xdr:row>4</xdr:row>
                <xdr:rowOff>22860</xdr:rowOff>
              </from>
              <to>
                <xdr:col>5</xdr:col>
                <xdr:colOff>1821180</xdr:colOff>
                <xdr:row>5</xdr:row>
                <xdr:rowOff>91440</xdr:rowOff>
              </to>
            </anchor>
          </controlPr>
        </control>
      </mc:Choice>
      <mc:Fallback>
        <control shapeId="1025" r:id="rId4" name="cmdTechnologySets"/>
      </mc:Fallback>
    </mc:AlternateContent>
    <mc:AlternateContent xmlns:mc="http://schemas.openxmlformats.org/markup-compatibility/2006">
      <mc:Choice Requires="x14">
        <control shapeId="1034" r:id="rId6" name="cmdCheckTechnologiesSheet">
          <controlPr defaultSize="0" autoLine="0" autoPict="0" r:id="rId7">
            <anchor moveWithCells="1">
              <from>
                <xdr:col>0</xdr:col>
                <xdr:colOff>7620</xdr:colOff>
                <xdr:row>2</xdr:row>
                <xdr:rowOff>152400</xdr:rowOff>
              </from>
              <to>
                <xdr:col>1</xdr:col>
                <xdr:colOff>0</xdr:colOff>
                <xdr:row>4</xdr:row>
                <xdr:rowOff>0</xdr:rowOff>
              </to>
            </anchor>
          </controlPr>
        </control>
      </mc:Choice>
      <mc:Fallback>
        <control shapeId="1034" r:id="rId6" name="cmdCheckTechnologiesSheet"/>
      </mc:Fallback>
    </mc:AlternateContent>
    <mc:AlternateContent xmlns:mc="http://schemas.openxmlformats.org/markup-compatibility/2006">
      <mc:Choice Requires="x14">
        <control shapeId="1035" r:id="rId8" name="cmdTACTUnit">
          <controlPr defaultSize="0" autoLine="0" r:id="rId9">
            <anchor moveWithCells="1">
              <from>
                <xdr:col>3</xdr:col>
                <xdr:colOff>7620</xdr:colOff>
                <xdr:row>4</xdr:row>
                <xdr:rowOff>22860</xdr:rowOff>
              </from>
              <to>
                <xdr:col>3</xdr:col>
                <xdr:colOff>647700</xdr:colOff>
                <xdr:row>5</xdr:row>
                <xdr:rowOff>91440</xdr:rowOff>
              </to>
            </anchor>
          </controlPr>
        </control>
      </mc:Choice>
      <mc:Fallback>
        <control shapeId="1035" r:id="rId8" name="cmdTACTUnit"/>
      </mc:Fallback>
    </mc:AlternateContent>
    <mc:AlternateContent xmlns:mc="http://schemas.openxmlformats.org/markup-compatibility/2006">
      <mc:Choice Requires="x14">
        <control shapeId="1036" r:id="rId10" name="cmdTCAPUnit">
          <controlPr defaultSize="0" autoLine="0" r:id="rId11">
            <anchor moveWithCells="1">
              <from>
                <xdr:col>4</xdr:col>
                <xdr:colOff>7620</xdr:colOff>
                <xdr:row>4</xdr:row>
                <xdr:rowOff>22860</xdr:rowOff>
              </from>
              <to>
                <xdr:col>4</xdr:col>
                <xdr:colOff>647700</xdr:colOff>
                <xdr:row>5</xdr:row>
                <xdr:rowOff>91440</xdr:rowOff>
              </to>
            </anchor>
          </controlPr>
        </control>
      </mc:Choice>
      <mc:Fallback>
        <control shapeId="1036" r:id="rId10" name="cmdTCAPUnit"/>
      </mc:Fallback>
    </mc:AlternateContent>
    <mc:AlternateContent xmlns:mc="http://schemas.openxmlformats.org/markup-compatibility/2006">
      <mc:Choice Requires="x14">
        <control shapeId="1135" r:id="rId12" name="cmdRefreshUnits">
          <controlPr defaultSize="0" autoLine="0" r:id="rId13">
            <anchor moveWithCells="1">
              <from>
                <xdr:col>3</xdr:col>
                <xdr:colOff>381000</xdr:colOff>
                <xdr:row>1</xdr:row>
                <xdr:rowOff>152400</xdr:rowOff>
              </from>
              <to>
                <xdr:col>4</xdr:col>
                <xdr:colOff>274320</xdr:colOff>
                <xdr:row>3</xdr:row>
                <xdr:rowOff>190500</xdr:rowOff>
              </to>
            </anchor>
          </controlPr>
        </control>
      </mc:Choice>
      <mc:Fallback>
        <control shapeId="1135" r:id="rId12" name="cmdRefreshUnits"/>
      </mc:Fallback>
    </mc:AlternateContent>
  </control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F24"/>
  <sheetViews>
    <sheetView workbookViewId="0">
      <pane xSplit="3" ySplit="7" topLeftCell="D8" activePane="bottomRight" state="frozen"/>
      <selection pane="topRight" activeCell="D1" sqref="D1"/>
      <selection pane="bottomLeft" activeCell="A8" sqref="A8"/>
      <selection pane="bottomRight"/>
    </sheetView>
  </sheetViews>
  <sheetFormatPr defaultRowHeight="13.2" x14ac:dyDescent="0.25"/>
  <cols>
    <col min="1" max="1" width="12" customWidth="1"/>
    <col min="2" max="2" width="11.6640625" customWidth="1"/>
    <col min="3" max="3" width="21.44140625" customWidth="1"/>
    <col min="4" max="4" width="8.6640625" customWidth="1"/>
    <col min="5" max="5" width="18.109375" customWidth="1"/>
    <col min="6" max="6" width="10.33203125" customWidth="1"/>
  </cols>
  <sheetData>
    <row r="1" spans="1:6" x14ac:dyDescent="0.25">
      <c r="A1" s="1" t="s">
        <v>17</v>
      </c>
      <c r="B1" s="2"/>
    </row>
    <row r="4" spans="1:6" ht="18.75" customHeight="1" x14ac:dyDescent="0.25"/>
    <row r="5" spans="1:6" ht="17.25" customHeight="1" x14ac:dyDescent="0.25">
      <c r="C5" s="3"/>
    </row>
    <row r="6" spans="1:6" ht="15.75" customHeight="1" x14ac:dyDescent="0.25"/>
    <row r="7" spans="1:6" x14ac:dyDescent="0.25">
      <c r="B7" s="4" t="s">
        <v>13</v>
      </c>
      <c r="C7" s="1" t="s">
        <v>14</v>
      </c>
      <c r="D7" s="1" t="s">
        <v>10</v>
      </c>
      <c r="E7" s="1" t="s">
        <v>5</v>
      </c>
      <c r="F7" s="1" t="s">
        <v>2</v>
      </c>
    </row>
    <row r="8" spans="1:6" x14ac:dyDescent="0.25">
      <c r="B8" s="1"/>
      <c r="C8" s="1"/>
      <c r="D8" s="1"/>
      <c r="E8" s="7"/>
      <c r="F8" s="1"/>
    </row>
    <row r="10" spans="1:6" x14ac:dyDescent="0.25">
      <c r="B10" s="7"/>
      <c r="C10" s="7"/>
      <c r="D10" s="16"/>
      <c r="E10" s="16"/>
    </row>
    <row r="11" spans="1:6" x14ac:dyDescent="0.25">
      <c r="B11" s="7"/>
      <c r="C11" s="7"/>
      <c r="D11" s="11"/>
    </row>
    <row r="12" spans="1:6" x14ac:dyDescent="0.25">
      <c r="B12" s="7"/>
      <c r="C12" s="7"/>
      <c r="D12" s="7"/>
      <c r="E12" s="7"/>
    </row>
    <row r="13" spans="1:6" x14ac:dyDescent="0.25">
      <c r="B13" s="7"/>
      <c r="C13" s="7"/>
      <c r="D13" s="6"/>
      <c r="E13" s="7"/>
    </row>
    <row r="14" spans="1:6" x14ac:dyDescent="0.25">
      <c r="B14" s="7"/>
      <c r="C14" s="7"/>
      <c r="D14" s="7"/>
      <c r="E14" s="7"/>
    </row>
    <row r="15" spans="1:6" x14ac:dyDescent="0.25">
      <c r="B15" s="7"/>
      <c r="C15" s="7"/>
      <c r="E15" s="7"/>
    </row>
    <row r="16" spans="1:6" x14ac:dyDescent="0.25">
      <c r="B16" s="7"/>
      <c r="C16" s="7"/>
    </row>
    <row r="17" spans="2:5" x14ac:dyDescent="0.25">
      <c r="B17" s="7"/>
      <c r="C17" s="7"/>
      <c r="D17" s="6"/>
      <c r="E17" s="7"/>
    </row>
    <row r="18" spans="2:5" x14ac:dyDescent="0.25">
      <c r="B18" s="4"/>
      <c r="C18" s="3"/>
      <c r="E18" s="3"/>
    </row>
    <row r="19" spans="2:5" x14ac:dyDescent="0.25">
      <c r="E19" s="3"/>
    </row>
    <row r="21" spans="2:5" x14ac:dyDescent="0.25">
      <c r="B21" s="7"/>
      <c r="C21" s="7"/>
      <c r="D21" s="7"/>
      <c r="E21" s="7"/>
    </row>
    <row r="22" spans="2:5" x14ac:dyDescent="0.25">
      <c r="B22" s="7"/>
      <c r="C22" s="7"/>
    </row>
    <row r="23" spans="2:5" x14ac:dyDescent="0.25">
      <c r="B23" s="7"/>
      <c r="C23" s="7"/>
      <c r="E23" s="7"/>
    </row>
    <row r="24" spans="2:5" x14ac:dyDescent="0.25">
      <c r="D24" s="7"/>
      <c r="E24" s="7"/>
    </row>
  </sheetData>
  <phoneticPr fontId="0" type="noConversion"/>
  <pageMargins left="0.75" right="0.75" top="1" bottom="1" header="0.5" footer="0.5"/>
  <pageSetup paperSize="9" orientation="portrait" horizontalDpi="1200" r:id="rId1"/>
  <headerFooter alignWithMargins="0"/>
  <drawing r:id="rId2"/>
  <legacyDrawing r:id="rId3"/>
  <controls>
    <mc:AlternateContent xmlns:mc="http://schemas.openxmlformats.org/markup-compatibility/2006">
      <mc:Choice Requires="x14">
        <control shapeId="10242" r:id="rId4" name="cmdConstraintSets">
          <controlPr defaultSize="0" autoLine="0" r:id="rId5">
            <anchor moveWithCells="1">
              <from>
                <xdr:col>4</xdr:col>
                <xdr:colOff>22860</xdr:colOff>
                <xdr:row>4</xdr:row>
                <xdr:rowOff>22860</xdr:rowOff>
              </from>
              <to>
                <xdr:col>4</xdr:col>
                <xdr:colOff>998220</xdr:colOff>
                <xdr:row>5</xdr:row>
                <xdr:rowOff>45720</xdr:rowOff>
              </to>
            </anchor>
          </controlPr>
        </control>
      </mc:Choice>
      <mc:Fallback>
        <control shapeId="10242" r:id="rId4" name="cmdConstraintSets"/>
      </mc:Fallback>
    </mc:AlternateContent>
    <mc:AlternateContent xmlns:mc="http://schemas.openxmlformats.org/markup-compatibility/2006">
      <mc:Choice Requires="x14">
        <control shapeId="10246" r:id="rId6" name="cmdCheckConstraintsSheet">
          <controlPr defaultSize="0" autoLine="0" r:id="rId7">
            <anchor moveWithCells="1">
              <from>
                <xdr:col>0</xdr:col>
                <xdr:colOff>7620</xdr:colOff>
                <xdr:row>3</xdr:row>
                <xdr:rowOff>0</xdr:rowOff>
              </from>
              <to>
                <xdr:col>0</xdr:col>
                <xdr:colOff>792480</xdr:colOff>
                <xdr:row>4</xdr:row>
                <xdr:rowOff>0</xdr:rowOff>
              </to>
            </anchor>
          </controlPr>
        </control>
      </mc:Choice>
      <mc:Fallback>
        <control shapeId="10246" r:id="rId6" name="cmdCheckConstraintsSheet"/>
      </mc:Fallback>
    </mc:AlternateContent>
    <mc:AlternateContent xmlns:mc="http://schemas.openxmlformats.org/markup-compatibility/2006">
      <mc:Choice Requires="x14">
        <control shapeId="10247" r:id="rId8" name="cmdConstraintUnit">
          <controlPr defaultSize="0" autoLine="0" r:id="rId9">
            <anchor moveWithCells="1">
              <from>
                <xdr:col>3</xdr:col>
                <xdr:colOff>22860</xdr:colOff>
                <xdr:row>4</xdr:row>
                <xdr:rowOff>7620</xdr:rowOff>
              </from>
              <to>
                <xdr:col>3</xdr:col>
                <xdr:colOff>579120</xdr:colOff>
                <xdr:row>5</xdr:row>
                <xdr:rowOff>30480</xdr:rowOff>
              </to>
            </anchor>
          </controlPr>
        </control>
      </mc:Choice>
      <mc:Fallback>
        <control shapeId="10247" r:id="rId8" name="cmdConstraintUnit"/>
      </mc:Fallback>
    </mc:AlternateContent>
    <mc:AlternateContent xmlns:mc="http://schemas.openxmlformats.org/markup-compatibility/2006">
      <mc:Choice Requires="x14">
        <control shapeId="10359" r:id="rId10" name="cmdRefreshUnits">
          <controlPr defaultSize="0" autoLine="0" r:id="rId11">
            <anchor moveWithCells="1">
              <from>
                <xdr:col>3</xdr:col>
                <xdr:colOff>22860</xdr:colOff>
                <xdr:row>2</xdr:row>
                <xdr:rowOff>45720</xdr:rowOff>
              </from>
              <to>
                <xdr:col>3</xdr:col>
                <xdr:colOff>579120</xdr:colOff>
                <xdr:row>4</xdr:row>
                <xdr:rowOff>15240</xdr:rowOff>
              </to>
            </anchor>
          </controlPr>
        </control>
      </mc:Choice>
      <mc:Fallback>
        <control shapeId="10359" r:id="rId10" name="cmdRefreshUnits"/>
      </mc:Fallback>
    </mc:AlternateContent>
  </control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3"/>
  <dimension ref="A1:H23"/>
  <sheetViews>
    <sheetView workbookViewId="0">
      <pane xSplit="4" ySplit="7" topLeftCell="E8" activePane="bottomRight" state="frozen"/>
      <selection pane="topRight" activeCell="E1" sqref="E1"/>
      <selection pane="bottomLeft" activeCell="A8" sqref="A8"/>
      <selection pane="bottomRight"/>
    </sheetView>
  </sheetViews>
  <sheetFormatPr defaultRowHeight="13.2" x14ac:dyDescent="0.25"/>
  <cols>
    <col min="1" max="1" width="10.5546875" customWidth="1"/>
    <col min="2" max="2" width="11.6640625" customWidth="1"/>
    <col min="3" max="3" width="24" customWidth="1"/>
    <col min="4" max="4" width="5.44140625" customWidth="1"/>
    <col min="6" max="6" width="10.109375" bestFit="1" customWidth="1"/>
  </cols>
  <sheetData>
    <row r="1" spans="1:8" x14ac:dyDescent="0.25">
      <c r="A1" s="1" t="s">
        <v>18</v>
      </c>
      <c r="B1" s="2"/>
    </row>
    <row r="3" spans="1:8" ht="15" customHeight="1" x14ac:dyDescent="0.25"/>
    <row r="4" spans="1:8" ht="20.25" customHeight="1" x14ac:dyDescent="0.25"/>
    <row r="5" spans="1:8" ht="19.5" customHeight="1" x14ac:dyDescent="0.25">
      <c r="E5" s="7"/>
      <c r="F5" s="7"/>
      <c r="G5" s="16"/>
      <c r="H5" s="16"/>
    </row>
    <row r="6" spans="1:8" ht="19.5" customHeight="1" x14ac:dyDescent="0.25">
      <c r="E6" s="13"/>
      <c r="F6" s="13"/>
      <c r="G6" s="16"/>
      <c r="H6" s="16"/>
    </row>
    <row r="7" spans="1:8" x14ac:dyDescent="0.25">
      <c r="B7" s="1" t="s">
        <v>6</v>
      </c>
      <c r="C7" s="1" t="s">
        <v>7</v>
      </c>
      <c r="D7" s="1" t="s">
        <v>10</v>
      </c>
      <c r="E7" s="15"/>
      <c r="F7" s="8"/>
      <c r="G7" s="8"/>
      <c r="H7" s="16"/>
    </row>
    <row r="9" spans="1:8" x14ac:dyDescent="0.25">
      <c r="B9" s="13"/>
      <c r="C9" s="12"/>
      <c r="D9" s="12"/>
    </row>
    <row r="10" spans="1:8" x14ac:dyDescent="0.25">
      <c r="B10" s="13"/>
      <c r="C10" s="12"/>
      <c r="D10" s="12"/>
      <c r="F10" s="11"/>
    </row>
    <row r="13" spans="1:8" x14ac:dyDescent="0.25">
      <c r="B13" s="13"/>
      <c r="C13" s="12"/>
      <c r="D13" s="12"/>
      <c r="F13" s="11"/>
    </row>
    <row r="15" spans="1:8" x14ac:dyDescent="0.25">
      <c r="B15" s="13"/>
      <c r="C15" s="12"/>
      <c r="D15" s="12"/>
    </row>
    <row r="17" spans="2:4" x14ac:dyDescent="0.25">
      <c r="B17" s="13"/>
      <c r="C17" s="12"/>
      <c r="D17" s="12"/>
    </row>
    <row r="19" spans="2:4" x14ac:dyDescent="0.25">
      <c r="B19" s="13"/>
      <c r="C19" s="12"/>
      <c r="D19" s="12"/>
    </row>
    <row r="21" spans="2:4" x14ac:dyDescent="0.25">
      <c r="B21" s="13"/>
      <c r="C21" s="12"/>
      <c r="D21" s="12"/>
    </row>
    <row r="23" spans="2:4" x14ac:dyDescent="0.25">
      <c r="B23" s="13"/>
      <c r="C23" s="12"/>
      <c r="D23" s="12"/>
    </row>
  </sheetData>
  <phoneticPr fontId="0" type="noConversion"/>
  <conditionalFormatting sqref="B13">
    <cfRule type="cellIs" dxfId="1" priority="1" stopIfTrue="1" operator="equal">
      <formula>"REF"</formula>
    </cfRule>
  </conditionalFormatting>
  <pageMargins left="0.75" right="0.75" top="1" bottom="1" header="0.5" footer="0.5"/>
  <pageSetup paperSize="9" orientation="landscape" horizontalDpi="1200" r:id="rId1"/>
  <headerFooter alignWithMargins="0"/>
  <drawing r:id="rId2"/>
  <legacyDrawing r:id="rId3"/>
  <controls>
    <mc:AlternateContent xmlns:mc="http://schemas.openxmlformats.org/markup-compatibility/2006">
      <mc:Choice Requires="x14">
        <control shapeId="4097" r:id="rId4" name="cmdAddParameter">
          <controlPr defaultSize="0" autoLine="0" r:id="rId5">
            <anchor moveWithCells="1">
              <from>
                <xdr:col>0</xdr:col>
                <xdr:colOff>7620</xdr:colOff>
                <xdr:row>4</xdr:row>
                <xdr:rowOff>7620</xdr:rowOff>
              </from>
              <to>
                <xdr:col>0</xdr:col>
                <xdr:colOff>693420</xdr:colOff>
                <xdr:row>5</xdr:row>
                <xdr:rowOff>0</xdr:rowOff>
              </to>
            </anchor>
          </controlPr>
        </control>
      </mc:Choice>
      <mc:Fallback>
        <control shapeId="4097" r:id="rId4" name="cmdAddParameter"/>
      </mc:Fallback>
    </mc:AlternateContent>
    <mc:AlternateContent xmlns:mc="http://schemas.openxmlformats.org/markup-compatibility/2006">
      <mc:Choice Requires="x14">
        <control shapeId="4098" r:id="rId6" name="cmdCommNameAndDesc">
          <controlPr defaultSize="0" autoLine="0" autoPict="0" r:id="rId7">
            <anchor moveWithCells="1">
              <from>
                <xdr:col>1</xdr:col>
                <xdr:colOff>0</xdr:colOff>
                <xdr:row>3</xdr:row>
                <xdr:rowOff>22860</xdr:rowOff>
              </from>
              <to>
                <xdr:col>2</xdr:col>
                <xdr:colOff>1394460</xdr:colOff>
                <xdr:row>4</xdr:row>
                <xdr:rowOff>0</xdr:rowOff>
              </to>
            </anchor>
          </controlPr>
        </control>
      </mc:Choice>
      <mc:Fallback>
        <control shapeId="4098" r:id="rId6" name="cmdCommNameAndDesc"/>
      </mc:Fallback>
    </mc:AlternateContent>
    <mc:AlternateContent xmlns:mc="http://schemas.openxmlformats.org/markup-compatibility/2006">
      <mc:Choice Requires="x14">
        <control shapeId="4100" r:id="rId8" name="cmdAddParamQualifier">
          <controlPr defaultSize="0" autoLine="0" r:id="rId9">
            <anchor moveWithCells="1">
              <from>
                <xdr:col>0</xdr:col>
                <xdr:colOff>7620</xdr:colOff>
                <xdr:row>5</xdr:row>
                <xdr:rowOff>0</xdr:rowOff>
              </from>
              <to>
                <xdr:col>0</xdr:col>
                <xdr:colOff>693420</xdr:colOff>
                <xdr:row>5</xdr:row>
                <xdr:rowOff>236220</xdr:rowOff>
              </to>
            </anchor>
          </controlPr>
        </control>
      </mc:Choice>
      <mc:Fallback>
        <control shapeId="4100" r:id="rId8" name="cmdAddParamQualifier"/>
      </mc:Fallback>
    </mc:AlternateContent>
    <mc:AlternateContent xmlns:mc="http://schemas.openxmlformats.org/markup-compatibility/2006">
      <mc:Choice Requires="x14">
        <control shapeId="4106" r:id="rId10" name="cmdCheckCommDataSheet">
          <controlPr defaultSize="0" autoLine="0" r:id="rId11">
            <anchor moveWithCells="1">
              <from>
                <xdr:col>0</xdr:col>
                <xdr:colOff>7620</xdr:colOff>
                <xdr:row>3</xdr:row>
                <xdr:rowOff>22860</xdr:rowOff>
              </from>
              <to>
                <xdr:col>0</xdr:col>
                <xdr:colOff>693420</xdr:colOff>
                <xdr:row>4</xdr:row>
                <xdr:rowOff>7620</xdr:rowOff>
              </to>
            </anchor>
          </controlPr>
        </control>
      </mc:Choice>
      <mc:Fallback>
        <control shapeId="4106" r:id="rId10" name="cmdCheckCommDataSheet"/>
      </mc:Fallback>
    </mc:AlternateContent>
    <mc:AlternateContent xmlns:mc="http://schemas.openxmlformats.org/markup-compatibility/2006">
      <mc:Choice Requires="x14">
        <control shapeId="4299" r:id="rId12" name="cmdRefreshUnits">
          <controlPr defaultSize="0" autoLine="0" r:id="rId13">
            <anchor moveWithCells="1">
              <from>
                <xdr:col>2</xdr:col>
                <xdr:colOff>1409700</xdr:colOff>
                <xdr:row>2</xdr:row>
                <xdr:rowOff>76200</xdr:rowOff>
              </from>
              <to>
                <xdr:col>3</xdr:col>
                <xdr:colOff>320040</xdr:colOff>
                <xdr:row>4</xdr:row>
                <xdr:rowOff>7620</xdr:rowOff>
              </to>
            </anchor>
          </controlPr>
        </control>
      </mc:Choice>
      <mc:Fallback>
        <control shapeId="4299" r:id="rId12" name="cmdRefreshUnits"/>
      </mc:Fallback>
    </mc:AlternateContent>
  </control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4"/>
  <dimension ref="A1:P7"/>
  <sheetViews>
    <sheetView workbookViewId="0">
      <pane xSplit="6" ySplit="7" topLeftCell="G8" activePane="bottomRight" state="frozen"/>
      <selection pane="topRight" activeCell="G1" sqref="G1"/>
      <selection pane="bottomLeft" activeCell="A8" sqref="A8"/>
      <selection pane="bottomRight"/>
    </sheetView>
  </sheetViews>
  <sheetFormatPr defaultRowHeight="13.2" x14ac:dyDescent="0.25"/>
  <cols>
    <col min="1" max="2" width="10.33203125" customWidth="1"/>
    <col min="3" max="3" width="24.33203125" customWidth="1"/>
    <col min="4" max="4" width="7.88671875" customWidth="1"/>
    <col min="6" max="6" width="10.5546875" customWidth="1"/>
    <col min="7" max="7" width="9.88671875" customWidth="1"/>
    <col min="8" max="8" width="8.109375" customWidth="1"/>
    <col min="9" max="11" width="9.33203125" customWidth="1"/>
    <col min="12" max="12" width="12.5546875" customWidth="1"/>
    <col min="13" max="13" width="12.44140625" customWidth="1"/>
  </cols>
  <sheetData>
    <row r="1" spans="1:16" x14ac:dyDescent="0.25">
      <c r="A1" s="1" t="s">
        <v>19</v>
      </c>
      <c r="B1" s="2"/>
    </row>
    <row r="4" spans="1:16" ht="17.25" customHeight="1" x14ac:dyDescent="0.25"/>
    <row r="5" spans="1:16" ht="18" customHeight="1" x14ac:dyDescent="0.25">
      <c r="G5" s="7"/>
      <c r="H5" s="7"/>
      <c r="I5" s="7"/>
      <c r="J5" s="16"/>
      <c r="K5" s="16"/>
      <c r="L5" s="7"/>
      <c r="M5" s="14"/>
      <c r="N5" s="7"/>
      <c r="O5" s="14"/>
      <c r="P5" s="14"/>
    </row>
    <row r="6" spans="1:16" ht="17.25" customHeight="1" x14ac:dyDescent="0.25">
      <c r="G6" s="7"/>
      <c r="H6" s="7"/>
      <c r="I6" s="7"/>
      <c r="J6" s="7"/>
      <c r="K6" s="7"/>
      <c r="L6" s="7"/>
      <c r="M6" s="13"/>
      <c r="N6" s="7"/>
      <c r="O6" s="13"/>
      <c r="P6" s="11"/>
    </row>
    <row r="7" spans="1:16" ht="15.75" customHeight="1" x14ac:dyDescent="0.25">
      <c r="B7" s="1" t="s">
        <v>8</v>
      </c>
      <c r="C7" s="1" t="s">
        <v>9</v>
      </c>
      <c r="D7" s="1" t="s">
        <v>10</v>
      </c>
      <c r="E7" s="1" t="s">
        <v>11</v>
      </c>
      <c r="F7" s="1" t="s">
        <v>12</v>
      </c>
      <c r="G7" s="7"/>
      <c r="H7" s="7"/>
      <c r="I7" s="7"/>
      <c r="J7" s="16"/>
      <c r="K7" s="7"/>
      <c r="L7" s="7"/>
      <c r="M7" s="13"/>
      <c r="N7" s="7"/>
      <c r="O7" s="11"/>
      <c r="P7" s="13"/>
    </row>
  </sheetData>
  <phoneticPr fontId="0" type="noConversion"/>
  <pageMargins left="0.75" right="0.75" top="1" bottom="1" header="0.5" footer="0.5"/>
  <pageSetup paperSize="9" orientation="landscape" horizontalDpi="1200" r:id="rId1"/>
  <headerFooter alignWithMargins="0"/>
  <drawing r:id="rId2"/>
  <legacyDrawing r:id="rId3"/>
  <controls>
    <mc:AlternateContent xmlns:mc="http://schemas.openxmlformats.org/markup-compatibility/2006">
      <mc:Choice Requires="x14">
        <control shapeId="3074" r:id="rId4" name="cmdTechNameAndDesc">
          <controlPr defaultSize="0" autoLine="0" r:id="rId5">
            <anchor moveWithCells="1">
              <from>
                <xdr:col>1</xdr:col>
                <xdr:colOff>38100</xdr:colOff>
                <xdr:row>2</xdr:row>
                <xdr:rowOff>152400</xdr:rowOff>
              </from>
              <to>
                <xdr:col>2</xdr:col>
                <xdr:colOff>1554480</xdr:colOff>
                <xdr:row>4</xdr:row>
                <xdr:rowOff>7620</xdr:rowOff>
              </to>
            </anchor>
          </controlPr>
        </control>
      </mc:Choice>
      <mc:Fallback>
        <control shapeId="3074" r:id="rId4" name="cmdTechNameAndDesc"/>
      </mc:Fallback>
    </mc:AlternateContent>
    <mc:AlternateContent xmlns:mc="http://schemas.openxmlformats.org/markup-compatibility/2006">
      <mc:Choice Requires="x14">
        <control shapeId="3075" r:id="rId6" name="cmdCommIN">
          <controlPr defaultSize="0" autoLine="0" r:id="rId7">
            <anchor moveWithCells="1">
              <from>
                <xdr:col>4</xdr:col>
                <xdr:colOff>7620</xdr:colOff>
                <xdr:row>2</xdr:row>
                <xdr:rowOff>144780</xdr:rowOff>
              </from>
              <to>
                <xdr:col>4</xdr:col>
                <xdr:colOff>594360</xdr:colOff>
                <xdr:row>4</xdr:row>
                <xdr:rowOff>0</xdr:rowOff>
              </to>
            </anchor>
          </controlPr>
        </control>
      </mc:Choice>
      <mc:Fallback>
        <control shapeId="3075" r:id="rId6" name="cmdCommIN"/>
      </mc:Fallback>
    </mc:AlternateContent>
    <mc:AlternateContent xmlns:mc="http://schemas.openxmlformats.org/markup-compatibility/2006">
      <mc:Choice Requires="x14">
        <control shapeId="3076" r:id="rId8" name="cmdCommOUT">
          <controlPr defaultSize="0" autoLine="0" r:id="rId9">
            <anchor moveWithCells="1">
              <from>
                <xdr:col>5</xdr:col>
                <xdr:colOff>7620</xdr:colOff>
                <xdr:row>2</xdr:row>
                <xdr:rowOff>144780</xdr:rowOff>
              </from>
              <to>
                <xdr:col>5</xdr:col>
                <xdr:colOff>701040</xdr:colOff>
                <xdr:row>4</xdr:row>
                <xdr:rowOff>0</xdr:rowOff>
              </to>
            </anchor>
          </controlPr>
        </control>
      </mc:Choice>
      <mc:Fallback>
        <control shapeId="3076" r:id="rId8" name="cmdCommOUT"/>
      </mc:Fallback>
    </mc:AlternateContent>
    <mc:AlternateContent xmlns:mc="http://schemas.openxmlformats.org/markup-compatibility/2006">
      <mc:Choice Requires="x14">
        <control shapeId="3077" r:id="rId10" name="cmdAddParameter">
          <controlPr defaultSize="0" autoLine="0" r:id="rId11">
            <anchor moveWithCells="1">
              <from>
                <xdr:col>0</xdr:col>
                <xdr:colOff>7620</xdr:colOff>
                <xdr:row>3</xdr:row>
                <xdr:rowOff>198120</xdr:rowOff>
              </from>
              <to>
                <xdr:col>0</xdr:col>
                <xdr:colOff>693420</xdr:colOff>
                <xdr:row>4</xdr:row>
                <xdr:rowOff>220980</xdr:rowOff>
              </to>
            </anchor>
          </controlPr>
        </control>
      </mc:Choice>
      <mc:Fallback>
        <control shapeId="3077" r:id="rId10" name="cmdAddParameter"/>
      </mc:Fallback>
    </mc:AlternateContent>
    <mc:AlternateContent xmlns:mc="http://schemas.openxmlformats.org/markup-compatibility/2006">
      <mc:Choice Requires="x14">
        <control shapeId="3079" r:id="rId12" name="cmdAddParamQualifier">
          <controlPr defaultSize="0" autoLine="0" autoPict="0" r:id="rId13">
            <anchor moveWithCells="1">
              <from>
                <xdr:col>0</xdr:col>
                <xdr:colOff>7620</xdr:colOff>
                <xdr:row>5</xdr:row>
                <xdr:rowOff>7620</xdr:rowOff>
              </from>
              <to>
                <xdr:col>1</xdr:col>
                <xdr:colOff>7620</xdr:colOff>
                <xdr:row>6</xdr:row>
                <xdr:rowOff>30480</xdr:rowOff>
              </to>
            </anchor>
          </controlPr>
        </control>
      </mc:Choice>
      <mc:Fallback>
        <control shapeId="3079" r:id="rId12" name="cmdAddParamQualifier"/>
      </mc:Fallback>
    </mc:AlternateContent>
    <mc:AlternateContent xmlns:mc="http://schemas.openxmlformats.org/markup-compatibility/2006">
      <mc:Choice Requires="x14">
        <control shapeId="3080" r:id="rId14" name="cmdCheckTechDataSheet">
          <controlPr defaultSize="0" autoLine="0" autoPict="0" r:id="rId15">
            <anchor moveWithCells="1">
              <from>
                <xdr:col>0</xdr:col>
                <xdr:colOff>7620</xdr:colOff>
                <xdr:row>2</xdr:row>
                <xdr:rowOff>152400</xdr:rowOff>
              </from>
              <to>
                <xdr:col>1</xdr:col>
                <xdr:colOff>7620</xdr:colOff>
                <xdr:row>4</xdr:row>
                <xdr:rowOff>7620</xdr:rowOff>
              </to>
            </anchor>
          </controlPr>
        </control>
      </mc:Choice>
      <mc:Fallback>
        <control shapeId="3080" r:id="rId14" name="cmdCheckTechDataSheet"/>
      </mc:Fallback>
    </mc:AlternateContent>
    <mc:AlternateContent xmlns:mc="http://schemas.openxmlformats.org/markup-compatibility/2006">
      <mc:Choice Requires="x14">
        <control shapeId="3112" r:id="rId16" name="cmdRefreshUnits">
          <controlPr defaultSize="0" autoLine="0" r:id="rId17">
            <anchor moveWithCells="1">
              <from>
                <xdr:col>3</xdr:col>
                <xdr:colOff>0</xdr:colOff>
                <xdr:row>2</xdr:row>
                <xdr:rowOff>22860</xdr:rowOff>
              </from>
              <to>
                <xdr:col>4</xdr:col>
                <xdr:colOff>15240</xdr:colOff>
                <xdr:row>4</xdr:row>
                <xdr:rowOff>15240</xdr:rowOff>
              </to>
            </anchor>
          </controlPr>
        </control>
      </mc:Choice>
      <mc:Fallback>
        <control shapeId="3112" r:id="rId16" name="cmdRefreshUnits"/>
      </mc:Fallback>
    </mc:AlternateContent>
  </control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dimension ref="A1:E18"/>
  <sheetViews>
    <sheetView workbookViewId="0">
      <pane xSplit="5" ySplit="7" topLeftCell="F8" activePane="bottomRight" state="frozen"/>
      <selection pane="topRight" activeCell="G1" sqref="G1"/>
      <selection pane="bottomLeft" activeCell="A8" sqref="A8"/>
      <selection pane="bottomRight" activeCell="A2" sqref="A2"/>
    </sheetView>
  </sheetViews>
  <sheetFormatPr defaultRowHeight="13.2" x14ac:dyDescent="0.25"/>
  <cols>
    <col min="1" max="1" width="10.44140625" customWidth="1"/>
    <col min="2" max="2" width="11.5546875" customWidth="1"/>
    <col min="3" max="3" width="17.5546875" customWidth="1"/>
    <col min="4" max="4" width="5.88671875" customWidth="1"/>
    <col min="5" max="5" width="10.109375" customWidth="1"/>
  </cols>
  <sheetData>
    <row r="1" spans="1:5" x14ac:dyDescent="0.25">
      <c r="A1" s="1" t="s">
        <v>20</v>
      </c>
      <c r="B1" s="2"/>
    </row>
    <row r="4" spans="1:5" ht="17.25" customHeight="1" x14ac:dyDescent="0.25"/>
    <row r="5" spans="1:5" ht="18" customHeight="1" x14ac:dyDescent="0.25"/>
    <row r="6" spans="1:5" ht="17.25" customHeight="1" x14ac:dyDescent="0.25"/>
    <row r="7" spans="1:5" ht="15.75" customHeight="1" x14ac:dyDescent="0.25">
      <c r="B7" s="1" t="s">
        <v>13</v>
      </c>
      <c r="C7" s="1" t="s">
        <v>14</v>
      </c>
      <c r="D7" s="1" t="s">
        <v>10</v>
      </c>
      <c r="E7" s="1" t="s">
        <v>8</v>
      </c>
    </row>
    <row r="8" spans="1:5" x14ac:dyDescent="0.25">
      <c r="B8" s="10"/>
      <c r="E8" s="7"/>
    </row>
    <row r="9" spans="1:5" x14ac:dyDescent="0.25">
      <c r="B9" s="9"/>
      <c r="E9" s="7"/>
    </row>
    <row r="10" spans="1:5" x14ac:dyDescent="0.25">
      <c r="B10" s="9"/>
      <c r="E10" s="7"/>
    </row>
    <row r="11" spans="1:5" x14ac:dyDescent="0.25">
      <c r="B11" s="9"/>
      <c r="E11" s="7"/>
    </row>
    <row r="14" spans="1:5" x14ac:dyDescent="0.25">
      <c r="A14" s="1"/>
    </row>
    <row r="18" spans="1:5" x14ac:dyDescent="0.25">
      <c r="A18" s="1"/>
      <c r="B18" s="1"/>
      <c r="C18" s="1"/>
      <c r="D18" s="1"/>
      <c r="E18" s="1"/>
    </row>
  </sheetData>
  <phoneticPr fontId="0" type="noConversion"/>
  <pageMargins left="0.75" right="0.75" top="1" bottom="1" header="0.5" footer="0.5"/>
  <pageSetup paperSize="9" orientation="landscape" horizontalDpi="1200" r:id="rId1"/>
  <headerFooter alignWithMargins="0"/>
  <drawing r:id="rId2"/>
  <legacyDrawing r:id="rId3"/>
  <controls>
    <mc:AlternateContent xmlns:mc="http://schemas.openxmlformats.org/markup-compatibility/2006">
      <mc:Choice Requires="x14">
        <control shapeId="11265" r:id="rId4" name="cmdConstrNameAndDesc">
          <controlPr defaultSize="0" autoLine="0" autoPict="0" r:id="rId5">
            <anchor moveWithCells="1">
              <from>
                <xdr:col>1</xdr:col>
                <xdr:colOff>22860</xdr:colOff>
                <xdr:row>3</xdr:row>
                <xdr:rowOff>0</xdr:rowOff>
              </from>
              <to>
                <xdr:col>2</xdr:col>
                <xdr:colOff>998220</xdr:colOff>
                <xdr:row>4</xdr:row>
                <xdr:rowOff>22860</xdr:rowOff>
              </to>
            </anchor>
          </controlPr>
        </control>
      </mc:Choice>
      <mc:Fallback>
        <control shapeId="11265" r:id="rId4" name="cmdConstrNameAndDesc"/>
      </mc:Fallback>
    </mc:AlternateContent>
    <mc:AlternateContent xmlns:mc="http://schemas.openxmlformats.org/markup-compatibility/2006">
      <mc:Choice Requires="x14">
        <control shapeId="11266" r:id="rId6" name="cmdTechName">
          <controlPr defaultSize="0" autoLine="0" r:id="rId7">
            <anchor moveWithCells="1">
              <from>
                <xdr:col>4</xdr:col>
                <xdr:colOff>0</xdr:colOff>
                <xdr:row>3</xdr:row>
                <xdr:rowOff>0</xdr:rowOff>
              </from>
              <to>
                <xdr:col>4</xdr:col>
                <xdr:colOff>655320</xdr:colOff>
                <xdr:row>4</xdr:row>
                <xdr:rowOff>22860</xdr:rowOff>
              </to>
            </anchor>
          </controlPr>
        </control>
      </mc:Choice>
      <mc:Fallback>
        <control shapeId="11266" r:id="rId6" name="cmdTechName"/>
      </mc:Fallback>
    </mc:AlternateContent>
    <mc:AlternateContent xmlns:mc="http://schemas.openxmlformats.org/markup-compatibility/2006">
      <mc:Choice Requires="x14">
        <control shapeId="11268" r:id="rId8" name="cmdAddParameter">
          <controlPr defaultSize="0" autoLine="0" r:id="rId9">
            <anchor moveWithCells="1">
              <from>
                <xdr:col>0</xdr:col>
                <xdr:colOff>7620</xdr:colOff>
                <xdr:row>4</xdr:row>
                <xdr:rowOff>0</xdr:rowOff>
              </from>
              <to>
                <xdr:col>0</xdr:col>
                <xdr:colOff>693420</xdr:colOff>
                <xdr:row>5</xdr:row>
                <xdr:rowOff>7620</xdr:rowOff>
              </to>
            </anchor>
          </controlPr>
        </control>
      </mc:Choice>
      <mc:Fallback>
        <control shapeId="11268" r:id="rId8" name="cmdAddParameter"/>
      </mc:Fallback>
    </mc:AlternateContent>
    <mc:AlternateContent xmlns:mc="http://schemas.openxmlformats.org/markup-compatibility/2006">
      <mc:Choice Requires="x14">
        <control shapeId="11271" r:id="rId10" name="cmdCheckConstrDataSheet">
          <controlPr defaultSize="0" autoLine="0" autoPict="0" r:id="rId11">
            <anchor moveWithCells="1">
              <from>
                <xdr:col>0</xdr:col>
                <xdr:colOff>7620</xdr:colOff>
                <xdr:row>2</xdr:row>
                <xdr:rowOff>152400</xdr:rowOff>
              </from>
              <to>
                <xdr:col>1</xdr:col>
                <xdr:colOff>0</xdr:colOff>
                <xdr:row>4</xdr:row>
                <xdr:rowOff>7620</xdr:rowOff>
              </to>
            </anchor>
          </controlPr>
        </control>
      </mc:Choice>
      <mc:Fallback>
        <control shapeId="11271" r:id="rId10" name="cmdCheckConstrDataSheet"/>
      </mc:Fallback>
    </mc:AlternateContent>
    <mc:AlternateContent xmlns:mc="http://schemas.openxmlformats.org/markup-compatibility/2006">
      <mc:Choice Requires="x14">
        <control shapeId="11361" r:id="rId12" name="cmdAddParamQualifier">
          <controlPr defaultSize="0" autoLine="0" r:id="rId13">
            <anchor moveWithCells="1">
              <from>
                <xdr:col>0</xdr:col>
                <xdr:colOff>7620</xdr:colOff>
                <xdr:row>5</xdr:row>
                <xdr:rowOff>0</xdr:rowOff>
              </from>
              <to>
                <xdr:col>0</xdr:col>
                <xdr:colOff>693420</xdr:colOff>
                <xdr:row>6</xdr:row>
                <xdr:rowOff>22860</xdr:rowOff>
              </to>
            </anchor>
          </controlPr>
        </control>
      </mc:Choice>
      <mc:Fallback>
        <control shapeId="11361" r:id="rId12" name="cmdAddParamQualifier"/>
      </mc:Fallback>
    </mc:AlternateContent>
    <mc:AlternateContent xmlns:mc="http://schemas.openxmlformats.org/markup-compatibility/2006">
      <mc:Choice Requires="x14">
        <control shapeId="11374" r:id="rId14" name="cmdRefreshUnits">
          <controlPr defaultSize="0" autoLine="0" r:id="rId15">
            <anchor moveWithCells="1">
              <from>
                <xdr:col>2</xdr:col>
                <xdr:colOff>1013460</xdr:colOff>
                <xdr:row>2</xdr:row>
                <xdr:rowOff>30480</xdr:rowOff>
              </from>
              <to>
                <xdr:col>3</xdr:col>
                <xdr:colOff>365760</xdr:colOff>
                <xdr:row>4</xdr:row>
                <xdr:rowOff>22860</xdr:rowOff>
              </to>
            </anchor>
          </controlPr>
        </control>
      </mc:Choice>
      <mc:Fallback>
        <control shapeId="11374" r:id="rId14" name="cmdRefreshUnits"/>
      </mc:Fallback>
    </mc:AlternateContent>
  </control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5" tint="0.39997558519241921"/>
  </sheetPr>
  <dimension ref="A1:K41"/>
  <sheetViews>
    <sheetView tabSelected="1" topLeftCell="B16" workbookViewId="0">
      <selection activeCell="B38" sqref="B38"/>
    </sheetView>
  </sheetViews>
  <sheetFormatPr defaultColWidth="8.88671875" defaultRowHeight="13.2" x14ac:dyDescent="0.25"/>
  <cols>
    <col min="1" max="1" width="8.88671875" style="18"/>
    <col min="2" max="2" width="23" style="18" bestFit="1" customWidth="1"/>
    <col min="3" max="3" width="37" style="18" customWidth="1"/>
    <col min="4" max="4" width="15.33203125" style="18" customWidth="1"/>
    <col min="5" max="5" width="18.5546875" style="18" bestFit="1" customWidth="1"/>
    <col min="6" max="7" width="8.88671875" style="18"/>
    <col min="8" max="8" width="12.5546875" style="18" bestFit="1" customWidth="1"/>
    <col min="9" max="9" width="10.88671875" style="18" bestFit="1" customWidth="1"/>
    <col min="10" max="10" width="13.109375" style="18" bestFit="1" customWidth="1"/>
    <col min="11" max="11" width="53.44140625" style="18" bestFit="1" customWidth="1"/>
    <col min="12" max="16384" width="8.88671875" style="18"/>
  </cols>
  <sheetData>
    <row r="1" spans="1:11" x14ac:dyDescent="0.25">
      <c r="A1" s="18" t="s">
        <v>30</v>
      </c>
    </row>
    <row r="2" spans="1:11" ht="14.4" x14ac:dyDescent="0.3">
      <c r="B2" s="195" t="s">
        <v>31</v>
      </c>
      <c r="C2" s="195"/>
      <c r="D2" s="19"/>
      <c r="E2" s="20"/>
    </row>
    <row r="3" spans="1:11" ht="14.4" x14ac:dyDescent="0.3">
      <c r="B3" s="195"/>
      <c r="C3" s="195"/>
      <c r="D3" s="19"/>
      <c r="E3" s="20"/>
    </row>
    <row r="4" spans="1:11" x14ac:dyDescent="0.25">
      <c r="D4" s="19"/>
      <c r="E4" s="20"/>
      <c r="G4" s="18" t="s">
        <v>36</v>
      </c>
    </row>
    <row r="5" spans="1:11" ht="13.8" thickBot="1" x14ac:dyDescent="0.3">
      <c r="B5" s="21" t="s">
        <v>32</v>
      </c>
      <c r="C5" s="21" t="s">
        <v>27</v>
      </c>
      <c r="D5" s="21" t="s">
        <v>26</v>
      </c>
      <c r="E5" s="21" t="s">
        <v>28</v>
      </c>
      <c r="F5" s="21" t="s">
        <v>0</v>
      </c>
      <c r="G5" s="21" t="s">
        <v>25</v>
      </c>
      <c r="H5" s="21" t="s">
        <v>94</v>
      </c>
      <c r="I5" s="21" t="s">
        <v>33</v>
      </c>
      <c r="J5" s="21" t="s">
        <v>34</v>
      </c>
      <c r="K5" s="21" t="s">
        <v>35</v>
      </c>
    </row>
    <row r="6" spans="1:11" x14ac:dyDescent="0.25">
      <c r="B6" s="196" t="s">
        <v>77</v>
      </c>
      <c r="C6" s="196"/>
      <c r="D6" s="196"/>
      <c r="E6" s="196" t="s">
        <v>95</v>
      </c>
      <c r="F6" s="196">
        <v>2010</v>
      </c>
      <c r="G6" s="196" t="s">
        <v>44</v>
      </c>
      <c r="H6" s="196">
        <v>1</v>
      </c>
      <c r="I6" s="197">
        <f>'orig const'!M15</f>
        <v>42.151173896926082</v>
      </c>
      <c r="J6" s="196"/>
      <c r="K6" s="196" t="s">
        <v>78</v>
      </c>
    </row>
    <row r="7" spans="1:11" x14ac:dyDescent="0.25">
      <c r="B7" s="196" t="s">
        <v>79</v>
      </c>
      <c r="C7" s="196"/>
      <c r="D7" s="196"/>
      <c r="E7" s="196" t="s">
        <v>81</v>
      </c>
      <c r="F7" s="196">
        <v>2010</v>
      </c>
      <c r="G7" s="196" t="s">
        <v>44</v>
      </c>
      <c r="H7" s="196">
        <v>1</v>
      </c>
      <c r="I7" s="197">
        <f>'orig const'!M18</f>
        <v>15.985305338814399</v>
      </c>
      <c r="J7" s="196"/>
      <c r="K7" s="196" t="s">
        <v>80</v>
      </c>
    </row>
    <row r="8" spans="1:11" x14ac:dyDescent="0.25">
      <c r="B8" s="196" t="s">
        <v>79</v>
      </c>
      <c r="C8" s="196"/>
      <c r="D8" s="196"/>
      <c r="E8" s="196" t="s">
        <v>81</v>
      </c>
      <c r="F8" s="196">
        <v>2011</v>
      </c>
      <c r="G8" s="196" t="s">
        <v>44</v>
      </c>
      <c r="H8" s="196">
        <v>1</v>
      </c>
      <c r="I8" s="197">
        <f>I7+(I9-I7)/5</f>
        <v>33.076103771113196</v>
      </c>
      <c r="J8" s="196">
        <v>5</v>
      </c>
      <c r="K8" s="196" t="s">
        <v>80</v>
      </c>
    </row>
    <row r="9" spans="1:11" x14ac:dyDescent="0.25">
      <c r="B9" s="196" t="s">
        <v>79</v>
      </c>
      <c r="C9" s="196"/>
      <c r="D9" s="196"/>
      <c r="E9" s="196" t="s">
        <v>81</v>
      </c>
      <c r="F9" s="196">
        <v>2015</v>
      </c>
      <c r="G9" s="196" t="s">
        <v>44</v>
      </c>
      <c r="H9" s="196">
        <v>1</v>
      </c>
      <c r="I9" s="197">
        <f>'orig const'!N18</f>
        <v>101.43929750030838</v>
      </c>
      <c r="J9" s="196">
        <v>5</v>
      </c>
      <c r="K9" s="196" t="s">
        <v>80</v>
      </c>
    </row>
    <row r="10" spans="1:11" x14ac:dyDescent="0.25">
      <c r="B10" s="196" t="s">
        <v>79</v>
      </c>
      <c r="C10" s="196"/>
      <c r="D10" s="196"/>
      <c r="E10" s="196" t="s">
        <v>81</v>
      </c>
      <c r="F10" s="196">
        <v>2020</v>
      </c>
      <c r="G10" s="196" t="s">
        <v>44</v>
      </c>
      <c r="H10" s="196">
        <v>1</v>
      </c>
      <c r="I10" s="197">
        <f>'orig const'!O18</f>
        <v>269.28673283423996</v>
      </c>
      <c r="J10" s="196">
        <v>5</v>
      </c>
      <c r="K10" s="196" t="s">
        <v>80</v>
      </c>
    </row>
    <row r="11" spans="1:11" x14ac:dyDescent="0.25">
      <c r="B11" s="196" t="s">
        <v>79</v>
      </c>
      <c r="C11" s="196"/>
      <c r="D11" s="196"/>
      <c r="E11" s="196" t="s">
        <v>81</v>
      </c>
      <c r="F11" s="196">
        <v>2025</v>
      </c>
      <c r="G11" s="196" t="s">
        <v>44</v>
      </c>
      <c r="H11" s="196">
        <v>1</v>
      </c>
      <c r="I11" s="197">
        <f>'orig const'!P18</f>
        <v>314.16785497328004</v>
      </c>
      <c r="J11" s="196">
        <v>5</v>
      </c>
      <c r="K11" s="196" t="s">
        <v>80</v>
      </c>
    </row>
    <row r="12" spans="1:11" x14ac:dyDescent="0.25">
      <c r="B12" s="196" t="s">
        <v>82</v>
      </c>
      <c r="C12" s="196"/>
      <c r="D12" s="196"/>
      <c r="E12" s="196" t="s">
        <v>83</v>
      </c>
      <c r="F12" s="196">
        <v>2010</v>
      </c>
      <c r="G12" s="196" t="s">
        <v>44</v>
      </c>
      <c r="H12" s="196">
        <v>1</v>
      </c>
      <c r="I12" s="198">
        <f>'orig const'!M20</f>
        <v>25.313214939149262</v>
      </c>
      <c r="J12" s="196"/>
      <c r="K12" s="196" t="s">
        <v>84</v>
      </c>
    </row>
    <row r="13" spans="1:11" x14ac:dyDescent="0.25">
      <c r="B13" s="196" t="s">
        <v>82</v>
      </c>
      <c r="C13" s="196"/>
      <c r="D13" s="196"/>
      <c r="E13" s="196" t="s">
        <v>83</v>
      </c>
      <c r="F13" s="196">
        <v>2011</v>
      </c>
      <c r="G13" s="196" t="s">
        <v>44</v>
      </c>
      <c r="H13" s="196">
        <v>1</v>
      </c>
      <c r="I13" s="198">
        <f>I12+(I14-I12)/5</f>
        <v>22.918825404608111</v>
      </c>
      <c r="J13" s="196">
        <v>5</v>
      </c>
      <c r="K13" s="196" t="s">
        <v>84</v>
      </c>
    </row>
    <row r="14" spans="1:11" x14ac:dyDescent="0.25">
      <c r="B14" s="196" t="s">
        <v>82</v>
      </c>
      <c r="C14" s="196"/>
      <c r="D14" s="196"/>
      <c r="E14" s="196" t="s">
        <v>83</v>
      </c>
      <c r="F14" s="196">
        <v>2015</v>
      </c>
      <c r="G14" s="196" t="s">
        <v>44</v>
      </c>
      <c r="H14" s="196">
        <v>1</v>
      </c>
      <c r="I14" s="198">
        <f>'orig const'!N20</f>
        <v>13.341267266443502</v>
      </c>
      <c r="J14" s="196">
        <v>5</v>
      </c>
      <c r="K14" s="196" t="s">
        <v>84</v>
      </c>
    </row>
    <row r="15" spans="1:11" x14ac:dyDescent="0.25">
      <c r="B15" s="196" t="s">
        <v>82</v>
      </c>
      <c r="C15" s="196"/>
      <c r="D15" s="196"/>
      <c r="E15" s="196" t="s">
        <v>83</v>
      </c>
      <c r="F15" s="196">
        <v>2020</v>
      </c>
      <c r="G15" s="196" t="s">
        <v>44</v>
      </c>
      <c r="H15" s="196">
        <v>1</v>
      </c>
      <c r="I15" s="198">
        <f>'orig const'!O20</f>
        <v>14.483976985330617</v>
      </c>
      <c r="J15" s="196">
        <v>5</v>
      </c>
      <c r="K15" s="196" t="s">
        <v>84</v>
      </c>
    </row>
    <row r="16" spans="1:11" x14ac:dyDescent="0.25">
      <c r="B16" s="196" t="s">
        <v>82</v>
      </c>
      <c r="C16" s="196"/>
      <c r="D16" s="196"/>
      <c r="E16" s="196" t="s">
        <v>83</v>
      </c>
      <c r="F16" s="196">
        <v>2025</v>
      </c>
      <c r="G16" s="196" t="s">
        <v>44</v>
      </c>
      <c r="H16" s="196">
        <v>1</v>
      </c>
      <c r="I16" s="198">
        <f>'orig const'!P20</f>
        <v>14.376036256986406</v>
      </c>
      <c r="J16" s="196">
        <v>5</v>
      </c>
      <c r="K16" s="196" t="s">
        <v>84</v>
      </c>
    </row>
    <row r="17" spans="2:11" x14ac:dyDescent="0.25">
      <c r="B17" s="196" t="s">
        <v>85</v>
      </c>
      <c r="C17" s="196"/>
      <c r="D17" s="196"/>
      <c r="E17" s="196" t="s">
        <v>87</v>
      </c>
      <c r="F17" s="196">
        <v>2010</v>
      </c>
      <c r="G17" s="196" t="s">
        <v>44</v>
      </c>
      <c r="H17" s="196">
        <v>1</v>
      </c>
      <c r="I17" s="198">
        <f>'orig const'!M23</f>
        <v>0</v>
      </c>
      <c r="J17" s="196"/>
      <c r="K17" s="196" t="s">
        <v>89</v>
      </c>
    </row>
    <row r="18" spans="2:11" x14ac:dyDescent="0.25">
      <c r="B18" s="196" t="s">
        <v>85</v>
      </c>
      <c r="C18" s="196"/>
      <c r="D18" s="196"/>
      <c r="E18" s="196" t="s">
        <v>87</v>
      </c>
      <c r="F18" s="196">
        <v>2011</v>
      </c>
      <c r="G18" s="196" t="s">
        <v>44</v>
      </c>
      <c r="H18" s="196">
        <v>1</v>
      </c>
      <c r="I18" s="198">
        <f>I17+(I19-I17)/5</f>
        <v>2.3489570024999225</v>
      </c>
      <c r="J18" s="196">
        <v>5</v>
      </c>
      <c r="K18" s="196" t="s">
        <v>89</v>
      </c>
    </row>
    <row r="19" spans="2:11" x14ac:dyDescent="0.25">
      <c r="B19" s="196" t="s">
        <v>85</v>
      </c>
      <c r="C19" s="196"/>
      <c r="D19" s="196"/>
      <c r="E19" s="196" t="s">
        <v>87</v>
      </c>
      <c r="F19" s="196">
        <v>2015</v>
      </c>
      <c r="G19" s="196" t="s">
        <v>44</v>
      </c>
      <c r="H19" s="196">
        <v>1</v>
      </c>
      <c r="I19" s="198">
        <f>'orig const'!N23</f>
        <v>11.744785012499612</v>
      </c>
      <c r="J19" s="196">
        <v>5</v>
      </c>
      <c r="K19" s="196" t="s">
        <v>89</v>
      </c>
    </row>
    <row r="20" spans="2:11" x14ac:dyDescent="0.25">
      <c r="B20" s="196" t="s">
        <v>85</v>
      </c>
      <c r="C20" s="196"/>
      <c r="D20" s="196"/>
      <c r="E20" s="196" t="s">
        <v>87</v>
      </c>
      <c r="F20" s="196">
        <v>2020</v>
      </c>
      <c r="G20" s="196" t="s">
        <v>44</v>
      </c>
      <c r="H20" s="196">
        <v>1</v>
      </c>
      <c r="I20" s="198">
        <f>'orig const'!O23</f>
        <v>3.9459884537396488</v>
      </c>
      <c r="J20" s="196">
        <v>5</v>
      </c>
      <c r="K20" s="196" t="s">
        <v>89</v>
      </c>
    </row>
    <row r="21" spans="2:11" x14ac:dyDescent="0.25">
      <c r="B21" s="196" t="s">
        <v>85</v>
      </c>
      <c r="C21" s="196"/>
      <c r="D21" s="196"/>
      <c r="E21" s="196" t="s">
        <v>87</v>
      </c>
      <c r="F21" s="196">
        <v>2025</v>
      </c>
      <c r="G21" s="196" t="s">
        <v>44</v>
      </c>
      <c r="H21" s="196">
        <v>1</v>
      </c>
      <c r="I21" s="198">
        <f>'orig const'!P23</f>
        <v>0</v>
      </c>
      <c r="J21" s="196">
        <v>5</v>
      </c>
      <c r="K21" s="196" t="s">
        <v>89</v>
      </c>
    </row>
    <row r="22" spans="2:11" x14ac:dyDescent="0.25">
      <c r="B22" s="196" t="s">
        <v>86</v>
      </c>
      <c r="C22" s="196" t="s">
        <v>70</v>
      </c>
      <c r="D22" s="196"/>
      <c r="E22" s="196" t="s">
        <v>88</v>
      </c>
      <c r="F22" s="196">
        <v>2010</v>
      </c>
      <c r="G22" s="196" t="s">
        <v>44</v>
      </c>
      <c r="H22" s="196">
        <v>1</v>
      </c>
      <c r="I22" s="198">
        <f>'orig const'!M25</f>
        <v>9.4642115772010182</v>
      </c>
      <c r="J22" s="196"/>
      <c r="K22" s="196" t="s">
        <v>90</v>
      </c>
    </row>
    <row r="23" spans="2:11" x14ac:dyDescent="0.25">
      <c r="B23" s="196" t="s">
        <v>86</v>
      </c>
      <c r="C23" s="196" t="s">
        <v>70</v>
      </c>
      <c r="D23" s="196"/>
      <c r="E23" s="196" t="s">
        <v>88</v>
      </c>
      <c r="F23" s="196">
        <v>2011</v>
      </c>
      <c r="G23" s="196" t="s">
        <v>44</v>
      </c>
      <c r="H23" s="196">
        <v>1</v>
      </c>
      <c r="I23" s="198">
        <f>I22+(I24-I22)/5</f>
        <v>7.5713692617608146</v>
      </c>
      <c r="J23" s="196">
        <v>5</v>
      </c>
      <c r="K23" s="196" t="s">
        <v>90</v>
      </c>
    </row>
    <row r="24" spans="2:11" x14ac:dyDescent="0.25">
      <c r="B24" s="196" t="s">
        <v>86</v>
      </c>
      <c r="C24" s="196" t="s">
        <v>70</v>
      </c>
      <c r="D24" s="196"/>
      <c r="E24" s="196" t="s">
        <v>88</v>
      </c>
      <c r="F24" s="196">
        <v>2015</v>
      </c>
      <c r="G24" s="196" t="s">
        <v>44</v>
      </c>
      <c r="H24" s="196">
        <v>1</v>
      </c>
      <c r="I24" s="198">
        <f>'orig const'!N25</f>
        <v>0</v>
      </c>
      <c r="J24" s="196">
        <v>5</v>
      </c>
      <c r="K24" s="196" t="s">
        <v>90</v>
      </c>
    </row>
    <row r="25" spans="2:11" x14ac:dyDescent="0.25">
      <c r="B25" s="196" t="s">
        <v>86</v>
      </c>
      <c r="C25" s="196" t="s">
        <v>70</v>
      </c>
      <c r="D25" s="196"/>
      <c r="E25" s="196" t="s">
        <v>88</v>
      </c>
      <c r="F25" s="196">
        <v>2020</v>
      </c>
      <c r="G25" s="196" t="s">
        <v>44</v>
      </c>
      <c r="H25" s="196">
        <v>1</v>
      </c>
      <c r="I25" s="198">
        <f>'orig const'!O25</f>
        <v>0</v>
      </c>
      <c r="J25" s="196">
        <v>5</v>
      </c>
      <c r="K25" s="196" t="s">
        <v>90</v>
      </c>
    </row>
    <row r="26" spans="2:11" x14ac:dyDescent="0.25">
      <c r="B26" s="196" t="s">
        <v>86</v>
      </c>
      <c r="C26" s="196" t="s">
        <v>70</v>
      </c>
      <c r="D26" s="196"/>
      <c r="E26" s="196" t="s">
        <v>88</v>
      </c>
      <c r="F26" s="196">
        <v>2025</v>
      </c>
      <c r="G26" s="196" t="s">
        <v>44</v>
      </c>
      <c r="H26" s="196">
        <v>1</v>
      </c>
      <c r="I26" s="198">
        <f>'orig const'!P25</f>
        <v>1.5036579516610082</v>
      </c>
      <c r="J26" s="196">
        <v>5</v>
      </c>
      <c r="K26" s="196" t="s">
        <v>90</v>
      </c>
    </row>
    <row r="27" spans="2:11" x14ac:dyDescent="0.25">
      <c r="B27" s="196" t="s">
        <v>250</v>
      </c>
      <c r="C27" s="196" t="s">
        <v>53</v>
      </c>
      <c r="D27" s="196"/>
      <c r="E27" s="196" t="s">
        <v>247</v>
      </c>
      <c r="F27" s="196">
        <v>2010</v>
      </c>
      <c r="G27" s="196" t="s">
        <v>44</v>
      </c>
      <c r="H27" s="196">
        <v>1</v>
      </c>
      <c r="I27" s="198">
        <f>'orig const'!M10</f>
        <v>1187.6223520556728</v>
      </c>
      <c r="J27" s="196"/>
      <c r="K27" s="196" t="s">
        <v>248</v>
      </c>
    </row>
    <row r="28" spans="2:11" x14ac:dyDescent="0.25">
      <c r="B28" s="196" t="s">
        <v>246</v>
      </c>
      <c r="C28" s="196" t="s">
        <v>53</v>
      </c>
      <c r="D28" s="196"/>
      <c r="E28" s="196" t="s">
        <v>247</v>
      </c>
      <c r="F28" s="196">
        <v>2011</v>
      </c>
      <c r="G28" s="196" t="s">
        <v>45</v>
      </c>
      <c r="H28" s="196">
        <v>1</v>
      </c>
      <c r="I28" s="198">
        <f>I27+(I29-I27)/5</f>
        <v>1219.3846144787783</v>
      </c>
      <c r="J28" s="196">
        <v>5</v>
      </c>
      <c r="K28" s="196" t="s">
        <v>249</v>
      </c>
    </row>
    <row r="29" spans="2:11" x14ac:dyDescent="0.25">
      <c r="B29" s="196" t="s">
        <v>246</v>
      </c>
      <c r="C29" s="196" t="s">
        <v>53</v>
      </c>
      <c r="D29" s="196"/>
      <c r="E29" s="196" t="s">
        <v>247</v>
      </c>
      <c r="F29" s="196">
        <v>2015</v>
      </c>
      <c r="G29" s="196" t="s">
        <v>45</v>
      </c>
      <c r="H29" s="196">
        <v>1</v>
      </c>
      <c r="I29" s="198">
        <f>'orig const'!Q12</f>
        <v>1346.4336641712002</v>
      </c>
      <c r="J29" s="196">
        <v>5</v>
      </c>
      <c r="K29" s="196" t="s">
        <v>249</v>
      </c>
    </row>
    <row r="30" spans="2:11" x14ac:dyDescent="0.25">
      <c r="B30" s="196" t="s">
        <v>246</v>
      </c>
      <c r="C30" s="196" t="s">
        <v>53</v>
      </c>
      <c r="D30" s="196"/>
      <c r="E30" s="196" t="s">
        <v>247</v>
      </c>
      <c r="F30" s="196">
        <v>2020</v>
      </c>
      <c r="G30" s="196" t="s">
        <v>45</v>
      </c>
      <c r="H30" s="196">
        <v>1</v>
      </c>
      <c r="I30" s="198">
        <f>'orig const'!R12</f>
        <v>1346.4336641712002</v>
      </c>
      <c r="J30" s="196">
        <v>5</v>
      </c>
      <c r="K30" s="196" t="s">
        <v>249</v>
      </c>
    </row>
    <row r="31" spans="2:11" x14ac:dyDescent="0.25">
      <c r="B31" s="196" t="s">
        <v>246</v>
      </c>
      <c r="C31" s="196" t="s">
        <v>53</v>
      </c>
      <c r="D31" s="196"/>
      <c r="E31" s="196" t="s">
        <v>247</v>
      </c>
      <c r="F31" s="196">
        <v>2055</v>
      </c>
      <c r="G31" s="196" t="s">
        <v>45</v>
      </c>
      <c r="H31" s="196">
        <v>1</v>
      </c>
      <c r="I31" s="198">
        <f>'orig const'!S12</f>
        <v>1346.4336641712002</v>
      </c>
      <c r="J31" s="196">
        <v>5</v>
      </c>
      <c r="K31" s="196" t="s">
        <v>249</v>
      </c>
    </row>
    <row r="32" spans="2:11" x14ac:dyDescent="0.25">
      <c r="B32" s="196" t="s">
        <v>91</v>
      </c>
      <c r="C32" s="196" t="s">
        <v>76</v>
      </c>
      <c r="D32" s="196"/>
      <c r="E32" s="196" t="s">
        <v>93</v>
      </c>
      <c r="F32" s="196">
        <v>2010</v>
      </c>
      <c r="G32" s="196" t="s">
        <v>44</v>
      </c>
      <c r="H32" s="196">
        <v>1</v>
      </c>
      <c r="I32" s="198">
        <f>'orig const'!M31</f>
        <v>12.054575556194266</v>
      </c>
      <c r="J32" s="196"/>
      <c r="K32" s="196" t="s">
        <v>92</v>
      </c>
    </row>
    <row r="33" spans="2:11" x14ac:dyDescent="0.25">
      <c r="B33" s="196" t="s">
        <v>91</v>
      </c>
      <c r="C33" s="196" t="s">
        <v>76</v>
      </c>
      <c r="D33" s="196"/>
      <c r="E33" s="196" t="s">
        <v>93</v>
      </c>
      <c r="F33" s="196">
        <v>2011</v>
      </c>
      <c r="G33" s="196" t="s">
        <v>44</v>
      </c>
      <c r="H33" s="196">
        <v>1</v>
      </c>
      <c r="I33" s="198">
        <f>I32+(I34-I32)/5</f>
        <v>14.465490667433119</v>
      </c>
      <c r="J33" s="196"/>
      <c r="K33" s="196" t="s">
        <v>92</v>
      </c>
    </row>
    <row r="34" spans="2:11" x14ac:dyDescent="0.25">
      <c r="B34" s="196" t="s">
        <v>91</v>
      </c>
      <c r="C34" s="196" t="s">
        <v>76</v>
      </c>
      <c r="D34" s="196"/>
      <c r="E34" s="196" t="s">
        <v>93</v>
      </c>
      <c r="F34" s="196">
        <v>2015</v>
      </c>
      <c r="G34" s="196" t="s">
        <v>44</v>
      </c>
      <c r="H34" s="196">
        <v>1</v>
      </c>
      <c r="I34" s="198">
        <f>'orig const'!N31</f>
        <v>24.109151112388531</v>
      </c>
      <c r="J34" s="196">
        <v>5</v>
      </c>
      <c r="K34" s="196" t="s">
        <v>92</v>
      </c>
    </row>
    <row r="35" spans="2:11" x14ac:dyDescent="0.25">
      <c r="B35" s="196" t="s">
        <v>91</v>
      </c>
      <c r="C35" s="196" t="s">
        <v>76</v>
      </c>
      <c r="D35" s="196"/>
      <c r="E35" s="196" t="s">
        <v>93</v>
      </c>
      <c r="F35" s="196">
        <v>2050</v>
      </c>
      <c r="G35" s="196" t="s">
        <v>44</v>
      </c>
      <c r="H35" s="196">
        <v>1</v>
      </c>
      <c r="I35" s="198">
        <f>I34*1.1</f>
        <v>26.520066223627385</v>
      </c>
      <c r="J35" s="196">
        <v>5</v>
      </c>
      <c r="K35" s="196" t="s">
        <v>92</v>
      </c>
    </row>
    <row r="36" spans="2:11" x14ac:dyDescent="0.25">
      <c r="B36" s="196" t="s">
        <v>258</v>
      </c>
      <c r="C36" s="196" t="s">
        <v>252</v>
      </c>
      <c r="D36" s="196"/>
      <c r="E36" s="196" t="s">
        <v>256</v>
      </c>
      <c r="F36" s="196">
        <v>2010</v>
      </c>
      <c r="G36" s="196" t="s">
        <v>29</v>
      </c>
      <c r="H36" s="196">
        <v>1</v>
      </c>
      <c r="I36" s="198">
        <v>300</v>
      </c>
      <c r="J36" s="196">
        <v>5</v>
      </c>
      <c r="K36" s="196" t="s">
        <v>257</v>
      </c>
    </row>
    <row r="37" spans="2:11" x14ac:dyDescent="0.25">
      <c r="B37" s="196" t="s">
        <v>258</v>
      </c>
      <c r="C37" s="196" t="s">
        <v>252</v>
      </c>
      <c r="D37" s="196"/>
      <c r="E37" s="196" t="s">
        <v>256</v>
      </c>
      <c r="F37" s="196">
        <v>2050</v>
      </c>
      <c r="G37" s="196" t="s">
        <v>29</v>
      </c>
      <c r="H37" s="196">
        <v>1</v>
      </c>
      <c r="I37" s="198">
        <f>I36*1.1</f>
        <v>330</v>
      </c>
      <c r="J37" s="196">
        <v>5</v>
      </c>
      <c r="K37" s="196" t="s">
        <v>257</v>
      </c>
    </row>
    <row r="38" spans="2:11" x14ac:dyDescent="0.25">
      <c r="B38" s="196" t="s">
        <v>255</v>
      </c>
      <c r="C38" s="196" t="s">
        <v>251</v>
      </c>
      <c r="D38" s="196"/>
      <c r="E38" s="196" t="s">
        <v>253</v>
      </c>
      <c r="F38" s="196">
        <v>2010</v>
      </c>
      <c r="G38" s="196" t="s">
        <v>29</v>
      </c>
      <c r="H38" s="196">
        <v>1</v>
      </c>
      <c r="I38" s="198">
        <v>150</v>
      </c>
      <c r="J38" s="196">
        <v>5</v>
      </c>
      <c r="K38" s="196" t="s">
        <v>254</v>
      </c>
    </row>
    <row r="39" spans="2:11" x14ac:dyDescent="0.25">
      <c r="B39" s="196" t="s">
        <v>255</v>
      </c>
      <c r="C39" s="196" t="s">
        <v>251</v>
      </c>
      <c r="D39" s="196"/>
      <c r="E39" s="196" t="s">
        <v>253</v>
      </c>
      <c r="F39" s="196">
        <v>2050</v>
      </c>
      <c r="G39" s="196" t="s">
        <v>29</v>
      </c>
      <c r="H39" s="196">
        <v>1</v>
      </c>
      <c r="I39" s="198">
        <v>150</v>
      </c>
      <c r="J39" s="196">
        <v>5</v>
      </c>
      <c r="K39" s="196" t="s">
        <v>254</v>
      </c>
    </row>
    <row r="40" spans="2:11" x14ac:dyDescent="0.25">
      <c r="B40" s="196"/>
      <c r="C40" s="196"/>
      <c r="D40" s="196"/>
      <c r="E40" s="196"/>
      <c r="F40" s="196"/>
      <c r="G40" s="196"/>
      <c r="H40" s="196"/>
      <c r="I40" s="198"/>
      <c r="J40" s="196"/>
      <c r="K40" s="196"/>
    </row>
    <row r="41" spans="2:11" x14ac:dyDescent="0.25">
      <c r="B41" s="196"/>
      <c r="C41" s="196"/>
      <c r="D41" s="196"/>
      <c r="E41" s="196"/>
      <c r="F41" s="196"/>
      <c r="G41" s="196"/>
      <c r="H41" s="196"/>
      <c r="I41" s="198"/>
      <c r="J41" s="196"/>
      <c r="K41" s="196"/>
    </row>
  </sheetData>
  <phoneticPr fontId="67" type="noConversion"/>
  <pageMargins left="0.7" right="0.7" top="0.75" bottom="0.75" header="0.3" footer="0.3"/>
  <pageSetup orientation="portrait" r:id="rId1"/>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B142"/>
  <sheetViews>
    <sheetView topLeftCell="C1" workbookViewId="0">
      <pane ySplit="8" topLeftCell="A9" activePane="bottomLeft" state="frozen"/>
      <selection activeCell="D1" sqref="D1"/>
      <selection pane="bottomLeft" activeCell="M18" sqref="M18"/>
    </sheetView>
  </sheetViews>
  <sheetFormatPr defaultColWidth="8.88671875" defaultRowHeight="13.2" x14ac:dyDescent="0.25"/>
  <cols>
    <col min="1" max="1" width="10.44140625" style="17" customWidth="1"/>
    <col min="2" max="2" width="14.109375" style="17" customWidth="1"/>
    <col min="3" max="3" width="29.88671875" style="17" customWidth="1"/>
    <col min="4" max="4" width="10.6640625" style="17" bestFit="1" customWidth="1"/>
    <col min="5" max="5" width="13.88671875" style="17" customWidth="1"/>
    <col min="6" max="6" width="12" style="17" customWidth="1"/>
    <col min="7" max="8" width="12.44140625" style="17" customWidth="1"/>
    <col min="9" max="9" width="14.44140625" style="17" customWidth="1"/>
    <col min="10" max="21" width="8.88671875" style="17"/>
    <col min="22" max="22" width="9.33203125" style="17" bestFit="1" customWidth="1"/>
    <col min="23" max="23" width="9.5546875" style="17" bestFit="1" customWidth="1"/>
    <col min="24" max="24" width="8.88671875" style="17"/>
    <col min="25" max="26" width="9.5546875" style="17" bestFit="1" customWidth="1"/>
    <col min="27" max="27" width="10.5546875" style="17" bestFit="1" customWidth="1"/>
    <col min="28" max="16384" width="8.88671875" style="17"/>
  </cols>
  <sheetData>
    <row r="1" spans="1:28" x14ac:dyDescent="0.25">
      <c r="A1" s="17" t="s">
        <v>38</v>
      </c>
    </row>
    <row r="2" spans="1:28" x14ac:dyDescent="0.25">
      <c r="A2" s="1" t="s">
        <v>37</v>
      </c>
      <c r="B2" s="18" t="s">
        <v>22</v>
      </c>
      <c r="T2" s="34" t="s">
        <v>38</v>
      </c>
      <c r="U2" s="34" t="s">
        <v>38</v>
      </c>
      <c r="V2" s="34" t="s">
        <v>38</v>
      </c>
      <c r="W2" s="34" t="s">
        <v>38</v>
      </c>
      <c r="X2" s="34" t="s">
        <v>38</v>
      </c>
      <c r="Y2" s="34" t="s">
        <v>38</v>
      </c>
      <c r="Z2" s="34" t="s">
        <v>38</v>
      </c>
      <c r="AA2" s="34" t="s">
        <v>38</v>
      </c>
    </row>
    <row r="3" spans="1:28" x14ac:dyDescent="0.25">
      <c r="F3" s="11"/>
      <c r="G3" s="11"/>
      <c r="H3" s="11"/>
      <c r="I3" s="11"/>
      <c r="J3" s="11"/>
      <c r="K3" s="11"/>
      <c r="L3" s="11"/>
      <c r="M3" s="11"/>
      <c r="N3" s="11"/>
      <c r="O3" s="11"/>
      <c r="P3" s="11"/>
      <c r="Q3" s="11"/>
      <c r="R3" s="11"/>
      <c r="S3" s="11"/>
      <c r="T3" s="35"/>
      <c r="U3" s="35"/>
      <c r="V3" s="35"/>
      <c r="W3" s="35"/>
      <c r="X3" s="35"/>
      <c r="Y3" s="35"/>
      <c r="Z3" s="35"/>
      <c r="AA3" s="35"/>
    </row>
    <row r="4" spans="1:28" x14ac:dyDescent="0.25">
      <c r="F4" s="11"/>
      <c r="G4" s="11"/>
      <c r="H4" s="11"/>
      <c r="I4" s="11"/>
      <c r="J4" s="11"/>
      <c r="K4" s="11"/>
      <c r="L4" s="11"/>
      <c r="M4" s="11"/>
      <c r="N4" s="11"/>
      <c r="O4" s="11"/>
      <c r="P4" s="11"/>
      <c r="Q4" s="11"/>
      <c r="R4" s="11"/>
      <c r="S4" s="11"/>
      <c r="T4" s="35"/>
      <c r="U4" s="35"/>
      <c r="V4" s="35"/>
      <c r="W4" s="35"/>
      <c r="X4" s="35"/>
      <c r="Y4" s="35"/>
      <c r="Z4" s="35"/>
      <c r="AA4" s="35"/>
    </row>
    <row r="5" spans="1:28" ht="17.25" customHeight="1" x14ac:dyDescent="0.25">
      <c r="F5" s="11"/>
      <c r="G5" s="11"/>
      <c r="H5" s="11"/>
      <c r="I5" s="11"/>
      <c r="J5" s="11"/>
      <c r="K5" s="11"/>
      <c r="L5" s="11"/>
      <c r="M5" s="11"/>
      <c r="N5" s="11"/>
      <c r="O5" s="11"/>
      <c r="P5" s="11"/>
      <c r="Q5" s="11"/>
      <c r="R5" s="11"/>
      <c r="S5" s="11"/>
      <c r="T5" s="35"/>
      <c r="U5" s="35"/>
      <c r="V5" s="35"/>
      <c r="W5" s="35"/>
      <c r="X5" s="35"/>
      <c r="Y5" s="35"/>
      <c r="Z5" s="35"/>
      <c r="AA5" s="35"/>
    </row>
    <row r="6" spans="1:28" s="22" customFormat="1" ht="26.4" x14ac:dyDescent="0.25">
      <c r="A6" s="17"/>
      <c r="B6" s="17"/>
      <c r="C6" s="17"/>
      <c r="D6" s="17"/>
      <c r="E6" s="17"/>
      <c r="F6" s="23" t="s">
        <v>39</v>
      </c>
      <c r="G6" s="24" t="s">
        <v>40</v>
      </c>
      <c r="H6" s="24" t="s">
        <v>41</v>
      </c>
      <c r="I6" s="23" t="s">
        <v>42</v>
      </c>
      <c r="J6" s="24" t="s">
        <v>43</v>
      </c>
      <c r="K6" s="24" t="s">
        <v>43</v>
      </c>
      <c r="L6" s="24" t="s">
        <v>43</v>
      </c>
      <c r="M6" s="24" t="s">
        <v>43</v>
      </c>
      <c r="N6" s="24" t="s">
        <v>43</v>
      </c>
      <c r="O6" s="24" t="s">
        <v>43</v>
      </c>
      <c r="P6" s="24" t="s">
        <v>43</v>
      </c>
      <c r="Q6" s="24" t="s">
        <v>43</v>
      </c>
      <c r="R6" s="24" t="s">
        <v>43</v>
      </c>
      <c r="S6" s="24" t="s">
        <v>43</v>
      </c>
      <c r="T6" s="36" t="s">
        <v>43</v>
      </c>
      <c r="U6" s="36" t="s">
        <v>43</v>
      </c>
      <c r="V6" s="36" t="s">
        <v>43</v>
      </c>
      <c r="W6" s="36" t="s">
        <v>43</v>
      </c>
      <c r="X6" s="36" t="s">
        <v>43</v>
      </c>
      <c r="Y6" s="36" t="s">
        <v>43</v>
      </c>
      <c r="Z6" s="36" t="s">
        <v>43</v>
      </c>
      <c r="AA6" s="36" t="s">
        <v>43</v>
      </c>
      <c r="AB6" s="23"/>
    </row>
    <row r="7" spans="1:28" s="22" customFormat="1" ht="17.25" customHeight="1" x14ac:dyDescent="0.25">
      <c r="A7" s="17"/>
      <c r="B7" s="17"/>
      <c r="C7" s="17"/>
      <c r="D7" s="17"/>
      <c r="E7" s="17"/>
      <c r="F7" s="24"/>
      <c r="G7" s="24"/>
      <c r="H7" s="24"/>
      <c r="I7" s="23" t="s">
        <v>29</v>
      </c>
      <c r="J7" s="24" t="s">
        <v>29</v>
      </c>
      <c r="K7" s="24" t="s">
        <v>29</v>
      </c>
      <c r="L7" s="24" t="s">
        <v>29</v>
      </c>
      <c r="M7" s="24" t="s">
        <v>44</v>
      </c>
      <c r="N7" s="24" t="s">
        <v>44</v>
      </c>
      <c r="O7" s="24" t="s">
        <v>44</v>
      </c>
      <c r="P7" s="24" t="s">
        <v>44</v>
      </c>
      <c r="Q7" s="24" t="s">
        <v>45</v>
      </c>
      <c r="R7" s="24" t="s">
        <v>45</v>
      </c>
      <c r="S7" s="24" t="s">
        <v>45</v>
      </c>
      <c r="T7" s="36" t="s">
        <v>46</v>
      </c>
      <c r="U7" s="36" t="s">
        <v>46</v>
      </c>
      <c r="V7" s="36" t="s">
        <v>46</v>
      </c>
      <c r="W7" s="36" t="s">
        <v>46</v>
      </c>
      <c r="X7" s="36" t="s">
        <v>46</v>
      </c>
      <c r="Y7" s="36" t="s">
        <v>46</v>
      </c>
      <c r="Z7" s="36" t="s">
        <v>46</v>
      </c>
      <c r="AA7" s="36" t="s">
        <v>46</v>
      </c>
    </row>
    <row r="8" spans="1:28" s="22" customFormat="1" ht="15.75" customHeight="1" x14ac:dyDescent="0.25">
      <c r="A8" s="17"/>
      <c r="B8" s="1" t="s">
        <v>13</v>
      </c>
      <c r="C8" s="1" t="s">
        <v>14</v>
      </c>
      <c r="D8" s="1" t="s">
        <v>10</v>
      </c>
      <c r="E8" s="1" t="s">
        <v>8</v>
      </c>
      <c r="F8" s="25" t="s">
        <v>47</v>
      </c>
      <c r="G8" s="25" t="s">
        <v>47</v>
      </c>
      <c r="H8" s="25" t="s">
        <v>47</v>
      </c>
      <c r="I8" s="25" t="s">
        <v>48</v>
      </c>
      <c r="J8" s="25">
        <v>2015</v>
      </c>
      <c r="K8" s="26">
        <v>2020</v>
      </c>
      <c r="L8" s="25" t="s">
        <v>24</v>
      </c>
      <c r="M8" s="26">
        <v>2010</v>
      </c>
      <c r="N8" s="25">
        <v>2015</v>
      </c>
      <c r="O8" s="26">
        <v>2020</v>
      </c>
      <c r="P8" s="25" t="s">
        <v>24</v>
      </c>
      <c r="Q8" s="25">
        <v>2015</v>
      </c>
      <c r="R8" s="26">
        <v>2020</v>
      </c>
      <c r="S8" s="25" t="s">
        <v>24</v>
      </c>
      <c r="T8" s="37">
        <v>2005</v>
      </c>
      <c r="U8" s="34">
        <v>2010</v>
      </c>
      <c r="V8" s="37">
        <v>2015</v>
      </c>
      <c r="W8" s="34">
        <v>2020</v>
      </c>
      <c r="X8" s="37" t="s">
        <v>24</v>
      </c>
      <c r="Y8" s="37">
        <v>2025</v>
      </c>
      <c r="Z8" s="37">
        <v>2030</v>
      </c>
      <c r="AA8" s="37">
        <v>2035</v>
      </c>
    </row>
    <row r="9" spans="1:28" x14ac:dyDescent="0.25">
      <c r="A9" s="18" t="s">
        <v>49</v>
      </c>
      <c r="B9" s="13" t="s">
        <v>50</v>
      </c>
      <c r="C9" s="12" t="s">
        <v>51</v>
      </c>
      <c r="D9" s="12" t="s">
        <v>52</v>
      </c>
      <c r="E9" s="13" t="s">
        <v>53</v>
      </c>
      <c r="F9" s="18">
        <v>1</v>
      </c>
      <c r="G9" s="18"/>
      <c r="H9" s="18"/>
      <c r="I9" s="18"/>
      <c r="J9" s="18"/>
      <c r="K9" s="18"/>
      <c r="L9" s="18"/>
      <c r="T9" s="35"/>
      <c r="U9" s="35"/>
      <c r="V9" s="35"/>
      <c r="W9" s="35"/>
      <c r="X9" s="35"/>
      <c r="Y9" s="35"/>
      <c r="Z9" s="35"/>
      <c r="AA9" s="35"/>
    </row>
    <row r="10" spans="1:28" x14ac:dyDescent="0.25">
      <c r="A10" s="18" t="s">
        <v>21</v>
      </c>
      <c r="B10" s="13" t="s">
        <v>50</v>
      </c>
      <c r="C10" s="12" t="s">
        <v>51</v>
      </c>
      <c r="D10" s="12" t="s">
        <v>52</v>
      </c>
      <c r="E10" s="13" t="s">
        <v>53</v>
      </c>
      <c r="F10" s="18"/>
      <c r="G10" s="18"/>
      <c r="H10" s="18"/>
      <c r="I10" s="18"/>
      <c r="J10" s="18"/>
      <c r="K10" s="18"/>
      <c r="L10" s="18"/>
      <c r="M10" s="40">
        <f>'RFS2 Volumes'!$L$32</f>
        <v>1187.6223520556728</v>
      </c>
      <c r="T10" s="35"/>
      <c r="U10" s="35"/>
      <c r="V10" s="35"/>
      <c r="W10" s="35"/>
      <c r="X10" s="35"/>
      <c r="Y10" s="35"/>
      <c r="Z10" s="35"/>
      <c r="AA10" s="35"/>
    </row>
    <row r="11" spans="1:28" x14ac:dyDescent="0.25">
      <c r="A11" s="18" t="s">
        <v>49</v>
      </c>
      <c r="B11" s="13" t="s">
        <v>54</v>
      </c>
      <c r="C11" s="12" t="s">
        <v>55</v>
      </c>
      <c r="D11" s="12" t="s">
        <v>52</v>
      </c>
      <c r="E11" s="13" t="s">
        <v>53</v>
      </c>
      <c r="F11" s="18">
        <v>1</v>
      </c>
      <c r="G11" s="18"/>
      <c r="H11" s="18"/>
      <c r="I11" s="18"/>
      <c r="J11" s="18"/>
      <c r="K11" s="18"/>
      <c r="L11" s="18"/>
      <c r="T11" s="35"/>
      <c r="U11" s="35"/>
      <c r="V11" s="35"/>
      <c r="W11" s="35"/>
      <c r="X11" s="35"/>
      <c r="Y11" s="35"/>
      <c r="Z11" s="35"/>
      <c r="AA11" s="35"/>
    </row>
    <row r="12" spans="1:28" x14ac:dyDescent="0.25">
      <c r="A12" s="18" t="s">
        <v>21</v>
      </c>
      <c r="B12" s="13" t="s">
        <v>54</v>
      </c>
      <c r="C12" s="12" t="s">
        <v>55</v>
      </c>
      <c r="D12" s="12" t="s">
        <v>52</v>
      </c>
      <c r="E12" s="13" t="s">
        <v>53</v>
      </c>
      <c r="F12" s="18"/>
      <c r="G12" s="18"/>
      <c r="H12" s="18"/>
      <c r="I12" s="18"/>
      <c r="M12" s="33"/>
      <c r="N12" s="11" t="str">
        <f>IF([2]Scenarios!$B$7="CAP",[2]Scenarios!I10,"")</f>
        <v/>
      </c>
      <c r="O12" s="11" t="str">
        <f>IF([2]Scenarios!$B$7="CAP",[2]Scenarios!J10,"")</f>
        <v/>
      </c>
      <c r="P12" s="11" t="str">
        <f>IF([2]Scenarios!$B$7="CAP",[2]Scenarios!K10,"")</f>
        <v/>
      </c>
      <c r="Q12" s="187">
        <f>IF(Scenarios!$B$8="RFS",Scenarios!I8,IF(Scenarios!$B$8="20%U",Scenarios!I9,IF(Scenarios!$B$8="20%D",Scenarios!I10,0)))</f>
        <v>1346.4336641712002</v>
      </c>
      <c r="R12" s="187">
        <f>IF(Scenarios!$B$8="RFS",Scenarios!J8,IF(Scenarios!$B$8="20%U",Scenarios!J9,IF(Scenarios!$B$8="20%D",Scenarios!J10,0)))</f>
        <v>1346.4336641712002</v>
      </c>
      <c r="S12" s="187">
        <f>IF(Scenarios!$B$8="RFS",Scenarios!K8,IF(Scenarios!$B$8="20%U",Scenarios!K9,IF(Scenarios!$B$8="20%D",Scenarios!K10,0)))</f>
        <v>1346.4336641712002</v>
      </c>
      <c r="T12" s="35"/>
      <c r="U12" s="38"/>
      <c r="V12" s="35"/>
      <c r="W12" s="35"/>
      <c r="X12" s="35"/>
      <c r="Y12" s="35"/>
      <c r="Z12" s="35"/>
      <c r="AA12" s="35"/>
    </row>
    <row r="13" spans="1:28" x14ac:dyDescent="0.25">
      <c r="Q13" s="11"/>
      <c r="R13" s="11"/>
      <c r="S13" s="11"/>
      <c r="T13" s="35"/>
      <c r="U13" s="35"/>
      <c r="V13" s="35"/>
      <c r="W13" s="35"/>
      <c r="X13" s="35"/>
      <c r="Y13" s="35"/>
      <c r="Z13" s="35"/>
      <c r="AA13" s="35"/>
    </row>
    <row r="14" spans="1:28" x14ac:dyDescent="0.25">
      <c r="A14" s="18" t="s">
        <v>23</v>
      </c>
      <c r="B14" s="13" t="s">
        <v>56</v>
      </c>
      <c r="C14" s="12" t="s">
        <v>57</v>
      </c>
      <c r="D14" s="12" t="s">
        <v>52</v>
      </c>
      <c r="E14" s="29" t="s">
        <v>58</v>
      </c>
      <c r="F14" s="17">
        <v>1</v>
      </c>
      <c r="G14" s="18"/>
      <c r="H14" s="18"/>
      <c r="Q14" s="11"/>
      <c r="R14" s="11"/>
      <c r="S14" s="11"/>
      <c r="T14" s="35"/>
      <c r="U14" s="35"/>
      <c r="V14" s="35"/>
      <c r="W14" s="35"/>
      <c r="X14" s="35"/>
      <c r="Y14" s="35"/>
      <c r="Z14" s="35"/>
      <c r="AA14" s="35"/>
    </row>
    <row r="15" spans="1:28" x14ac:dyDescent="0.25">
      <c r="A15" s="18" t="s">
        <v>21</v>
      </c>
      <c r="B15" s="13" t="s">
        <v>56</v>
      </c>
      <c r="C15" s="12" t="s">
        <v>57</v>
      </c>
      <c r="D15" s="12" t="s">
        <v>52</v>
      </c>
      <c r="E15" s="29" t="s">
        <v>58</v>
      </c>
      <c r="G15" s="18"/>
      <c r="H15" s="18"/>
      <c r="M15" s="40">
        <f>'RFS2 Volumes'!L34</f>
        <v>42.151173896926082</v>
      </c>
      <c r="Q15" s="11"/>
      <c r="R15" s="11"/>
      <c r="S15" s="11"/>
      <c r="T15" s="35"/>
      <c r="U15" s="35"/>
      <c r="V15" s="39">
        <f>'RFS2 Volumes'!$Q$41</f>
        <v>135.59579712000001</v>
      </c>
      <c r="W15" s="39">
        <f>'RFS2 Volumes'!$V$41</f>
        <v>135.59579712000001</v>
      </c>
      <c r="X15" s="39">
        <f>'RFS2 Volumes'!$X$41</f>
        <v>135.59579712000001</v>
      </c>
      <c r="Y15" s="35"/>
      <c r="Z15" s="35"/>
      <c r="AA15" s="35"/>
    </row>
    <row r="16" spans="1:28" x14ac:dyDescent="0.25">
      <c r="A16" s="18"/>
      <c r="G16" s="18"/>
      <c r="H16" s="18"/>
      <c r="Q16" s="11"/>
      <c r="R16" s="11"/>
      <c r="S16" s="11"/>
      <c r="T16" s="35"/>
      <c r="U16" s="35"/>
      <c r="V16" s="35"/>
      <c r="W16" s="35"/>
      <c r="X16" s="35"/>
      <c r="Y16" s="35"/>
      <c r="Z16" s="35"/>
      <c r="AA16" s="35"/>
    </row>
    <row r="17" spans="1:27" x14ac:dyDescent="0.25">
      <c r="A17" s="18" t="s">
        <v>23</v>
      </c>
      <c r="B17" s="13" t="s">
        <v>59</v>
      </c>
      <c r="C17" s="12" t="s">
        <v>60</v>
      </c>
      <c r="D17" s="12" t="s">
        <v>52</v>
      </c>
      <c r="E17" s="30" t="s">
        <v>61</v>
      </c>
      <c r="G17" s="18">
        <v>1</v>
      </c>
      <c r="H17" s="18"/>
      <c r="Q17" s="11"/>
      <c r="R17" s="11"/>
      <c r="S17" s="11"/>
      <c r="T17" s="35"/>
      <c r="U17" s="35"/>
      <c r="V17" s="35"/>
      <c r="W17" s="35"/>
      <c r="X17" s="35"/>
      <c r="Y17" s="35"/>
      <c r="Z17" s="35"/>
      <c r="AA17" s="35"/>
    </row>
    <row r="18" spans="1:27" x14ac:dyDescent="0.25">
      <c r="A18" s="18" t="s">
        <v>21</v>
      </c>
      <c r="B18" s="13" t="s">
        <v>59</v>
      </c>
      <c r="C18" s="12" t="s">
        <v>60</v>
      </c>
      <c r="D18" s="12" t="s">
        <v>52</v>
      </c>
      <c r="E18" s="30" t="s">
        <v>61</v>
      </c>
      <c r="G18" s="18"/>
      <c r="H18" s="18"/>
      <c r="M18" s="40">
        <f>'Int''l Exp+Imp'!F45</f>
        <v>15.985305338814399</v>
      </c>
      <c r="N18" s="40">
        <f>'Int''l Exp+Imp'!G45</f>
        <v>101.43929750030838</v>
      </c>
      <c r="O18" s="40">
        <f>'Int''l Exp+Imp'!H45</f>
        <v>269.28673283423996</v>
      </c>
      <c r="P18" s="40">
        <f>'Int''l Exp+Imp'!I45</f>
        <v>314.16785497328004</v>
      </c>
      <c r="Q18" s="11"/>
      <c r="R18" s="11"/>
      <c r="S18" s="11"/>
      <c r="T18" s="35"/>
      <c r="U18" s="35"/>
      <c r="V18" s="35"/>
      <c r="W18" s="35"/>
      <c r="X18" s="35"/>
      <c r="Y18" s="35"/>
      <c r="Z18" s="35"/>
      <c r="AA18" s="35"/>
    </row>
    <row r="19" spans="1:27" x14ac:dyDescent="0.25">
      <c r="A19" s="18" t="s">
        <v>23</v>
      </c>
      <c r="B19" s="29" t="s">
        <v>62</v>
      </c>
      <c r="C19" s="31" t="s">
        <v>63</v>
      </c>
      <c r="D19" s="31" t="s">
        <v>52</v>
      </c>
      <c r="E19" s="29" t="s">
        <v>64</v>
      </c>
      <c r="F19" s="17">
        <v>1</v>
      </c>
      <c r="G19" s="18"/>
      <c r="H19" s="18"/>
      <c r="M19" s="33"/>
      <c r="N19" s="33"/>
      <c r="O19" s="33"/>
      <c r="P19" s="33"/>
      <c r="Q19" s="11"/>
      <c r="R19" s="11"/>
      <c r="S19" s="11"/>
      <c r="T19" s="35"/>
      <c r="U19" s="35"/>
      <c r="V19" s="35"/>
      <c r="W19" s="35"/>
      <c r="X19" s="35"/>
      <c r="Y19" s="35"/>
      <c r="Z19" s="35"/>
      <c r="AA19" s="35"/>
    </row>
    <row r="20" spans="1:27" x14ac:dyDescent="0.25">
      <c r="A20" s="18" t="s">
        <v>21</v>
      </c>
      <c r="B20" s="29" t="s">
        <v>62</v>
      </c>
      <c r="C20" s="31" t="s">
        <v>63</v>
      </c>
      <c r="D20" s="31" t="s">
        <v>52</v>
      </c>
      <c r="E20" s="29" t="s">
        <v>64</v>
      </c>
      <c r="G20" s="18"/>
      <c r="H20" s="18"/>
      <c r="M20" s="40">
        <f>'Int''l Exp+Imp'!F47</f>
        <v>25.313214939149262</v>
      </c>
      <c r="N20" s="40">
        <f>'Int''l Exp+Imp'!G47</f>
        <v>13.341267266443502</v>
      </c>
      <c r="O20" s="40">
        <f>'Int''l Exp+Imp'!H47</f>
        <v>14.483976985330617</v>
      </c>
      <c r="P20" s="40">
        <f>'Int''l Exp+Imp'!I47</f>
        <v>14.376036256986406</v>
      </c>
      <c r="Q20" s="11"/>
      <c r="R20" s="11"/>
      <c r="S20" s="11"/>
      <c r="T20" s="35"/>
      <c r="U20" s="35"/>
      <c r="V20" s="35"/>
      <c r="W20" s="35"/>
      <c r="X20" s="35"/>
      <c r="Y20" s="35"/>
      <c r="Z20" s="35"/>
      <c r="AA20" s="35"/>
    </row>
    <row r="21" spans="1:27" x14ac:dyDescent="0.25">
      <c r="A21" s="18"/>
      <c r="B21" s="13"/>
      <c r="C21" s="12"/>
      <c r="D21" s="12"/>
      <c r="E21" s="30"/>
      <c r="G21" s="18"/>
      <c r="H21" s="18"/>
      <c r="M21" s="33"/>
      <c r="N21" s="33"/>
      <c r="O21" s="33"/>
      <c r="P21" s="33"/>
      <c r="Q21" s="11"/>
      <c r="R21" s="11"/>
      <c r="S21" s="11"/>
      <c r="T21" s="35"/>
      <c r="U21" s="35"/>
      <c r="V21" s="35"/>
      <c r="W21" s="35"/>
      <c r="X21" s="35"/>
      <c r="Y21" s="35"/>
      <c r="Z21" s="35"/>
      <c r="AA21" s="35"/>
    </row>
    <row r="22" spans="1:27" x14ac:dyDescent="0.25">
      <c r="A22" s="18" t="s">
        <v>23</v>
      </c>
      <c r="B22" s="29" t="s">
        <v>65</v>
      </c>
      <c r="C22" s="31" t="s">
        <v>66</v>
      </c>
      <c r="D22" s="31" t="s">
        <v>52</v>
      </c>
      <c r="E22" s="30" t="s">
        <v>67</v>
      </c>
      <c r="F22" s="11"/>
      <c r="G22" s="27">
        <v>1</v>
      </c>
      <c r="H22" s="27"/>
      <c r="M22" s="33"/>
      <c r="N22" s="33"/>
      <c r="O22" s="33"/>
      <c r="P22" s="33"/>
      <c r="Q22" s="11"/>
      <c r="R22" s="11"/>
      <c r="S22" s="11"/>
      <c r="T22" s="35"/>
      <c r="U22" s="35"/>
      <c r="V22" s="35"/>
      <c r="W22" s="35"/>
      <c r="X22" s="35"/>
      <c r="Y22" s="35"/>
      <c r="Z22" s="35"/>
      <c r="AA22" s="35"/>
    </row>
    <row r="23" spans="1:27" x14ac:dyDescent="0.25">
      <c r="A23" s="18" t="s">
        <v>21</v>
      </c>
      <c r="B23" s="29" t="s">
        <v>65</v>
      </c>
      <c r="C23" s="31" t="s">
        <v>66</v>
      </c>
      <c r="D23" s="31" t="s">
        <v>52</v>
      </c>
      <c r="E23" s="30" t="s">
        <v>67</v>
      </c>
      <c r="F23" s="11"/>
      <c r="G23" s="27"/>
      <c r="H23" s="18"/>
      <c r="M23" s="40">
        <f>'Int''l Exp+Imp'!F51</f>
        <v>0</v>
      </c>
      <c r="N23" s="40">
        <f>'Int''l Exp+Imp'!G51</f>
        <v>11.744785012499612</v>
      </c>
      <c r="O23" s="40">
        <f>'Int''l Exp+Imp'!H51</f>
        <v>3.9459884537396488</v>
      </c>
      <c r="P23" s="40">
        <f>'Int''l Exp+Imp'!I51</f>
        <v>0</v>
      </c>
      <c r="Q23" s="11"/>
      <c r="R23" s="11"/>
      <c r="S23" s="11"/>
      <c r="T23" s="35"/>
      <c r="U23" s="35"/>
      <c r="V23" s="35"/>
      <c r="W23" s="35"/>
      <c r="X23" s="35"/>
      <c r="Y23" s="35"/>
      <c r="Z23" s="35"/>
      <c r="AA23" s="35"/>
    </row>
    <row r="24" spans="1:27" x14ac:dyDescent="0.25">
      <c r="A24" s="18" t="s">
        <v>23</v>
      </c>
      <c r="B24" s="13" t="s">
        <v>68</v>
      </c>
      <c r="C24" s="12" t="s">
        <v>69</v>
      </c>
      <c r="D24" s="12" t="s">
        <v>52</v>
      </c>
      <c r="E24" s="13" t="s">
        <v>70</v>
      </c>
      <c r="F24" s="17">
        <v>1</v>
      </c>
      <c r="G24" s="18"/>
      <c r="H24" s="18"/>
      <c r="Q24" s="11"/>
      <c r="R24" s="11"/>
      <c r="S24" s="11"/>
      <c r="T24" s="35"/>
      <c r="U24" s="35"/>
      <c r="V24" s="35"/>
      <c r="W24" s="35"/>
      <c r="X24" s="35"/>
      <c r="Y24" s="35"/>
      <c r="Z24" s="35"/>
      <c r="AA24" s="35"/>
    </row>
    <row r="25" spans="1:27" x14ac:dyDescent="0.25">
      <c r="A25" s="18" t="s">
        <v>21</v>
      </c>
      <c r="B25" s="13" t="s">
        <v>68</v>
      </c>
      <c r="C25" s="12" t="s">
        <v>69</v>
      </c>
      <c r="D25" s="12" t="s">
        <v>52</v>
      </c>
      <c r="E25" s="13" t="s">
        <v>70</v>
      </c>
      <c r="M25" s="41">
        <f>'Int''l Exp+Imp'!F53</f>
        <v>9.4642115772010182</v>
      </c>
      <c r="N25" s="41">
        <f>'Int''l Exp+Imp'!G53</f>
        <v>0</v>
      </c>
      <c r="O25" s="41">
        <f>'Int''l Exp+Imp'!H53</f>
        <v>0</v>
      </c>
      <c r="P25" s="41">
        <f>'Int''l Exp+Imp'!I53</f>
        <v>1.5036579516610082</v>
      </c>
      <c r="Q25" s="11"/>
      <c r="R25" s="11"/>
      <c r="S25" s="11"/>
      <c r="T25" s="35"/>
      <c r="U25" s="35"/>
      <c r="V25" s="35"/>
      <c r="W25" s="35"/>
      <c r="X25" s="35"/>
      <c r="Y25" s="35"/>
      <c r="Z25" s="35"/>
      <c r="AA25" s="35"/>
    </row>
    <row r="26" spans="1:27" x14ac:dyDescent="0.25">
      <c r="A26" s="18"/>
      <c r="B26" s="13"/>
      <c r="C26" s="12"/>
      <c r="D26" s="12"/>
      <c r="E26" s="13"/>
      <c r="Q26" s="11"/>
      <c r="R26" s="11"/>
      <c r="S26" s="11"/>
      <c r="T26" s="35"/>
      <c r="U26" s="35"/>
      <c r="V26" s="35"/>
      <c r="W26" s="35"/>
      <c r="X26" s="35"/>
      <c r="Y26" s="35"/>
      <c r="Z26" s="35"/>
      <c r="AA26" s="35"/>
    </row>
    <row r="27" spans="1:27" x14ac:dyDescent="0.25">
      <c r="A27" s="18" t="s">
        <v>23</v>
      </c>
      <c r="B27" s="29" t="s">
        <v>71</v>
      </c>
      <c r="C27" s="31" t="s">
        <v>72</v>
      </c>
      <c r="D27" s="31" t="s">
        <v>52</v>
      </c>
      <c r="E27" s="32" t="s">
        <v>73</v>
      </c>
      <c r="G27" s="11" t="str">
        <f>IF([2]Scenarios!$B$18="Y",1,"")</f>
        <v/>
      </c>
      <c r="H27" s="11">
        <v>1</v>
      </c>
      <c r="I27" s="11"/>
      <c r="J27" s="11"/>
      <c r="Q27" s="11"/>
      <c r="R27" s="11"/>
      <c r="S27" s="11"/>
      <c r="T27" s="35"/>
      <c r="U27" s="35"/>
      <c r="V27" s="35"/>
      <c r="W27" s="35"/>
      <c r="X27" s="35"/>
      <c r="Y27" s="35"/>
      <c r="Z27" s="35"/>
      <c r="AA27" s="35"/>
    </row>
    <row r="28" spans="1:27" x14ac:dyDescent="0.25">
      <c r="A28" s="18" t="s">
        <v>21</v>
      </c>
      <c r="B28" s="29" t="s">
        <v>71</v>
      </c>
      <c r="C28" s="31" t="s">
        <v>72</v>
      </c>
      <c r="D28" s="31" t="s">
        <v>52</v>
      </c>
      <c r="E28" s="32" t="s">
        <v>73</v>
      </c>
      <c r="H28" s="11"/>
      <c r="I28" s="11"/>
      <c r="J28" s="28">
        <f>'RFS2 Volumes'!$Q$40</f>
        <v>269.28673283424001</v>
      </c>
      <c r="M28" s="33">
        <f>'RFS2 Volumes'!$L$40</f>
        <v>0</v>
      </c>
      <c r="Q28" s="11">
        <f>IF(Scenarios!$B$14="RFS",Scenarios!I14,IF(Scenarios!$B$14="20%U",Scenarios!I15,IF(Scenarios!$B$14="20%D",Scenarios!I16,0)))</f>
        <v>0</v>
      </c>
      <c r="R28" s="11">
        <f>IF(Scenarios!$B$14="RFS",Scenarios!J14,IF(Scenarios!$B$14="20%U",Scenarios!J15,IF(Scenarios!$B$14="20%D",Scenarios!J16,0)))</f>
        <v>0</v>
      </c>
      <c r="S28" s="11">
        <f>IF(Scenarios!$B$14="RFS",Scenarios!K14,IF(Scenarios!$B$14="20%U",Scenarios!K15,IF(Scenarios!$B$14="20%D",Scenarios!K16,0)))</f>
        <v>0</v>
      </c>
      <c r="T28" s="35"/>
      <c r="U28" s="35"/>
      <c r="V28" s="39">
        <f>'RFS2 Volumes'!$Q$40</f>
        <v>269.28673283424001</v>
      </c>
      <c r="W28" s="39">
        <f>'RFS2 Volumes'!$V$40</f>
        <v>942.50356491984007</v>
      </c>
      <c r="X28" s="39">
        <f>'RFS2 Volumes'!$X$40</f>
        <v>1436.1959084492801</v>
      </c>
      <c r="Y28" s="35"/>
      <c r="Z28" s="35"/>
      <c r="AA28" s="35"/>
    </row>
    <row r="29" spans="1:27" x14ac:dyDescent="0.25">
      <c r="A29" s="18"/>
      <c r="B29" s="13"/>
      <c r="C29" s="12"/>
      <c r="D29" s="12"/>
      <c r="E29" s="13"/>
      <c r="H29" s="11"/>
      <c r="I29" s="11"/>
      <c r="J29" s="11"/>
      <c r="T29" s="35"/>
      <c r="U29" s="35"/>
      <c r="V29" s="35"/>
      <c r="W29" s="35"/>
      <c r="X29" s="35"/>
      <c r="Y29" s="35"/>
      <c r="Z29" s="35"/>
      <c r="AA29" s="35"/>
    </row>
    <row r="30" spans="1:27" x14ac:dyDescent="0.25">
      <c r="A30" s="18" t="s">
        <v>23</v>
      </c>
      <c r="B30" s="13" t="s">
        <v>74</v>
      </c>
      <c r="C30" s="12" t="s">
        <v>75</v>
      </c>
      <c r="D30" s="31" t="s">
        <v>52</v>
      </c>
      <c r="E30" s="13" t="s">
        <v>76</v>
      </c>
      <c r="F30" s="17">
        <v>1</v>
      </c>
      <c r="T30" s="35"/>
      <c r="U30" s="35"/>
      <c r="V30" s="39">
        <f>'RFS2 Volumes'!$C$47</f>
        <v>9.0650411520000009</v>
      </c>
      <c r="W30" s="39">
        <f>'RFS2 Volumes'!$D$47</f>
        <v>277.85110771199999</v>
      </c>
      <c r="X30" s="39"/>
      <c r="Y30" s="39">
        <f>'RFS2 Volumes'!$E$47</f>
        <v>423.12915374400001</v>
      </c>
      <c r="Z30" s="39">
        <f>'RFS2 Volumes'!$F$47</f>
        <v>948.44681142400009</v>
      </c>
      <c r="AA30" s="39">
        <f>'RFS2 Volumes'!$G$47</f>
        <v>1383.423188992</v>
      </c>
    </row>
    <row r="31" spans="1:27" x14ac:dyDescent="0.25">
      <c r="A31" s="18" t="s">
        <v>21</v>
      </c>
      <c r="B31" s="13" t="s">
        <v>74</v>
      </c>
      <c r="C31" s="12" t="s">
        <v>75</v>
      </c>
      <c r="D31" s="31" t="s">
        <v>52</v>
      </c>
      <c r="E31" s="13" t="s">
        <v>76</v>
      </c>
      <c r="M31" s="40">
        <f>'Alt Fuel Vols'!F33</f>
        <v>12.054575556194266</v>
      </c>
      <c r="N31" s="40">
        <f>M31*2</f>
        <v>24.109151112388531</v>
      </c>
      <c r="T31" s="35"/>
      <c r="U31" s="35"/>
      <c r="V31" s="35"/>
      <c r="W31" s="35"/>
      <c r="X31" s="35"/>
      <c r="Y31" s="35"/>
      <c r="Z31" s="35"/>
      <c r="AA31" s="35"/>
    </row>
    <row r="32" spans="1:27" x14ac:dyDescent="0.25">
      <c r="T32" s="35"/>
      <c r="U32" s="35"/>
      <c r="V32" s="35"/>
      <c r="W32" s="35"/>
      <c r="X32" s="35"/>
      <c r="Y32" s="35"/>
      <c r="Z32" s="35"/>
      <c r="AA32" s="35"/>
    </row>
    <row r="33" spans="1:27" x14ac:dyDescent="0.25">
      <c r="A33" s="18"/>
      <c r="F33" s="11"/>
      <c r="G33" s="11"/>
      <c r="H33" s="11"/>
      <c r="I33" s="11"/>
      <c r="J33" s="11"/>
      <c r="K33" s="11"/>
      <c r="L33" s="11"/>
      <c r="M33" s="11"/>
      <c r="N33" s="11"/>
      <c r="O33" s="11"/>
      <c r="P33" s="11"/>
      <c r="Q33" s="11"/>
      <c r="R33" s="11"/>
      <c r="S33" s="11"/>
      <c r="T33" s="35"/>
      <c r="U33" s="35"/>
      <c r="V33" s="35"/>
      <c r="W33" s="35"/>
      <c r="X33" s="35"/>
      <c r="Y33" s="35"/>
      <c r="Z33" s="35"/>
      <c r="AA33" s="35"/>
    </row>
    <row r="34" spans="1:27" x14ac:dyDescent="0.25">
      <c r="F34" s="11"/>
      <c r="G34" s="11"/>
      <c r="H34" s="11"/>
      <c r="I34" s="11"/>
      <c r="J34" s="11"/>
      <c r="K34" s="11"/>
      <c r="L34" s="11"/>
      <c r="M34" s="11"/>
      <c r="N34" s="11"/>
      <c r="O34" s="11"/>
      <c r="P34" s="11"/>
      <c r="Q34" s="11"/>
      <c r="R34" s="11"/>
      <c r="S34" s="11"/>
      <c r="T34" s="35"/>
      <c r="U34" s="35"/>
      <c r="V34" s="35"/>
      <c r="W34" s="35"/>
      <c r="X34" s="35"/>
      <c r="Y34" s="35"/>
      <c r="Z34" s="35"/>
      <c r="AA34" s="35"/>
    </row>
    <row r="35" spans="1:27" x14ac:dyDescent="0.25">
      <c r="F35" s="11"/>
      <c r="G35" s="11"/>
      <c r="H35" s="11"/>
      <c r="I35" s="11"/>
      <c r="J35" s="11"/>
      <c r="K35" s="11"/>
      <c r="L35" s="11"/>
      <c r="M35" s="11"/>
      <c r="N35" s="11"/>
      <c r="O35" s="11"/>
      <c r="P35" s="11"/>
      <c r="Q35" s="11"/>
      <c r="R35" s="11"/>
      <c r="S35" s="11"/>
      <c r="T35" s="35"/>
      <c r="U35" s="35"/>
      <c r="V35" s="35"/>
      <c r="W35" s="35"/>
      <c r="X35" s="35"/>
      <c r="Y35" s="35"/>
      <c r="Z35" s="35"/>
      <c r="AA35" s="35"/>
    </row>
    <row r="36" spans="1:27" x14ac:dyDescent="0.25">
      <c r="F36" s="11"/>
      <c r="G36" s="11"/>
      <c r="H36" s="11"/>
      <c r="I36" s="11"/>
      <c r="J36" s="11"/>
      <c r="K36" s="11"/>
      <c r="L36" s="11"/>
      <c r="M36" s="11"/>
      <c r="N36" s="11"/>
      <c r="O36" s="11"/>
      <c r="P36" s="11"/>
      <c r="Q36" s="11"/>
      <c r="R36" s="11"/>
      <c r="S36" s="11"/>
      <c r="T36" s="35"/>
      <c r="U36" s="35"/>
      <c r="V36" s="35"/>
      <c r="W36" s="35"/>
      <c r="X36" s="35"/>
      <c r="Y36" s="35"/>
      <c r="Z36" s="35"/>
      <c r="AA36" s="35"/>
    </row>
    <row r="37" spans="1:27" x14ac:dyDescent="0.25">
      <c r="F37" s="11"/>
      <c r="G37" s="11"/>
      <c r="H37" s="11"/>
      <c r="I37" s="11"/>
      <c r="J37" s="11"/>
      <c r="K37" s="11"/>
      <c r="L37" s="11"/>
      <c r="M37" s="11"/>
      <c r="N37" s="11"/>
      <c r="O37" s="11"/>
      <c r="P37" s="11"/>
      <c r="Q37" s="11"/>
      <c r="R37" s="11"/>
      <c r="S37" s="11"/>
      <c r="T37" s="35"/>
      <c r="U37" s="35"/>
      <c r="V37" s="35"/>
      <c r="W37" s="35"/>
      <c r="X37" s="35"/>
      <c r="Y37" s="35"/>
      <c r="Z37" s="35"/>
      <c r="AA37" s="35"/>
    </row>
    <row r="38" spans="1:27" x14ac:dyDescent="0.25">
      <c r="F38" s="11"/>
      <c r="G38" s="11"/>
      <c r="H38" s="11"/>
      <c r="I38" s="11"/>
      <c r="J38" s="11"/>
      <c r="K38" s="11"/>
      <c r="L38" s="11"/>
      <c r="M38" s="11"/>
      <c r="N38" s="11"/>
      <c r="O38" s="11"/>
      <c r="P38" s="11"/>
      <c r="Q38" s="11"/>
      <c r="R38" s="11"/>
      <c r="S38" s="11"/>
      <c r="T38" s="35"/>
      <c r="U38" s="35"/>
      <c r="V38" s="35"/>
      <c r="W38" s="35"/>
      <c r="X38" s="35"/>
      <c r="Y38" s="35"/>
      <c r="Z38" s="35"/>
      <c r="AA38" s="35"/>
    </row>
    <row r="39" spans="1:27" x14ac:dyDescent="0.25">
      <c r="F39" s="11"/>
      <c r="G39" s="11"/>
      <c r="H39" s="11"/>
      <c r="I39" s="11"/>
      <c r="J39" s="11"/>
      <c r="K39" s="11"/>
      <c r="L39" s="11"/>
      <c r="M39" s="11"/>
      <c r="N39" s="11"/>
      <c r="O39" s="11"/>
      <c r="P39" s="11"/>
      <c r="Q39" s="11"/>
      <c r="R39" s="11"/>
      <c r="S39" s="11"/>
      <c r="T39" s="35"/>
      <c r="U39" s="35"/>
      <c r="V39" s="35"/>
      <c r="W39" s="35"/>
      <c r="X39" s="35"/>
      <c r="Y39" s="35"/>
      <c r="Z39" s="35"/>
      <c r="AA39" s="35"/>
    </row>
    <row r="40" spans="1:27" x14ac:dyDescent="0.25">
      <c r="F40" s="11"/>
      <c r="G40" s="11"/>
      <c r="H40" s="11"/>
      <c r="I40" s="11"/>
      <c r="J40" s="11"/>
      <c r="K40" s="11"/>
      <c r="L40" s="11"/>
      <c r="M40" s="11"/>
      <c r="N40" s="11"/>
      <c r="O40" s="11"/>
      <c r="P40" s="11"/>
      <c r="Q40" s="11"/>
      <c r="R40" s="11"/>
      <c r="S40" s="11"/>
      <c r="T40" s="35"/>
      <c r="U40" s="35"/>
      <c r="V40" s="35"/>
      <c r="W40" s="35"/>
      <c r="X40" s="35"/>
      <c r="Y40" s="35"/>
      <c r="Z40" s="35"/>
      <c r="AA40" s="35"/>
    </row>
    <row r="41" spans="1:27" x14ac:dyDescent="0.25">
      <c r="F41" s="11"/>
      <c r="G41" s="11"/>
      <c r="H41" s="11"/>
      <c r="I41" s="11"/>
      <c r="J41" s="11"/>
      <c r="K41" s="11"/>
      <c r="L41" s="11"/>
      <c r="M41" s="11"/>
      <c r="N41" s="11"/>
      <c r="O41" s="11"/>
      <c r="P41" s="11"/>
      <c r="Q41" s="11"/>
      <c r="R41" s="11"/>
      <c r="S41" s="11"/>
      <c r="T41" s="11"/>
      <c r="U41" s="11"/>
      <c r="V41" s="11"/>
      <c r="W41" s="11"/>
      <c r="X41" s="11"/>
    </row>
    <row r="42" spans="1:27" x14ac:dyDescent="0.25">
      <c r="F42" s="11"/>
      <c r="G42" s="11"/>
      <c r="H42" s="11"/>
      <c r="I42" s="11"/>
      <c r="J42" s="11"/>
      <c r="K42" s="11"/>
      <c r="L42" s="11"/>
      <c r="M42" s="11"/>
      <c r="N42" s="11"/>
      <c r="O42" s="11"/>
      <c r="P42" s="11"/>
      <c r="Q42" s="11"/>
      <c r="R42" s="11"/>
      <c r="S42" s="11"/>
      <c r="T42" s="11"/>
      <c r="U42" s="11"/>
      <c r="V42" s="11"/>
      <c r="W42" s="11"/>
      <c r="X42" s="11"/>
    </row>
    <row r="43" spans="1:27" x14ac:dyDescent="0.25">
      <c r="F43" s="11"/>
      <c r="G43" s="11"/>
      <c r="H43" s="11"/>
      <c r="I43" s="11"/>
      <c r="J43" s="11"/>
      <c r="K43" s="11"/>
      <c r="L43" s="11"/>
      <c r="M43" s="11"/>
      <c r="N43" s="11"/>
      <c r="O43" s="11"/>
      <c r="P43" s="11"/>
      <c r="Q43" s="11"/>
      <c r="R43" s="11"/>
      <c r="S43" s="11"/>
      <c r="T43" s="11"/>
      <c r="U43" s="11"/>
      <c r="V43" s="11"/>
      <c r="W43" s="11"/>
      <c r="X43" s="11"/>
    </row>
    <row r="44" spans="1:27" x14ac:dyDescent="0.25">
      <c r="F44" s="11"/>
      <c r="G44" s="11"/>
      <c r="H44" s="11"/>
      <c r="I44" s="11"/>
      <c r="J44" s="11"/>
      <c r="K44" s="11"/>
      <c r="L44" s="11"/>
      <c r="M44" s="11"/>
      <c r="N44" s="11"/>
      <c r="O44" s="11"/>
      <c r="P44" s="11"/>
      <c r="Q44" s="11"/>
      <c r="R44" s="11"/>
      <c r="S44" s="11"/>
      <c r="T44" s="11"/>
      <c r="U44" s="11"/>
      <c r="V44" s="11"/>
      <c r="W44" s="11"/>
      <c r="X44" s="11"/>
    </row>
    <row r="45" spans="1:27" x14ac:dyDescent="0.25">
      <c r="F45" s="11"/>
      <c r="G45" s="11"/>
      <c r="H45" s="11"/>
      <c r="I45" s="11"/>
      <c r="J45" s="11"/>
      <c r="K45" s="11"/>
      <c r="L45" s="11"/>
      <c r="M45" s="11"/>
      <c r="N45" s="11"/>
      <c r="O45" s="11"/>
      <c r="P45" s="11"/>
      <c r="Q45" s="11"/>
      <c r="R45" s="11"/>
      <c r="S45" s="11"/>
      <c r="T45" s="11"/>
      <c r="U45" s="11"/>
      <c r="V45" s="11"/>
      <c r="W45" s="11"/>
      <c r="X45" s="11"/>
    </row>
    <row r="46" spans="1:27" x14ac:dyDescent="0.25">
      <c r="F46" s="11"/>
      <c r="G46" s="11"/>
      <c r="H46" s="11"/>
      <c r="I46" s="11"/>
      <c r="J46" s="11"/>
      <c r="K46" s="11"/>
      <c r="L46" s="11"/>
      <c r="M46" s="11"/>
      <c r="N46" s="11"/>
      <c r="O46" s="11"/>
      <c r="P46" s="11"/>
      <c r="Q46" s="11"/>
      <c r="R46" s="11"/>
      <c r="S46" s="11"/>
      <c r="T46" s="11"/>
      <c r="U46" s="11"/>
      <c r="V46" s="11"/>
      <c r="W46" s="11"/>
      <c r="X46" s="11"/>
    </row>
    <row r="47" spans="1:27" x14ac:dyDescent="0.25">
      <c r="F47" s="11"/>
      <c r="G47" s="11"/>
      <c r="H47" s="11"/>
      <c r="I47" s="11"/>
      <c r="J47" s="11"/>
      <c r="K47" s="11"/>
      <c r="L47" s="11"/>
      <c r="M47" s="11"/>
      <c r="N47" s="11"/>
      <c r="O47" s="11"/>
      <c r="P47" s="11"/>
      <c r="Q47" s="11"/>
      <c r="R47" s="11"/>
      <c r="S47" s="11"/>
      <c r="T47" s="11"/>
      <c r="U47" s="11"/>
      <c r="V47" s="11"/>
      <c r="W47" s="11"/>
      <c r="X47" s="11"/>
    </row>
    <row r="48" spans="1:27" x14ac:dyDescent="0.25">
      <c r="F48" s="11"/>
      <c r="G48" s="11"/>
      <c r="H48" s="11"/>
      <c r="I48" s="11"/>
      <c r="J48" s="11"/>
      <c r="K48" s="11"/>
      <c r="L48" s="11"/>
      <c r="M48" s="11"/>
      <c r="N48" s="11"/>
      <c r="O48" s="11"/>
      <c r="P48" s="11"/>
      <c r="Q48" s="11"/>
      <c r="R48" s="11"/>
      <c r="S48" s="11"/>
      <c r="T48" s="11"/>
      <c r="U48" s="11"/>
      <c r="V48" s="11"/>
      <c r="W48" s="11"/>
      <c r="X48" s="11"/>
    </row>
    <row r="49" spans="6:24" x14ac:dyDescent="0.25">
      <c r="F49" s="11"/>
      <c r="G49" s="11"/>
      <c r="H49" s="11"/>
      <c r="I49" s="11"/>
      <c r="J49" s="11"/>
      <c r="K49" s="11"/>
      <c r="L49" s="11"/>
      <c r="M49" s="11"/>
      <c r="N49" s="11"/>
      <c r="O49" s="11"/>
      <c r="P49" s="11"/>
      <c r="Q49" s="11"/>
      <c r="R49" s="11"/>
      <c r="S49" s="11"/>
      <c r="T49" s="11"/>
      <c r="U49" s="11"/>
      <c r="V49" s="11"/>
      <c r="W49" s="11"/>
      <c r="X49" s="11"/>
    </row>
    <row r="50" spans="6:24" x14ac:dyDescent="0.25">
      <c r="F50" s="11"/>
      <c r="G50" s="11"/>
      <c r="H50" s="11"/>
      <c r="I50" s="11"/>
      <c r="J50" s="11"/>
      <c r="K50" s="11"/>
      <c r="L50" s="11"/>
      <c r="M50" s="11"/>
      <c r="N50" s="11"/>
      <c r="O50" s="11"/>
      <c r="P50" s="11"/>
      <c r="Q50" s="11"/>
      <c r="R50" s="11"/>
      <c r="S50" s="11"/>
      <c r="T50" s="11"/>
      <c r="U50" s="11"/>
      <c r="V50" s="11"/>
      <c r="W50" s="11"/>
      <c r="X50" s="11"/>
    </row>
    <row r="51" spans="6:24" x14ac:dyDescent="0.25">
      <c r="F51" s="11"/>
      <c r="G51" s="11"/>
      <c r="H51" s="11"/>
      <c r="I51" s="11"/>
      <c r="J51" s="11"/>
      <c r="K51" s="11"/>
      <c r="L51" s="11"/>
      <c r="M51" s="11"/>
      <c r="N51" s="11"/>
      <c r="O51" s="11"/>
      <c r="P51" s="11"/>
      <c r="Q51" s="11"/>
      <c r="R51" s="11"/>
      <c r="S51" s="11"/>
      <c r="T51" s="11"/>
      <c r="U51" s="11"/>
      <c r="V51" s="11"/>
      <c r="W51" s="11"/>
      <c r="X51" s="11"/>
    </row>
    <row r="52" spans="6:24" x14ac:dyDescent="0.25">
      <c r="F52" s="11"/>
      <c r="G52" s="11"/>
      <c r="H52" s="11"/>
      <c r="I52" s="11"/>
      <c r="J52" s="11"/>
      <c r="K52" s="11"/>
      <c r="L52" s="11"/>
      <c r="M52" s="11"/>
      <c r="N52" s="11"/>
      <c r="O52" s="11"/>
      <c r="P52" s="11"/>
      <c r="Q52" s="11"/>
      <c r="R52" s="11"/>
      <c r="S52" s="11"/>
      <c r="T52" s="11"/>
      <c r="U52" s="11"/>
      <c r="V52" s="11"/>
      <c r="W52" s="11"/>
      <c r="X52" s="11"/>
    </row>
    <row r="53" spans="6:24" x14ac:dyDescent="0.25">
      <c r="F53" s="11"/>
      <c r="G53" s="11"/>
      <c r="H53" s="11"/>
      <c r="I53" s="11"/>
      <c r="J53" s="11"/>
      <c r="K53" s="11"/>
      <c r="L53" s="11"/>
      <c r="M53" s="11"/>
      <c r="N53" s="11"/>
      <c r="O53" s="11"/>
      <c r="P53" s="11"/>
      <c r="Q53" s="11"/>
      <c r="R53" s="11"/>
      <c r="S53" s="11"/>
      <c r="T53" s="11"/>
      <c r="U53" s="11"/>
      <c r="V53" s="11"/>
      <c r="W53" s="11"/>
      <c r="X53" s="11"/>
    </row>
    <row r="54" spans="6:24" x14ac:dyDescent="0.25">
      <c r="F54" s="11"/>
      <c r="G54" s="11"/>
      <c r="H54" s="11"/>
      <c r="I54" s="11"/>
      <c r="J54" s="11"/>
      <c r="K54" s="11"/>
      <c r="L54" s="11"/>
      <c r="M54" s="11"/>
      <c r="N54" s="11"/>
      <c r="O54" s="11"/>
      <c r="P54" s="11"/>
      <c r="Q54" s="11"/>
      <c r="R54" s="11"/>
      <c r="S54" s="11"/>
      <c r="T54" s="11"/>
      <c r="U54" s="11"/>
      <c r="V54" s="11"/>
      <c r="W54" s="11"/>
      <c r="X54" s="11"/>
    </row>
    <row r="55" spans="6:24" x14ac:dyDescent="0.25">
      <c r="F55" s="11"/>
      <c r="G55" s="11"/>
      <c r="H55" s="11"/>
      <c r="I55" s="11"/>
      <c r="J55" s="11"/>
      <c r="K55" s="11"/>
      <c r="L55" s="11"/>
      <c r="M55" s="11"/>
      <c r="N55" s="11"/>
      <c r="O55" s="11"/>
      <c r="P55" s="11"/>
      <c r="Q55" s="11"/>
      <c r="R55" s="11"/>
      <c r="S55" s="11"/>
      <c r="T55" s="11"/>
      <c r="U55" s="11"/>
      <c r="V55" s="11"/>
      <c r="W55" s="11"/>
      <c r="X55" s="11"/>
    </row>
    <row r="56" spans="6:24" x14ac:dyDescent="0.25">
      <c r="F56" s="11"/>
      <c r="G56" s="11"/>
      <c r="H56" s="11"/>
      <c r="I56" s="11"/>
      <c r="J56" s="11"/>
      <c r="K56" s="11"/>
      <c r="L56" s="11"/>
      <c r="M56" s="11"/>
      <c r="N56" s="11"/>
      <c r="O56" s="11"/>
      <c r="P56" s="11"/>
      <c r="Q56" s="11"/>
      <c r="R56" s="11"/>
      <c r="S56" s="11"/>
      <c r="T56" s="11"/>
      <c r="U56" s="11"/>
      <c r="V56" s="11"/>
      <c r="W56" s="11"/>
      <c r="X56" s="11"/>
    </row>
    <row r="57" spans="6:24" x14ac:dyDescent="0.25">
      <c r="F57" s="11"/>
      <c r="G57" s="11"/>
      <c r="H57" s="11"/>
      <c r="I57" s="11"/>
      <c r="J57" s="11"/>
      <c r="K57" s="11"/>
      <c r="L57" s="11"/>
      <c r="M57" s="11"/>
      <c r="N57" s="11"/>
      <c r="O57" s="11"/>
      <c r="P57" s="11"/>
      <c r="Q57" s="11"/>
      <c r="R57" s="11"/>
      <c r="S57" s="11"/>
      <c r="T57" s="11"/>
      <c r="U57" s="11"/>
      <c r="V57" s="11"/>
      <c r="W57" s="11"/>
      <c r="X57" s="11"/>
    </row>
    <row r="58" spans="6:24" x14ac:dyDescent="0.25">
      <c r="F58" s="11"/>
      <c r="G58" s="11"/>
      <c r="H58" s="11"/>
      <c r="I58" s="11"/>
      <c r="J58" s="11"/>
      <c r="K58" s="11"/>
      <c r="L58" s="11"/>
      <c r="M58" s="11"/>
      <c r="N58" s="11"/>
      <c r="O58" s="11"/>
      <c r="P58" s="11"/>
      <c r="Q58" s="11"/>
      <c r="R58" s="11"/>
      <c r="S58" s="11"/>
      <c r="T58" s="11"/>
      <c r="U58" s="11"/>
      <c r="V58" s="11"/>
      <c r="W58" s="11"/>
      <c r="X58" s="11"/>
    </row>
    <row r="59" spans="6:24" x14ac:dyDescent="0.25">
      <c r="F59" s="11"/>
      <c r="G59" s="11"/>
      <c r="H59" s="11"/>
      <c r="I59" s="11"/>
      <c r="J59" s="11"/>
      <c r="K59" s="11"/>
      <c r="L59" s="11"/>
      <c r="M59" s="11"/>
      <c r="N59" s="11"/>
      <c r="O59" s="11"/>
      <c r="P59" s="11"/>
      <c r="Q59" s="11"/>
      <c r="R59" s="11"/>
      <c r="S59" s="11"/>
      <c r="T59" s="11"/>
      <c r="U59" s="11"/>
      <c r="V59" s="11"/>
      <c r="W59" s="11"/>
      <c r="X59" s="11"/>
    </row>
    <row r="60" spans="6:24" x14ac:dyDescent="0.25">
      <c r="F60" s="11"/>
      <c r="G60" s="11"/>
      <c r="H60" s="11"/>
      <c r="I60" s="11"/>
      <c r="J60" s="11"/>
      <c r="K60" s="11"/>
      <c r="L60" s="11"/>
      <c r="M60" s="11"/>
      <c r="N60" s="11"/>
      <c r="O60" s="11"/>
      <c r="P60" s="11"/>
      <c r="Q60" s="11"/>
      <c r="R60" s="11"/>
      <c r="S60" s="11"/>
      <c r="T60" s="11"/>
      <c r="U60" s="11"/>
      <c r="V60" s="11"/>
      <c r="W60" s="11"/>
      <c r="X60" s="11"/>
    </row>
    <row r="61" spans="6:24" x14ac:dyDescent="0.25">
      <c r="F61" s="11"/>
      <c r="G61" s="11"/>
      <c r="H61" s="11"/>
      <c r="I61" s="11"/>
      <c r="J61" s="11"/>
      <c r="K61" s="11"/>
      <c r="L61" s="11"/>
      <c r="M61" s="11"/>
      <c r="N61" s="11"/>
      <c r="O61" s="11"/>
      <c r="P61" s="11"/>
      <c r="Q61" s="11"/>
      <c r="R61" s="11"/>
      <c r="S61" s="11"/>
      <c r="T61" s="11"/>
      <c r="U61" s="11"/>
      <c r="V61" s="11"/>
      <c r="W61" s="11"/>
      <c r="X61" s="11"/>
    </row>
    <row r="62" spans="6:24" x14ac:dyDescent="0.25">
      <c r="F62" s="11"/>
      <c r="G62" s="11"/>
      <c r="H62" s="11"/>
      <c r="I62" s="11"/>
      <c r="J62" s="11"/>
      <c r="K62" s="11"/>
      <c r="L62" s="11"/>
      <c r="M62" s="11"/>
      <c r="N62" s="11"/>
      <c r="O62" s="11"/>
      <c r="P62" s="11"/>
      <c r="Q62" s="11"/>
      <c r="R62" s="11"/>
      <c r="S62" s="11"/>
      <c r="T62" s="11"/>
      <c r="U62" s="11"/>
      <c r="V62" s="11"/>
      <c r="W62" s="11"/>
      <c r="X62" s="11"/>
    </row>
    <row r="63" spans="6:24" x14ac:dyDescent="0.25">
      <c r="F63" s="11"/>
      <c r="G63" s="11"/>
      <c r="H63" s="11"/>
      <c r="I63" s="11"/>
      <c r="J63" s="11"/>
      <c r="K63" s="11"/>
      <c r="L63" s="11"/>
      <c r="M63" s="11"/>
      <c r="N63" s="11"/>
      <c r="O63" s="11"/>
      <c r="P63" s="11"/>
      <c r="Q63" s="11"/>
      <c r="R63" s="11"/>
      <c r="S63" s="11"/>
      <c r="T63" s="11"/>
      <c r="U63" s="11"/>
      <c r="V63" s="11"/>
      <c r="W63" s="11"/>
      <c r="X63" s="11"/>
    </row>
    <row r="64" spans="6:24" x14ac:dyDescent="0.25">
      <c r="F64" s="11"/>
      <c r="G64" s="11"/>
      <c r="H64" s="11"/>
      <c r="I64" s="11"/>
      <c r="J64" s="11"/>
      <c r="K64" s="11"/>
      <c r="L64" s="11"/>
      <c r="M64" s="11"/>
      <c r="N64" s="11"/>
      <c r="O64" s="11"/>
      <c r="P64" s="11"/>
      <c r="Q64" s="11"/>
      <c r="R64" s="11"/>
      <c r="S64" s="11"/>
      <c r="T64" s="11"/>
      <c r="U64" s="11"/>
      <c r="V64" s="11"/>
      <c r="W64" s="11"/>
      <c r="X64" s="11"/>
    </row>
    <row r="65" spans="6:24" x14ac:dyDescent="0.25">
      <c r="F65" s="11"/>
      <c r="G65" s="11"/>
      <c r="H65" s="11"/>
      <c r="I65" s="11"/>
      <c r="J65" s="11"/>
      <c r="K65" s="11"/>
      <c r="L65" s="11"/>
      <c r="M65" s="11"/>
      <c r="N65" s="11"/>
      <c r="O65" s="11"/>
      <c r="P65" s="11"/>
      <c r="Q65" s="11"/>
      <c r="R65" s="11"/>
      <c r="S65" s="11"/>
      <c r="T65" s="11"/>
      <c r="U65" s="11"/>
      <c r="V65" s="11"/>
      <c r="W65" s="11"/>
      <c r="X65" s="11"/>
    </row>
    <row r="66" spans="6:24" x14ac:dyDescent="0.25">
      <c r="F66" s="11"/>
      <c r="G66" s="11"/>
      <c r="H66" s="11"/>
      <c r="I66" s="11"/>
      <c r="J66" s="11"/>
      <c r="K66" s="11"/>
      <c r="L66" s="11"/>
      <c r="M66" s="11"/>
      <c r="N66" s="11"/>
      <c r="O66" s="11"/>
      <c r="P66" s="11"/>
      <c r="Q66" s="11"/>
      <c r="R66" s="11"/>
      <c r="S66" s="11"/>
      <c r="T66" s="11"/>
      <c r="U66" s="11"/>
      <c r="V66" s="11"/>
      <c r="W66" s="11"/>
      <c r="X66" s="11"/>
    </row>
    <row r="67" spans="6:24" x14ac:dyDescent="0.25">
      <c r="F67" s="11"/>
      <c r="G67" s="11"/>
      <c r="H67" s="11"/>
      <c r="I67" s="11"/>
      <c r="J67" s="11"/>
      <c r="K67" s="11"/>
      <c r="L67" s="11"/>
      <c r="M67" s="11"/>
      <c r="N67" s="11"/>
      <c r="O67" s="11"/>
      <c r="P67" s="11"/>
      <c r="Q67" s="11"/>
      <c r="R67" s="11"/>
      <c r="S67" s="11"/>
      <c r="T67" s="11"/>
      <c r="U67" s="11"/>
      <c r="V67" s="11"/>
      <c r="W67" s="11"/>
      <c r="X67" s="11"/>
    </row>
    <row r="68" spans="6:24" x14ac:dyDescent="0.25">
      <c r="F68" s="11"/>
      <c r="G68" s="11"/>
      <c r="H68" s="11"/>
      <c r="I68" s="11"/>
      <c r="J68" s="11"/>
      <c r="K68" s="11"/>
      <c r="L68" s="11"/>
      <c r="M68" s="11"/>
      <c r="N68" s="11"/>
      <c r="O68" s="11"/>
      <c r="P68" s="11"/>
      <c r="Q68" s="11"/>
      <c r="R68" s="11"/>
      <c r="S68" s="11"/>
      <c r="T68" s="11"/>
      <c r="U68" s="11"/>
      <c r="V68" s="11"/>
      <c r="W68" s="11"/>
      <c r="X68" s="11"/>
    </row>
    <row r="69" spans="6:24" x14ac:dyDescent="0.25">
      <c r="F69" s="11"/>
      <c r="G69" s="11"/>
      <c r="H69" s="11"/>
      <c r="I69" s="11"/>
      <c r="J69" s="11"/>
      <c r="K69" s="11"/>
      <c r="L69" s="11"/>
      <c r="M69" s="11"/>
      <c r="N69" s="11"/>
      <c r="O69" s="11"/>
      <c r="P69" s="11"/>
      <c r="Q69" s="11"/>
      <c r="R69" s="11"/>
      <c r="S69" s="11"/>
      <c r="T69" s="11"/>
      <c r="U69" s="11"/>
      <c r="V69" s="11"/>
      <c r="W69" s="11"/>
      <c r="X69" s="11"/>
    </row>
    <row r="70" spans="6:24" x14ac:dyDescent="0.25">
      <c r="F70" s="11"/>
      <c r="G70" s="11"/>
      <c r="H70" s="11"/>
      <c r="I70" s="11"/>
      <c r="J70" s="11"/>
      <c r="K70" s="11"/>
      <c r="L70" s="11"/>
      <c r="M70" s="11"/>
      <c r="N70" s="11"/>
      <c r="O70" s="11"/>
      <c r="P70" s="11"/>
      <c r="Q70" s="11"/>
      <c r="R70" s="11"/>
      <c r="S70" s="11"/>
      <c r="T70" s="11"/>
      <c r="U70" s="11"/>
      <c r="V70" s="11"/>
      <c r="W70" s="11"/>
      <c r="X70" s="11"/>
    </row>
    <row r="71" spans="6:24" x14ac:dyDescent="0.25">
      <c r="F71" s="11"/>
      <c r="G71" s="11"/>
      <c r="H71" s="11"/>
      <c r="I71" s="11"/>
      <c r="J71" s="11"/>
      <c r="K71" s="11"/>
      <c r="L71" s="11"/>
      <c r="M71" s="11"/>
      <c r="N71" s="11"/>
      <c r="O71" s="11"/>
      <c r="P71" s="11"/>
      <c r="Q71" s="11"/>
      <c r="R71" s="11"/>
      <c r="S71" s="11"/>
      <c r="T71" s="11"/>
      <c r="U71" s="11"/>
      <c r="V71" s="11"/>
      <c r="W71" s="11"/>
      <c r="X71" s="11"/>
    </row>
    <row r="72" spans="6:24" x14ac:dyDescent="0.25">
      <c r="F72" s="11"/>
      <c r="G72" s="11"/>
      <c r="H72" s="11"/>
      <c r="I72" s="11"/>
      <c r="J72" s="11"/>
      <c r="K72" s="11"/>
      <c r="L72" s="11"/>
      <c r="M72" s="11"/>
      <c r="N72" s="11"/>
      <c r="O72" s="11"/>
      <c r="P72" s="11"/>
      <c r="Q72" s="11"/>
      <c r="R72" s="11"/>
      <c r="S72" s="11"/>
      <c r="T72" s="11"/>
      <c r="U72" s="11"/>
      <c r="V72" s="11"/>
      <c r="W72" s="11"/>
      <c r="X72" s="11"/>
    </row>
    <row r="73" spans="6:24" x14ac:dyDescent="0.25">
      <c r="F73" s="11"/>
      <c r="G73" s="11"/>
      <c r="H73" s="11"/>
      <c r="I73" s="11"/>
      <c r="J73" s="11"/>
      <c r="K73" s="11"/>
      <c r="L73" s="11"/>
      <c r="M73" s="11"/>
      <c r="N73" s="11"/>
      <c r="O73" s="11"/>
      <c r="P73" s="11"/>
      <c r="Q73" s="11"/>
      <c r="R73" s="11"/>
      <c r="S73" s="11"/>
      <c r="T73" s="11"/>
      <c r="U73" s="11"/>
      <c r="V73" s="11"/>
      <c r="W73" s="11"/>
      <c r="X73" s="11"/>
    </row>
    <row r="74" spans="6:24" x14ac:dyDescent="0.25">
      <c r="F74" s="11"/>
      <c r="G74" s="11"/>
      <c r="H74" s="11"/>
      <c r="I74" s="11"/>
      <c r="J74" s="11"/>
      <c r="K74" s="11"/>
      <c r="L74" s="11"/>
      <c r="M74" s="11"/>
      <c r="N74" s="11"/>
      <c r="O74" s="11"/>
      <c r="P74" s="11"/>
      <c r="Q74" s="11"/>
      <c r="R74" s="11"/>
      <c r="S74" s="11"/>
      <c r="T74" s="11"/>
      <c r="U74" s="11"/>
      <c r="V74" s="11"/>
      <c r="W74" s="11"/>
      <c r="X74" s="11"/>
    </row>
    <row r="75" spans="6:24" x14ac:dyDescent="0.25">
      <c r="F75" s="11"/>
      <c r="G75" s="11"/>
      <c r="H75" s="11"/>
      <c r="I75" s="11"/>
      <c r="J75" s="11"/>
      <c r="K75" s="11"/>
      <c r="L75" s="11"/>
      <c r="M75" s="11"/>
      <c r="N75" s="11"/>
      <c r="O75" s="11"/>
      <c r="P75" s="11"/>
      <c r="Q75" s="11"/>
      <c r="R75" s="11"/>
      <c r="S75" s="11"/>
      <c r="T75" s="11"/>
      <c r="U75" s="11"/>
      <c r="V75" s="11"/>
      <c r="W75" s="11"/>
      <c r="X75" s="11"/>
    </row>
    <row r="76" spans="6:24" x14ac:dyDescent="0.25">
      <c r="F76" s="11"/>
      <c r="G76" s="11"/>
      <c r="H76" s="11"/>
      <c r="I76" s="11"/>
      <c r="J76" s="11"/>
      <c r="K76" s="11"/>
      <c r="L76" s="11"/>
      <c r="M76" s="11"/>
      <c r="N76" s="11"/>
      <c r="O76" s="11"/>
      <c r="P76" s="11"/>
      <c r="Q76" s="11"/>
      <c r="R76" s="11"/>
      <c r="S76" s="11"/>
      <c r="T76" s="11"/>
      <c r="U76" s="11"/>
      <c r="V76" s="11"/>
      <c r="W76" s="11"/>
      <c r="X76" s="11"/>
    </row>
    <row r="77" spans="6:24" x14ac:dyDescent="0.25">
      <c r="F77" s="11"/>
      <c r="G77" s="11"/>
      <c r="H77" s="11"/>
      <c r="I77" s="11"/>
      <c r="J77" s="11"/>
      <c r="K77" s="11"/>
      <c r="L77" s="11"/>
      <c r="M77" s="11"/>
      <c r="N77" s="11"/>
      <c r="O77" s="11"/>
      <c r="P77" s="11"/>
      <c r="Q77" s="11"/>
      <c r="R77" s="11"/>
      <c r="S77" s="11"/>
      <c r="T77" s="11"/>
      <c r="U77" s="11"/>
      <c r="V77" s="11"/>
      <c r="W77" s="11"/>
      <c r="X77" s="11"/>
    </row>
    <row r="78" spans="6:24" x14ac:dyDescent="0.25">
      <c r="F78" s="11"/>
      <c r="G78" s="11"/>
      <c r="H78" s="11"/>
      <c r="I78" s="11"/>
      <c r="J78" s="11"/>
      <c r="K78" s="11"/>
      <c r="L78" s="11"/>
      <c r="M78" s="11"/>
      <c r="N78" s="11"/>
      <c r="O78" s="11"/>
      <c r="P78" s="11"/>
      <c r="Q78" s="11"/>
      <c r="R78" s="11"/>
      <c r="S78" s="11"/>
      <c r="T78" s="11"/>
      <c r="U78" s="11"/>
      <c r="V78" s="11"/>
      <c r="W78" s="11"/>
      <c r="X78" s="11"/>
    </row>
    <row r="79" spans="6:24" x14ac:dyDescent="0.25">
      <c r="F79" s="11"/>
      <c r="G79" s="11"/>
      <c r="H79" s="11"/>
      <c r="I79" s="11"/>
      <c r="J79" s="11"/>
      <c r="K79" s="11"/>
      <c r="L79" s="11"/>
      <c r="M79" s="11"/>
      <c r="N79" s="11"/>
      <c r="O79" s="11"/>
      <c r="P79" s="11"/>
      <c r="Q79" s="11"/>
      <c r="R79" s="11"/>
      <c r="S79" s="11"/>
      <c r="T79" s="11"/>
      <c r="U79" s="11"/>
      <c r="V79" s="11"/>
      <c r="W79" s="11"/>
      <c r="X79" s="11"/>
    </row>
    <row r="80" spans="6:24" x14ac:dyDescent="0.25">
      <c r="F80" s="11"/>
      <c r="G80" s="11"/>
      <c r="H80" s="11"/>
      <c r="I80" s="11"/>
      <c r="J80" s="11"/>
      <c r="K80" s="11"/>
      <c r="L80" s="11"/>
      <c r="M80" s="11"/>
      <c r="N80" s="11"/>
      <c r="O80" s="11"/>
      <c r="P80" s="11"/>
      <c r="Q80" s="11"/>
      <c r="R80" s="11"/>
      <c r="S80" s="11"/>
      <c r="T80" s="11"/>
      <c r="U80" s="11"/>
      <c r="V80" s="11"/>
      <c r="W80" s="11"/>
      <c r="X80" s="11"/>
    </row>
    <row r="81" spans="6:24" x14ac:dyDescent="0.25">
      <c r="F81" s="11"/>
      <c r="G81" s="11"/>
      <c r="H81" s="11"/>
      <c r="I81" s="11"/>
      <c r="J81" s="11"/>
      <c r="K81" s="11"/>
      <c r="L81" s="11"/>
      <c r="M81" s="11"/>
      <c r="N81" s="11"/>
      <c r="O81" s="11"/>
      <c r="P81" s="11"/>
      <c r="Q81" s="11"/>
      <c r="R81" s="11"/>
      <c r="S81" s="11"/>
      <c r="T81" s="11"/>
      <c r="U81" s="11"/>
      <c r="V81" s="11"/>
      <c r="W81" s="11"/>
      <c r="X81" s="11"/>
    </row>
    <row r="82" spans="6:24" x14ac:dyDescent="0.25">
      <c r="F82" s="11"/>
      <c r="G82" s="11"/>
      <c r="H82" s="11"/>
      <c r="I82" s="11"/>
      <c r="J82" s="11"/>
      <c r="K82" s="11"/>
      <c r="L82" s="11"/>
      <c r="M82" s="11"/>
      <c r="N82" s="11"/>
      <c r="O82" s="11"/>
      <c r="P82" s="11"/>
      <c r="Q82" s="11"/>
      <c r="R82" s="11"/>
      <c r="S82" s="11"/>
      <c r="T82" s="11"/>
      <c r="U82" s="11"/>
      <c r="V82" s="11"/>
      <c r="W82" s="11"/>
      <c r="X82" s="11"/>
    </row>
    <row r="83" spans="6:24" x14ac:dyDescent="0.25">
      <c r="F83" s="11"/>
      <c r="G83" s="11"/>
      <c r="H83" s="11"/>
      <c r="I83" s="11"/>
      <c r="J83" s="11"/>
      <c r="K83" s="11"/>
      <c r="L83" s="11"/>
      <c r="M83" s="11"/>
      <c r="N83" s="11"/>
      <c r="O83" s="11"/>
      <c r="P83" s="11"/>
      <c r="Q83" s="11"/>
      <c r="R83" s="11"/>
      <c r="S83" s="11"/>
      <c r="T83" s="11"/>
      <c r="U83" s="11"/>
      <c r="V83" s="11"/>
      <c r="W83" s="11"/>
      <c r="X83" s="11"/>
    </row>
    <row r="84" spans="6:24" x14ac:dyDescent="0.25">
      <c r="F84" s="11"/>
      <c r="G84" s="11"/>
      <c r="H84" s="11"/>
      <c r="I84" s="11"/>
      <c r="J84" s="11"/>
      <c r="K84" s="11"/>
      <c r="L84" s="11"/>
      <c r="M84" s="11"/>
      <c r="N84" s="11"/>
      <c r="O84" s="11"/>
      <c r="P84" s="11"/>
      <c r="Q84" s="11"/>
      <c r="R84" s="11"/>
      <c r="S84" s="11"/>
      <c r="T84" s="11"/>
      <c r="U84" s="11"/>
      <c r="V84" s="11"/>
      <c r="W84" s="11"/>
      <c r="X84" s="11"/>
    </row>
    <row r="85" spans="6:24" x14ac:dyDescent="0.25">
      <c r="F85" s="11"/>
      <c r="G85" s="11"/>
      <c r="H85" s="11"/>
      <c r="I85" s="11"/>
      <c r="J85" s="11"/>
      <c r="K85" s="11"/>
      <c r="L85" s="11"/>
      <c r="M85" s="11"/>
      <c r="N85" s="11"/>
      <c r="O85" s="11"/>
      <c r="P85" s="11"/>
      <c r="Q85" s="11"/>
      <c r="R85" s="11"/>
      <c r="S85" s="11"/>
      <c r="T85" s="11"/>
      <c r="U85" s="11"/>
      <c r="V85" s="11"/>
      <c r="W85" s="11"/>
      <c r="X85" s="11"/>
    </row>
    <row r="86" spans="6:24" x14ac:dyDescent="0.25">
      <c r="F86" s="11"/>
      <c r="G86" s="11"/>
      <c r="H86" s="11"/>
      <c r="I86" s="11"/>
      <c r="J86" s="11"/>
      <c r="K86" s="11"/>
      <c r="L86" s="11"/>
      <c r="M86" s="11"/>
      <c r="N86" s="11"/>
      <c r="O86" s="11"/>
      <c r="P86" s="11"/>
      <c r="Q86" s="11"/>
      <c r="R86" s="11"/>
      <c r="S86" s="11"/>
      <c r="T86" s="11"/>
      <c r="U86" s="11"/>
      <c r="V86" s="11"/>
      <c r="W86" s="11"/>
      <c r="X86" s="11"/>
    </row>
    <row r="87" spans="6:24" x14ac:dyDescent="0.25">
      <c r="F87" s="11"/>
      <c r="G87" s="11"/>
      <c r="H87" s="11"/>
      <c r="I87" s="11"/>
      <c r="J87" s="11"/>
      <c r="K87" s="11"/>
      <c r="L87" s="11"/>
      <c r="M87" s="11"/>
      <c r="N87" s="11"/>
      <c r="O87" s="11"/>
      <c r="P87" s="11"/>
      <c r="Q87" s="11"/>
      <c r="R87" s="11"/>
      <c r="S87" s="11"/>
      <c r="T87" s="11"/>
      <c r="U87" s="11"/>
      <c r="V87" s="11"/>
      <c r="W87" s="11"/>
      <c r="X87" s="11"/>
    </row>
    <row r="88" spans="6:24" x14ac:dyDescent="0.25">
      <c r="F88" s="11"/>
      <c r="G88" s="11"/>
      <c r="H88" s="11"/>
      <c r="I88" s="11"/>
      <c r="J88" s="11"/>
      <c r="K88" s="11"/>
      <c r="L88" s="11"/>
      <c r="M88" s="11"/>
      <c r="N88" s="11"/>
      <c r="O88" s="11"/>
      <c r="P88" s="11"/>
      <c r="Q88" s="11"/>
      <c r="R88" s="11"/>
      <c r="S88" s="11"/>
      <c r="T88" s="11"/>
      <c r="U88" s="11"/>
      <c r="V88" s="11"/>
      <c r="W88" s="11"/>
      <c r="X88" s="11"/>
    </row>
    <row r="89" spans="6:24" x14ac:dyDescent="0.25">
      <c r="F89" s="11"/>
      <c r="G89" s="11"/>
      <c r="H89" s="11"/>
      <c r="I89" s="11"/>
      <c r="J89" s="11"/>
      <c r="K89" s="11"/>
      <c r="L89" s="11"/>
      <c r="M89" s="11"/>
      <c r="N89" s="11"/>
      <c r="O89" s="11"/>
      <c r="P89" s="11"/>
      <c r="Q89" s="11"/>
      <c r="R89" s="11"/>
      <c r="S89" s="11"/>
      <c r="T89" s="11"/>
      <c r="U89" s="11"/>
      <c r="V89" s="11"/>
      <c r="W89" s="11"/>
      <c r="X89" s="11"/>
    </row>
    <row r="90" spans="6:24" x14ac:dyDescent="0.25">
      <c r="F90" s="11"/>
      <c r="G90" s="11"/>
      <c r="H90" s="11"/>
      <c r="I90" s="11"/>
      <c r="J90" s="11"/>
      <c r="K90" s="11"/>
      <c r="L90" s="11"/>
      <c r="M90" s="11"/>
      <c r="N90" s="11"/>
      <c r="O90" s="11"/>
      <c r="P90" s="11"/>
      <c r="Q90" s="11"/>
      <c r="R90" s="11"/>
      <c r="S90" s="11"/>
      <c r="T90" s="11"/>
      <c r="U90" s="11"/>
      <c r="V90" s="11"/>
      <c r="W90" s="11"/>
      <c r="X90" s="11"/>
    </row>
    <row r="91" spans="6:24" x14ac:dyDescent="0.25">
      <c r="F91" s="11"/>
      <c r="G91" s="11"/>
      <c r="H91" s="11"/>
      <c r="I91" s="11"/>
      <c r="J91" s="11"/>
      <c r="K91" s="11"/>
      <c r="L91" s="11"/>
      <c r="M91" s="11"/>
      <c r="N91" s="11"/>
      <c r="O91" s="11"/>
      <c r="P91" s="11"/>
      <c r="Q91" s="11"/>
      <c r="R91" s="11"/>
      <c r="S91" s="11"/>
      <c r="T91" s="11"/>
      <c r="U91" s="11"/>
      <c r="V91" s="11"/>
      <c r="W91" s="11"/>
      <c r="X91" s="11"/>
    </row>
    <row r="92" spans="6:24" x14ac:dyDescent="0.25">
      <c r="F92" s="11"/>
      <c r="G92" s="11"/>
      <c r="H92" s="11"/>
      <c r="I92" s="11"/>
      <c r="J92" s="11"/>
      <c r="K92" s="11"/>
      <c r="L92" s="11"/>
      <c r="M92" s="11"/>
      <c r="N92" s="11"/>
      <c r="O92" s="11"/>
      <c r="P92" s="11"/>
      <c r="Q92" s="11"/>
      <c r="R92" s="11"/>
      <c r="S92" s="11"/>
      <c r="T92" s="11"/>
      <c r="U92" s="11"/>
      <c r="V92" s="11"/>
      <c r="W92" s="11"/>
      <c r="X92" s="11"/>
    </row>
    <row r="93" spans="6:24" x14ac:dyDescent="0.25">
      <c r="F93" s="11"/>
      <c r="G93" s="11"/>
      <c r="H93" s="11"/>
      <c r="I93" s="11"/>
      <c r="J93" s="11"/>
      <c r="K93" s="11"/>
      <c r="L93" s="11"/>
      <c r="M93" s="11"/>
      <c r="N93" s="11"/>
      <c r="O93" s="11"/>
      <c r="P93" s="11"/>
      <c r="Q93" s="11"/>
      <c r="R93" s="11"/>
      <c r="S93" s="11"/>
      <c r="T93" s="11"/>
      <c r="U93" s="11"/>
      <c r="V93" s="11"/>
      <c r="W93" s="11"/>
      <c r="X93" s="11"/>
    </row>
    <row r="94" spans="6:24" x14ac:dyDescent="0.25">
      <c r="F94" s="11"/>
      <c r="G94" s="11"/>
      <c r="H94" s="11"/>
      <c r="I94" s="11"/>
      <c r="J94" s="11"/>
      <c r="K94" s="11"/>
      <c r="L94" s="11"/>
      <c r="M94" s="11"/>
      <c r="N94" s="11"/>
      <c r="O94" s="11"/>
      <c r="P94" s="11"/>
      <c r="Q94" s="11"/>
      <c r="R94" s="11"/>
      <c r="S94" s="11"/>
      <c r="T94" s="11"/>
      <c r="U94" s="11"/>
      <c r="V94" s="11"/>
      <c r="W94" s="11"/>
      <c r="X94" s="11"/>
    </row>
    <row r="95" spans="6:24" x14ac:dyDescent="0.25">
      <c r="F95" s="11"/>
      <c r="G95" s="11"/>
      <c r="H95" s="11"/>
      <c r="I95" s="11"/>
      <c r="J95" s="11"/>
      <c r="K95" s="11"/>
      <c r="L95" s="11"/>
      <c r="M95" s="11"/>
      <c r="N95" s="11"/>
      <c r="O95" s="11"/>
      <c r="P95" s="11"/>
      <c r="Q95" s="11"/>
      <c r="R95" s="11"/>
      <c r="S95" s="11"/>
      <c r="T95" s="11"/>
      <c r="U95" s="11"/>
      <c r="V95" s="11"/>
      <c r="W95" s="11"/>
      <c r="X95" s="11"/>
    </row>
    <row r="96" spans="6:24" x14ac:dyDescent="0.25">
      <c r="F96" s="11"/>
      <c r="G96" s="11"/>
      <c r="H96" s="11"/>
      <c r="I96" s="11"/>
      <c r="J96" s="11"/>
      <c r="K96" s="11"/>
      <c r="L96" s="11"/>
      <c r="M96" s="11"/>
      <c r="N96" s="11"/>
      <c r="O96" s="11"/>
      <c r="P96" s="11"/>
      <c r="Q96" s="11"/>
      <c r="R96" s="11"/>
      <c r="S96" s="11"/>
      <c r="T96" s="11"/>
      <c r="U96" s="11"/>
      <c r="V96" s="11"/>
      <c r="W96" s="11"/>
      <c r="X96" s="11"/>
    </row>
    <row r="97" spans="6:24" x14ac:dyDescent="0.25">
      <c r="F97" s="11"/>
      <c r="G97" s="11"/>
      <c r="H97" s="11"/>
      <c r="I97" s="11"/>
      <c r="J97" s="11"/>
      <c r="K97" s="11"/>
      <c r="L97" s="11"/>
      <c r="M97" s="11"/>
      <c r="N97" s="11"/>
      <c r="O97" s="11"/>
      <c r="P97" s="11"/>
      <c r="Q97" s="11"/>
      <c r="R97" s="11"/>
      <c r="S97" s="11"/>
      <c r="T97" s="11"/>
      <c r="U97" s="11"/>
      <c r="V97" s="11"/>
      <c r="W97" s="11"/>
      <c r="X97" s="11"/>
    </row>
    <row r="98" spans="6:24" x14ac:dyDescent="0.25">
      <c r="F98" s="11"/>
      <c r="G98" s="11"/>
      <c r="H98" s="11"/>
      <c r="I98" s="11"/>
      <c r="J98" s="11"/>
      <c r="K98" s="11"/>
      <c r="L98" s="11"/>
      <c r="M98" s="11"/>
      <c r="N98" s="11"/>
      <c r="O98" s="11"/>
      <c r="P98" s="11"/>
      <c r="Q98" s="11"/>
      <c r="R98" s="11"/>
      <c r="S98" s="11"/>
      <c r="T98" s="11"/>
      <c r="U98" s="11"/>
      <c r="V98" s="11"/>
      <c r="W98" s="11"/>
      <c r="X98" s="11"/>
    </row>
    <row r="99" spans="6:24" x14ac:dyDescent="0.25">
      <c r="F99" s="11"/>
      <c r="G99" s="11"/>
      <c r="H99" s="11"/>
      <c r="I99" s="11"/>
      <c r="J99" s="11"/>
      <c r="K99" s="11"/>
      <c r="L99" s="11"/>
      <c r="M99" s="11"/>
      <c r="N99" s="11"/>
      <c r="O99" s="11"/>
      <c r="P99" s="11"/>
      <c r="Q99" s="11"/>
      <c r="R99" s="11"/>
      <c r="S99" s="11"/>
      <c r="T99" s="11"/>
      <c r="U99" s="11"/>
      <c r="V99" s="11"/>
      <c r="W99" s="11"/>
      <c r="X99" s="11"/>
    </row>
    <row r="100" spans="6:24" x14ac:dyDescent="0.25">
      <c r="F100" s="11"/>
      <c r="G100" s="11"/>
      <c r="H100" s="11"/>
      <c r="I100" s="11"/>
      <c r="J100" s="11"/>
      <c r="K100" s="11"/>
      <c r="L100" s="11"/>
      <c r="M100" s="11"/>
      <c r="N100" s="11"/>
      <c r="O100" s="11"/>
      <c r="P100" s="11"/>
      <c r="Q100" s="11"/>
      <c r="R100" s="11"/>
      <c r="S100" s="11"/>
      <c r="T100" s="11"/>
      <c r="U100" s="11"/>
      <c r="V100" s="11"/>
      <c r="W100" s="11"/>
      <c r="X100" s="11"/>
    </row>
    <row r="101" spans="6:24" x14ac:dyDescent="0.25">
      <c r="F101" s="11"/>
      <c r="G101" s="11"/>
      <c r="H101" s="11"/>
      <c r="I101" s="11"/>
      <c r="J101" s="11"/>
      <c r="K101" s="11"/>
      <c r="L101" s="11"/>
      <c r="M101" s="11"/>
      <c r="N101" s="11"/>
      <c r="O101" s="11"/>
      <c r="P101" s="11"/>
      <c r="Q101" s="11"/>
      <c r="R101" s="11"/>
      <c r="S101" s="11"/>
      <c r="T101" s="11"/>
      <c r="U101" s="11"/>
      <c r="V101" s="11"/>
      <c r="W101" s="11"/>
      <c r="X101" s="11"/>
    </row>
    <row r="102" spans="6:24" x14ac:dyDescent="0.25">
      <c r="F102" s="11"/>
      <c r="G102" s="11"/>
      <c r="H102" s="11"/>
      <c r="I102" s="11"/>
      <c r="J102" s="11"/>
      <c r="K102" s="11"/>
      <c r="L102" s="11"/>
      <c r="M102" s="11"/>
      <c r="N102" s="11"/>
      <c r="O102" s="11"/>
      <c r="P102" s="11"/>
      <c r="Q102" s="11"/>
      <c r="R102" s="11"/>
      <c r="S102" s="11"/>
      <c r="T102" s="11"/>
      <c r="U102" s="11"/>
      <c r="V102" s="11"/>
      <c r="W102" s="11"/>
      <c r="X102" s="11"/>
    </row>
    <row r="103" spans="6:24" x14ac:dyDescent="0.25">
      <c r="F103" s="11"/>
      <c r="G103" s="11"/>
      <c r="H103" s="11"/>
      <c r="I103" s="11"/>
      <c r="J103" s="11"/>
      <c r="K103" s="11"/>
      <c r="L103" s="11"/>
      <c r="M103" s="11"/>
      <c r="N103" s="11"/>
      <c r="O103" s="11"/>
      <c r="P103" s="11"/>
      <c r="Q103" s="11"/>
      <c r="R103" s="11"/>
      <c r="S103" s="11"/>
      <c r="T103" s="11"/>
      <c r="U103" s="11"/>
      <c r="V103" s="11"/>
      <c r="W103" s="11"/>
      <c r="X103" s="11"/>
    </row>
    <row r="104" spans="6:24" x14ac:dyDescent="0.25">
      <c r="F104" s="11"/>
      <c r="G104" s="11"/>
      <c r="H104" s="11"/>
      <c r="I104" s="11"/>
      <c r="J104" s="11"/>
      <c r="K104" s="11"/>
      <c r="L104" s="11"/>
      <c r="M104" s="11"/>
      <c r="N104" s="11"/>
      <c r="O104" s="11"/>
      <c r="P104" s="11"/>
      <c r="Q104" s="11"/>
      <c r="R104" s="11"/>
      <c r="S104" s="11"/>
      <c r="T104" s="11"/>
      <c r="U104" s="11"/>
      <c r="V104" s="11"/>
      <c r="W104" s="11"/>
      <c r="X104" s="11"/>
    </row>
    <row r="105" spans="6:24" x14ac:dyDescent="0.25">
      <c r="F105" s="11"/>
      <c r="G105" s="11"/>
      <c r="H105" s="11"/>
      <c r="I105" s="11"/>
      <c r="J105" s="11"/>
      <c r="K105" s="11"/>
      <c r="L105" s="11"/>
      <c r="M105" s="11"/>
      <c r="N105" s="11"/>
      <c r="O105" s="11"/>
      <c r="P105" s="11"/>
      <c r="Q105" s="11"/>
      <c r="R105" s="11"/>
      <c r="S105" s="11"/>
      <c r="T105" s="11"/>
      <c r="U105" s="11"/>
      <c r="V105" s="11"/>
      <c r="W105" s="11"/>
      <c r="X105" s="11"/>
    </row>
    <row r="106" spans="6:24" x14ac:dyDescent="0.25">
      <c r="F106" s="11"/>
      <c r="G106" s="11"/>
      <c r="H106" s="11"/>
      <c r="I106" s="11"/>
      <c r="J106" s="11"/>
      <c r="K106" s="11"/>
      <c r="L106" s="11"/>
      <c r="M106" s="11"/>
      <c r="N106" s="11"/>
      <c r="O106" s="11"/>
      <c r="P106" s="11"/>
      <c r="Q106" s="11"/>
      <c r="R106" s="11"/>
      <c r="S106" s="11"/>
      <c r="T106" s="11"/>
      <c r="U106" s="11"/>
      <c r="V106" s="11"/>
      <c r="W106" s="11"/>
      <c r="X106" s="11"/>
    </row>
    <row r="107" spans="6:24" x14ac:dyDescent="0.25">
      <c r="F107" s="11"/>
      <c r="G107" s="11"/>
      <c r="H107" s="11"/>
      <c r="I107" s="11"/>
      <c r="J107" s="11"/>
      <c r="K107" s="11"/>
      <c r="L107" s="11"/>
      <c r="M107" s="11"/>
      <c r="N107" s="11"/>
      <c r="O107" s="11"/>
      <c r="P107" s="11"/>
      <c r="Q107" s="11"/>
      <c r="R107" s="11"/>
      <c r="S107" s="11"/>
      <c r="T107" s="11"/>
      <c r="U107" s="11"/>
      <c r="V107" s="11"/>
      <c r="W107" s="11"/>
      <c r="X107" s="11"/>
    </row>
    <row r="108" spans="6:24" x14ac:dyDescent="0.25">
      <c r="F108" s="11"/>
      <c r="G108" s="11"/>
      <c r="H108" s="11"/>
      <c r="I108" s="11"/>
      <c r="J108" s="11"/>
      <c r="K108" s="11"/>
      <c r="L108" s="11"/>
      <c r="M108" s="11"/>
      <c r="N108" s="11"/>
      <c r="O108" s="11"/>
      <c r="P108" s="11"/>
      <c r="Q108" s="11"/>
      <c r="R108" s="11"/>
      <c r="S108" s="11"/>
      <c r="T108" s="11"/>
      <c r="U108" s="11"/>
      <c r="V108" s="11"/>
      <c r="W108" s="11"/>
      <c r="X108" s="11"/>
    </row>
    <row r="109" spans="6:24" x14ac:dyDescent="0.25">
      <c r="F109" s="11"/>
      <c r="G109" s="11"/>
      <c r="H109" s="11"/>
      <c r="I109" s="11"/>
      <c r="J109" s="11"/>
      <c r="K109" s="11"/>
      <c r="L109" s="11"/>
      <c r="M109" s="11"/>
      <c r="N109" s="11"/>
      <c r="O109" s="11"/>
      <c r="P109" s="11"/>
      <c r="Q109" s="11"/>
      <c r="R109" s="11"/>
      <c r="S109" s="11"/>
      <c r="T109" s="11"/>
      <c r="U109" s="11"/>
      <c r="V109" s="11"/>
      <c r="W109" s="11"/>
      <c r="X109" s="11"/>
    </row>
    <row r="110" spans="6:24" x14ac:dyDescent="0.25">
      <c r="F110" s="11"/>
      <c r="G110" s="11"/>
      <c r="H110" s="11"/>
      <c r="I110" s="11"/>
      <c r="J110" s="11"/>
      <c r="K110" s="11"/>
      <c r="L110" s="11"/>
      <c r="M110" s="11"/>
      <c r="N110" s="11"/>
      <c r="O110" s="11"/>
      <c r="P110" s="11"/>
      <c r="Q110" s="11"/>
      <c r="R110" s="11"/>
      <c r="S110" s="11"/>
      <c r="T110" s="11"/>
      <c r="U110" s="11"/>
      <c r="V110" s="11"/>
      <c r="W110" s="11"/>
      <c r="X110" s="11"/>
    </row>
    <row r="111" spans="6:24" x14ac:dyDescent="0.25">
      <c r="F111" s="11"/>
      <c r="G111" s="11"/>
      <c r="H111" s="11"/>
      <c r="I111" s="11"/>
      <c r="J111" s="11"/>
      <c r="K111" s="11"/>
      <c r="L111" s="11"/>
      <c r="M111" s="11"/>
      <c r="N111" s="11"/>
      <c r="O111" s="11"/>
      <c r="P111" s="11"/>
      <c r="Q111" s="11"/>
      <c r="R111" s="11"/>
      <c r="S111" s="11"/>
      <c r="T111" s="11"/>
      <c r="U111" s="11"/>
      <c r="V111" s="11"/>
      <c r="W111" s="11"/>
      <c r="X111" s="11"/>
    </row>
    <row r="112" spans="6:24" x14ac:dyDescent="0.25">
      <c r="F112" s="11"/>
      <c r="G112" s="11"/>
      <c r="H112" s="11"/>
      <c r="I112" s="11"/>
      <c r="J112" s="11"/>
      <c r="K112" s="11"/>
      <c r="L112" s="11"/>
      <c r="M112" s="11"/>
      <c r="N112" s="11"/>
      <c r="O112" s="11"/>
      <c r="P112" s="11"/>
      <c r="Q112" s="11"/>
      <c r="R112" s="11"/>
      <c r="S112" s="11"/>
      <c r="T112" s="11"/>
      <c r="U112" s="11"/>
      <c r="V112" s="11"/>
      <c r="W112" s="11"/>
      <c r="X112" s="11"/>
    </row>
    <row r="113" spans="6:24" x14ac:dyDescent="0.25">
      <c r="F113" s="11"/>
      <c r="G113" s="11"/>
      <c r="H113" s="11"/>
      <c r="I113" s="11"/>
      <c r="J113" s="11"/>
      <c r="K113" s="11"/>
      <c r="L113" s="11"/>
      <c r="M113" s="11"/>
      <c r="N113" s="11"/>
      <c r="O113" s="11"/>
      <c r="P113" s="11"/>
      <c r="Q113" s="11"/>
      <c r="R113" s="11"/>
      <c r="S113" s="11"/>
      <c r="T113" s="11"/>
      <c r="U113" s="11"/>
      <c r="V113" s="11"/>
      <c r="W113" s="11"/>
      <c r="X113" s="11"/>
    </row>
    <row r="114" spans="6:24" x14ac:dyDescent="0.25">
      <c r="F114" s="11"/>
      <c r="G114" s="11"/>
      <c r="H114" s="11"/>
      <c r="I114" s="11"/>
      <c r="J114" s="11"/>
      <c r="K114" s="11"/>
      <c r="L114" s="11"/>
      <c r="M114" s="11"/>
      <c r="N114" s="11"/>
      <c r="O114" s="11"/>
      <c r="P114" s="11"/>
      <c r="Q114" s="11"/>
      <c r="R114" s="11"/>
      <c r="S114" s="11"/>
      <c r="T114" s="11"/>
      <c r="U114" s="11"/>
      <c r="V114" s="11"/>
      <c r="W114" s="11"/>
      <c r="X114" s="11"/>
    </row>
    <row r="115" spans="6:24" x14ac:dyDescent="0.25">
      <c r="F115" s="11"/>
      <c r="G115" s="11"/>
      <c r="H115" s="11"/>
      <c r="I115" s="11"/>
      <c r="J115" s="11"/>
      <c r="K115" s="11"/>
      <c r="L115" s="11"/>
      <c r="M115" s="11"/>
      <c r="N115" s="11"/>
      <c r="O115" s="11"/>
      <c r="P115" s="11"/>
      <c r="Q115" s="11"/>
      <c r="R115" s="11"/>
      <c r="S115" s="11"/>
      <c r="T115" s="11"/>
      <c r="U115" s="11"/>
      <c r="V115" s="11"/>
      <c r="W115" s="11"/>
      <c r="X115" s="11"/>
    </row>
    <row r="116" spans="6:24" x14ac:dyDescent="0.25">
      <c r="F116" s="11"/>
      <c r="G116" s="11"/>
      <c r="H116" s="11"/>
      <c r="I116" s="11"/>
      <c r="J116" s="11"/>
      <c r="K116" s="11"/>
      <c r="L116" s="11"/>
      <c r="M116" s="11"/>
      <c r="N116" s="11"/>
      <c r="O116" s="11"/>
      <c r="P116" s="11"/>
      <c r="Q116" s="11"/>
      <c r="R116" s="11"/>
      <c r="S116" s="11"/>
      <c r="T116" s="11"/>
      <c r="U116" s="11"/>
      <c r="V116" s="11"/>
      <c r="W116" s="11"/>
      <c r="X116" s="11"/>
    </row>
    <row r="117" spans="6:24" x14ac:dyDescent="0.25">
      <c r="F117" s="11"/>
      <c r="G117" s="11"/>
      <c r="H117" s="11"/>
      <c r="I117" s="11"/>
      <c r="J117" s="11"/>
      <c r="K117" s="11"/>
      <c r="L117" s="11"/>
      <c r="M117" s="11"/>
      <c r="N117" s="11"/>
      <c r="O117" s="11"/>
      <c r="P117" s="11"/>
      <c r="Q117" s="11"/>
      <c r="R117" s="11"/>
      <c r="S117" s="11"/>
      <c r="T117" s="11"/>
      <c r="U117" s="11"/>
      <c r="V117" s="11"/>
      <c r="W117" s="11"/>
      <c r="X117" s="11"/>
    </row>
    <row r="118" spans="6:24" x14ac:dyDescent="0.25">
      <c r="F118" s="11"/>
      <c r="G118" s="11"/>
      <c r="H118" s="11"/>
      <c r="I118" s="11"/>
      <c r="J118" s="11"/>
      <c r="K118" s="11"/>
      <c r="L118" s="11"/>
      <c r="M118" s="11"/>
      <c r="N118" s="11"/>
      <c r="O118" s="11"/>
      <c r="P118" s="11"/>
      <c r="Q118" s="11"/>
      <c r="R118" s="11"/>
      <c r="S118" s="11"/>
      <c r="T118" s="11"/>
      <c r="U118" s="11"/>
      <c r="V118" s="11"/>
      <c r="W118" s="11"/>
      <c r="X118" s="11"/>
    </row>
    <row r="119" spans="6:24" x14ac:dyDescent="0.25">
      <c r="F119" s="11"/>
      <c r="G119" s="11"/>
      <c r="H119" s="11"/>
      <c r="I119" s="11"/>
      <c r="J119" s="11"/>
      <c r="K119" s="11"/>
      <c r="L119" s="11"/>
      <c r="M119" s="11"/>
      <c r="N119" s="11"/>
      <c r="O119" s="11"/>
      <c r="P119" s="11"/>
      <c r="Q119" s="11"/>
      <c r="R119" s="11"/>
      <c r="S119" s="11"/>
      <c r="T119" s="11"/>
      <c r="U119" s="11"/>
      <c r="V119" s="11"/>
      <c r="W119" s="11"/>
      <c r="X119" s="11"/>
    </row>
    <row r="120" spans="6:24" x14ac:dyDescent="0.25">
      <c r="F120" s="11"/>
      <c r="G120" s="11"/>
      <c r="H120" s="11"/>
      <c r="I120" s="11"/>
      <c r="J120" s="11"/>
      <c r="K120" s="11"/>
      <c r="L120" s="11"/>
      <c r="M120" s="11"/>
      <c r="N120" s="11"/>
      <c r="O120" s="11"/>
      <c r="P120" s="11"/>
      <c r="Q120" s="11"/>
      <c r="R120" s="11"/>
      <c r="S120" s="11"/>
      <c r="T120" s="11"/>
      <c r="U120" s="11"/>
      <c r="V120" s="11"/>
      <c r="W120" s="11"/>
      <c r="X120" s="11"/>
    </row>
    <row r="121" spans="6:24" x14ac:dyDescent="0.25">
      <c r="F121" s="11"/>
      <c r="G121" s="11"/>
      <c r="H121" s="11"/>
      <c r="I121" s="11"/>
      <c r="J121" s="11"/>
      <c r="K121" s="11"/>
      <c r="L121" s="11"/>
      <c r="M121" s="11"/>
      <c r="N121" s="11"/>
      <c r="O121" s="11"/>
      <c r="P121" s="11"/>
      <c r="Q121" s="11"/>
      <c r="R121" s="11"/>
      <c r="S121" s="11"/>
      <c r="T121" s="11"/>
      <c r="U121" s="11"/>
      <c r="V121" s="11"/>
      <c r="W121" s="11"/>
      <c r="X121" s="11"/>
    </row>
    <row r="122" spans="6:24" x14ac:dyDescent="0.25">
      <c r="F122" s="11"/>
      <c r="G122" s="11"/>
      <c r="H122" s="11"/>
      <c r="I122" s="11"/>
      <c r="J122" s="11"/>
      <c r="K122" s="11"/>
      <c r="L122" s="11"/>
      <c r="M122" s="11"/>
      <c r="N122" s="11"/>
      <c r="O122" s="11"/>
      <c r="P122" s="11"/>
      <c r="Q122" s="11"/>
      <c r="R122" s="11"/>
      <c r="S122" s="11"/>
      <c r="T122" s="11"/>
      <c r="U122" s="11"/>
      <c r="V122" s="11"/>
      <c r="W122" s="11"/>
      <c r="X122" s="11"/>
    </row>
    <row r="123" spans="6:24" x14ac:dyDescent="0.25">
      <c r="F123" s="11"/>
      <c r="G123" s="11"/>
      <c r="H123" s="11"/>
      <c r="I123" s="11"/>
      <c r="J123" s="11"/>
      <c r="K123" s="11"/>
      <c r="L123" s="11"/>
      <c r="M123" s="11"/>
      <c r="N123" s="11"/>
      <c r="O123" s="11"/>
      <c r="P123" s="11"/>
      <c r="Q123" s="11"/>
      <c r="R123" s="11"/>
      <c r="S123" s="11"/>
      <c r="T123" s="11"/>
      <c r="U123" s="11"/>
      <c r="V123" s="11"/>
      <c r="W123" s="11"/>
      <c r="X123" s="11"/>
    </row>
    <row r="124" spans="6:24" x14ac:dyDescent="0.25">
      <c r="F124" s="11"/>
      <c r="G124" s="11"/>
      <c r="H124" s="11"/>
      <c r="I124" s="11"/>
      <c r="J124" s="11"/>
      <c r="K124" s="11"/>
      <c r="L124" s="11"/>
      <c r="M124" s="11"/>
      <c r="N124" s="11"/>
      <c r="O124" s="11"/>
      <c r="P124" s="11"/>
      <c r="Q124" s="11"/>
      <c r="R124" s="11"/>
      <c r="S124" s="11"/>
      <c r="T124" s="11"/>
      <c r="U124" s="11"/>
      <c r="V124" s="11"/>
      <c r="W124" s="11"/>
      <c r="X124" s="11"/>
    </row>
    <row r="125" spans="6:24" x14ac:dyDescent="0.25">
      <c r="F125" s="11"/>
      <c r="G125" s="11"/>
      <c r="H125" s="11"/>
      <c r="I125" s="11"/>
      <c r="J125" s="11"/>
      <c r="K125" s="11"/>
      <c r="L125" s="11"/>
      <c r="M125" s="11"/>
      <c r="N125" s="11"/>
      <c r="O125" s="11"/>
      <c r="P125" s="11"/>
      <c r="Q125" s="11"/>
      <c r="R125" s="11"/>
      <c r="S125" s="11"/>
      <c r="T125" s="11"/>
      <c r="U125" s="11"/>
      <c r="V125" s="11"/>
      <c r="W125" s="11"/>
      <c r="X125" s="11"/>
    </row>
    <row r="126" spans="6:24" x14ac:dyDescent="0.25">
      <c r="F126" s="11"/>
      <c r="G126" s="11"/>
      <c r="H126" s="11"/>
      <c r="I126" s="11"/>
      <c r="J126" s="11"/>
      <c r="K126" s="11"/>
      <c r="L126" s="11"/>
      <c r="M126" s="11"/>
      <c r="N126" s="11"/>
      <c r="O126" s="11"/>
      <c r="P126" s="11"/>
      <c r="Q126" s="11"/>
      <c r="R126" s="11"/>
      <c r="S126" s="11"/>
      <c r="T126" s="11"/>
      <c r="U126" s="11"/>
      <c r="V126" s="11"/>
      <c r="W126" s="11"/>
      <c r="X126" s="11"/>
    </row>
    <row r="127" spans="6:24" x14ac:dyDescent="0.25">
      <c r="F127" s="11"/>
      <c r="G127" s="11"/>
      <c r="H127" s="11"/>
      <c r="I127" s="11"/>
      <c r="J127" s="11"/>
      <c r="K127" s="11"/>
      <c r="L127" s="11"/>
      <c r="M127" s="11"/>
      <c r="N127" s="11"/>
      <c r="O127" s="11"/>
      <c r="P127" s="11"/>
      <c r="Q127" s="11"/>
      <c r="R127" s="11"/>
      <c r="S127" s="11"/>
      <c r="T127" s="11"/>
      <c r="U127" s="11"/>
      <c r="V127" s="11"/>
      <c r="W127" s="11"/>
      <c r="X127" s="11"/>
    </row>
    <row r="128" spans="6:24" x14ac:dyDescent="0.25">
      <c r="F128" s="11"/>
      <c r="G128" s="11"/>
      <c r="H128" s="11"/>
      <c r="I128" s="11"/>
      <c r="J128" s="11"/>
      <c r="K128" s="11"/>
      <c r="L128" s="11"/>
      <c r="M128" s="11"/>
      <c r="N128" s="11"/>
      <c r="O128" s="11"/>
      <c r="P128" s="11"/>
      <c r="Q128" s="11"/>
      <c r="R128" s="11"/>
      <c r="S128" s="11"/>
      <c r="T128" s="11"/>
      <c r="U128" s="11"/>
      <c r="V128" s="11"/>
      <c r="W128" s="11"/>
      <c r="X128" s="11"/>
    </row>
    <row r="129" spans="6:24" x14ac:dyDescent="0.25">
      <c r="F129" s="11"/>
      <c r="G129" s="11"/>
      <c r="H129" s="11"/>
      <c r="I129" s="11"/>
      <c r="J129" s="11"/>
      <c r="K129" s="11"/>
      <c r="L129" s="11"/>
      <c r="M129" s="11"/>
      <c r="N129" s="11"/>
      <c r="O129" s="11"/>
      <c r="P129" s="11"/>
      <c r="Q129" s="11"/>
      <c r="R129" s="11"/>
      <c r="S129" s="11"/>
      <c r="T129" s="11"/>
      <c r="U129" s="11"/>
      <c r="V129" s="11"/>
      <c r="W129" s="11"/>
      <c r="X129" s="11"/>
    </row>
    <row r="130" spans="6:24" x14ac:dyDescent="0.25">
      <c r="F130" s="11"/>
      <c r="G130" s="11"/>
      <c r="H130" s="11"/>
      <c r="I130" s="11"/>
      <c r="J130" s="11"/>
      <c r="K130" s="11"/>
      <c r="L130" s="11"/>
      <c r="M130" s="11"/>
      <c r="N130" s="11"/>
      <c r="O130" s="11"/>
      <c r="P130" s="11"/>
      <c r="Q130" s="11"/>
      <c r="R130" s="11"/>
      <c r="S130" s="11"/>
      <c r="T130" s="11"/>
      <c r="U130" s="11"/>
      <c r="V130" s="11"/>
      <c r="W130" s="11"/>
      <c r="X130" s="11"/>
    </row>
    <row r="131" spans="6:24" x14ac:dyDescent="0.25">
      <c r="F131" s="11"/>
      <c r="G131" s="11"/>
      <c r="H131" s="11"/>
      <c r="I131" s="11"/>
      <c r="J131" s="11"/>
      <c r="K131" s="11"/>
      <c r="L131" s="11"/>
      <c r="M131" s="11"/>
      <c r="N131" s="11"/>
      <c r="O131" s="11"/>
      <c r="P131" s="11"/>
      <c r="Q131" s="11"/>
      <c r="R131" s="11"/>
      <c r="S131" s="11"/>
      <c r="T131" s="11"/>
      <c r="U131" s="11"/>
      <c r="V131" s="11"/>
      <c r="W131" s="11"/>
      <c r="X131" s="11"/>
    </row>
    <row r="132" spans="6:24" x14ac:dyDescent="0.25">
      <c r="F132" s="11"/>
      <c r="G132" s="11"/>
      <c r="H132" s="11"/>
      <c r="I132" s="11"/>
      <c r="J132" s="11"/>
      <c r="K132" s="11"/>
      <c r="L132" s="11"/>
      <c r="M132" s="11"/>
      <c r="N132" s="11"/>
      <c r="O132" s="11"/>
      <c r="P132" s="11"/>
      <c r="Q132" s="11"/>
      <c r="R132" s="11"/>
      <c r="S132" s="11"/>
      <c r="T132" s="11"/>
      <c r="U132" s="11"/>
      <c r="V132" s="11"/>
      <c r="W132" s="11"/>
      <c r="X132" s="11"/>
    </row>
    <row r="133" spans="6:24" x14ac:dyDescent="0.25">
      <c r="F133" s="11"/>
      <c r="G133" s="11"/>
      <c r="H133" s="11"/>
      <c r="I133" s="11"/>
      <c r="J133" s="11"/>
      <c r="K133" s="11"/>
      <c r="L133" s="11"/>
      <c r="M133" s="11"/>
      <c r="N133" s="11"/>
      <c r="O133" s="11"/>
      <c r="P133" s="11"/>
      <c r="Q133" s="11"/>
      <c r="R133" s="11"/>
      <c r="S133" s="11"/>
      <c r="T133" s="11"/>
      <c r="U133" s="11"/>
      <c r="V133" s="11"/>
      <c r="W133" s="11"/>
      <c r="X133" s="11"/>
    </row>
    <row r="134" spans="6:24" x14ac:dyDescent="0.25">
      <c r="F134" s="11"/>
      <c r="G134" s="11"/>
      <c r="H134" s="11"/>
      <c r="I134" s="11"/>
      <c r="J134" s="11"/>
      <c r="K134" s="11"/>
      <c r="L134" s="11"/>
      <c r="M134" s="11"/>
      <c r="N134" s="11"/>
      <c r="O134" s="11"/>
      <c r="P134" s="11"/>
      <c r="Q134" s="11"/>
      <c r="R134" s="11"/>
      <c r="S134" s="11"/>
      <c r="T134" s="11"/>
      <c r="U134" s="11"/>
      <c r="V134" s="11"/>
      <c r="W134" s="11"/>
      <c r="X134" s="11"/>
    </row>
    <row r="135" spans="6:24" x14ac:dyDescent="0.25">
      <c r="F135" s="11"/>
      <c r="G135" s="11"/>
      <c r="H135" s="11"/>
      <c r="I135" s="11"/>
      <c r="J135" s="11"/>
      <c r="K135" s="11"/>
      <c r="L135" s="11"/>
      <c r="M135" s="11"/>
      <c r="N135" s="11"/>
      <c r="O135" s="11"/>
      <c r="P135" s="11"/>
      <c r="Q135" s="11"/>
      <c r="R135" s="11"/>
      <c r="S135" s="11"/>
      <c r="T135" s="11"/>
      <c r="U135" s="11"/>
      <c r="V135" s="11"/>
      <c r="W135" s="11"/>
      <c r="X135" s="11"/>
    </row>
    <row r="136" spans="6:24" x14ac:dyDescent="0.25">
      <c r="F136" s="11"/>
      <c r="G136" s="11"/>
      <c r="H136" s="11"/>
      <c r="I136" s="11"/>
      <c r="J136" s="11"/>
      <c r="K136" s="11"/>
      <c r="L136" s="11"/>
      <c r="M136" s="11"/>
      <c r="N136" s="11"/>
      <c r="O136" s="11"/>
      <c r="P136" s="11"/>
      <c r="Q136" s="11"/>
      <c r="R136" s="11"/>
      <c r="S136" s="11"/>
      <c r="T136" s="11"/>
      <c r="U136" s="11"/>
      <c r="V136" s="11"/>
      <c r="W136" s="11"/>
      <c r="X136" s="11"/>
    </row>
    <row r="137" spans="6:24" x14ac:dyDescent="0.25">
      <c r="F137" s="11"/>
      <c r="G137" s="11"/>
      <c r="H137" s="11"/>
      <c r="I137" s="11"/>
      <c r="J137" s="11"/>
      <c r="K137" s="11"/>
      <c r="L137" s="11"/>
      <c r="M137" s="11"/>
      <c r="N137" s="11"/>
      <c r="O137" s="11"/>
      <c r="P137" s="11"/>
      <c r="Q137" s="11"/>
      <c r="R137" s="11"/>
      <c r="S137" s="11"/>
      <c r="T137" s="11"/>
      <c r="U137" s="11"/>
      <c r="V137" s="11"/>
      <c r="W137" s="11"/>
      <c r="X137" s="11"/>
    </row>
    <row r="138" spans="6:24" x14ac:dyDescent="0.25">
      <c r="F138" s="11"/>
      <c r="G138" s="11"/>
      <c r="H138" s="11"/>
      <c r="I138" s="11"/>
      <c r="J138" s="11"/>
      <c r="K138" s="11"/>
      <c r="L138" s="11"/>
      <c r="M138" s="11"/>
      <c r="N138" s="11"/>
      <c r="O138" s="11"/>
      <c r="P138" s="11"/>
      <c r="Q138" s="11"/>
      <c r="R138" s="11"/>
      <c r="S138" s="11"/>
      <c r="T138" s="11"/>
      <c r="U138" s="11"/>
      <c r="V138" s="11"/>
      <c r="W138" s="11"/>
      <c r="X138" s="11"/>
    </row>
    <row r="139" spans="6:24" x14ac:dyDescent="0.25">
      <c r="F139" s="11"/>
      <c r="G139" s="11"/>
      <c r="H139" s="11"/>
      <c r="I139" s="11"/>
      <c r="J139" s="11"/>
      <c r="K139" s="11"/>
      <c r="L139" s="11"/>
      <c r="M139" s="11"/>
      <c r="N139" s="11"/>
      <c r="O139" s="11"/>
      <c r="P139" s="11"/>
      <c r="Q139" s="11"/>
      <c r="R139" s="11"/>
      <c r="S139" s="11"/>
      <c r="T139" s="11"/>
      <c r="U139" s="11"/>
      <c r="V139" s="11"/>
      <c r="W139" s="11"/>
      <c r="X139" s="11"/>
    </row>
    <row r="140" spans="6:24" x14ac:dyDescent="0.25">
      <c r="F140" s="11"/>
      <c r="G140" s="11"/>
      <c r="H140" s="11"/>
      <c r="I140" s="11"/>
      <c r="J140" s="11"/>
      <c r="K140" s="11"/>
      <c r="L140" s="11"/>
      <c r="M140" s="11"/>
      <c r="N140" s="11"/>
      <c r="O140" s="11"/>
      <c r="P140" s="11"/>
      <c r="Q140" s="11"/>
      <c r="R140" s="11"/>
      <c r="S140" s="11"/>
      <c r="T140" s="11"/>
      <c r="U140" s="11"/>
      <c r="V140" s="11"/>
      <c r="W140" s="11"/>
      <c r="X140" s="11"/>
    </row>
    <row r="141" spans="6:24" x14ac:dyDescent="0.25">
      <c r="F141" s="11"/>
      <c r="G141" s="11"/>
      <c r="H141" s="11"/>
      <c r="I141" s="11"/>
      <c r="J141" s="11"/>
      <c r="K141" s="11"/>
      <c r="L141" s="11"/>
      <c r="M141" s="11"/>
      <c r="N141" s="11"/>
      <c r="O141" s="11"/>
      <c r="P141" s="11"/>
      <c r="Q141" s="11"/>
      <c r="R141" s="11"/>
      <c r="S141" s="11"/>
      <c r="T141" s="11"/>
      <c r="U141" s="11"/>
      <c r="V141" s="11"/>
      <c r="W141" s="11"/>
      <c r="X141" s="11"/>
    </row>
    <row r="142" spans="6:24" x14ac:dyDescent="0.25">
      <c r="F142" s="11"/>
      <c r="G142" s="11"/>
      <c r="H142" s="11"/>
      <c r="I142" s="11"/>
      <c r="J142" s="11"/>
      <c r="K142" s="11"/>
      <c r="L142" s="11"/>
      <c r="M142" s="11"/>
      <c r="N142" s="11"/>
      <c r="O142" s="11"/>
      <c r="P142" s="11"/>
      <c r="Q142" s="11"/>
      <c r="R142" s="11"/>
      <c r="S142" s="11"/>
      <c r="T142" s="11"/>
      <c r="U142" s="11"/>
      <c r="V142" s="11"/>
      <c r="W142" s="11"/>
      <c r="X142" s="11"/>
    </row>
  </sheetData>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CE7A89-5781-4B41-9FEC-B5E66CD21DDE}">
  <dimension ref="A1:Y148"/>
  <sheetViews>
    <sheetView workbookViewId="0">
      <selection sqref="A1:XFD1"/>
    </sheetView>
  </sheetViews>
  <sheetFormatPr defaultColWidth="9.109375" defaultRowHeight="14.4" x14ac:dyDescent="0.3"/>
  <cols>
    <col min="1" max="1" width="37.44140625" style="46" customWidth="1"/>
    <col min="2" max="6" width="9.33203125" style="46" bestFit="1" customWidth="1"/>
    <col min="7" max="7" width="9.88671875" style="46" bestFit="1" customWidth="1"/>
    <col min="8" max="14" width="9.109375" style="46"/>
    <col min="15" max="15" width="11" style="46" bestFit="1" customWidth="1"/>
    <col min="16" max="16" width="9.5546875" style="46" bestFit="1" customWidth="1"/>
    <col min="17" max="25" width="9.44140625" style="46" bestFit="1" customWidth="1"/>
    <col min="26" max="16384" width="9.109375" style="46"/>
  </cols>
  <sheetData>
    <row r="1" spans="1:25" x14ac:dyDescent="0.3">
      <c r="A1" s="46" t="s">
        <v>127</v>
      </c>
    </row>
    <row r="2" spans="1:25" s="43" customFormat="1" ht="21" x14ac:dyDescent="0.4">
      <c r="A2" s="42" t="s">
        <v>96</v>
      </c>
    </row>
    <row r="4" spans="1:25" ht="15.6" x14ac:dyDescent="0.3">
      <c r="A4" s="44" t="s">
        <v>97</v>
      </c>
      <c r="B4" s="45" t="s">
        <v>98</v>
      </c>
      <c r="J4" s="47"/>
      <c r="O4" s="46" t="s">
        <v>99</v>
      </c>
    </row>
    <row r="5" spans="1:25" x14ac:dyDescent="0.3">
      <c r="B5" s="48" t="s">
        <v>100</v>
      </c>
      <c r="N5" s="49"/>
      <c r="O5" s="49">
        <v>2000</v>
      </c>
      <c r="P5" s="50">
        <v>2001</v>
      </c>
      <c r="Q5" s="50">
        <v>2002</v>
      </c>
      <c r="R5" s="50">
        <v>2003</v>
      </c>
      <c r="S5" s="50">
        <v>2004</v>
      </c>
      <c r="T5" s="50">
        <v>2005</v>
      </c>
      <c r="U5" s="50">
        <v>2006</v>
      </c>
      <c r="V5" s="50">
        <v>2007</v>
      </c>
      <c r="W5" s="50">
        <v>2008</v>
      </c>
      <c r="X5" s="50">
        <v>2009</v>
      </c>
      <c r="Y5" s="51">
        <v>2010</v>
      </c>
    </row>
    <row r="6" spans="1:25" x14ac:dyDescent="0.3">
      <c r="B6" s="48"/>
      <c r="N6" s="52" t="s">
        <v>101</v>
      </c>
      <c r="O6" s="53">
        <v>116</v>
      </c>
      <c r="P6" s="54">
        <v>315</v>
      </c>
      <c r="Q6" s="54">
        <v>306</v>
      </c>
      <c r="R6" s="54">
        <v>292</v>
      </c>
      <c r="S6" s="54">
        <v>3542</v>
      </c>
      <c r="T6" s="54">
        <v>3234</v>
      </c>
      <c r="U6" s="54">
        <v>17408</v>
      </c>
      <c r="V6" s="54">
        <v>10457</v>
      </c>
      <c r="W6" s="54">
        <v>12610</v>
      </c>
      <c r="X6" s="54">
        <v>4720</v>
      </c>
      <c r="Y6" s="55">
        <v>243</v>
      </c>
    </row>
    <row r="7" spans="1:25" x14ac:dyDescent="0.3">
      <c r="B7" s="48"/>
      <c r="N7" s="52" t="s">
        <v>102</v>
      </c>
      <c r="O7" s="56">
        <v>4872000</v>
      </c>
      <c r="P7" s="46">
        <v>13230000</v>
      </c>
      <c r="Q7" s="46">
        <v>12852000</v>
      </c>
      <c r="R7" s="46">
        <v>12264000</v>
      </c>
      <c r="S7" s="46">
        <v>148764000</v>
      </c>
      <c r="T7" s="46">
        <v>135828000</v>
      </c>
      <c r="U7" s="46">
        <v>731136000</v>
      </c>
      <c r="V7" s="46">
        <v>439194000</v>
      </c>
      <c r="W7" s="46">
        <v>529620000</v>
      </c>
      <c r="X7" s="46">
        <v>198240000</v>
      </c>
      <c r="Y7" s="57">
        <v>10206000</v>
      </c>
    </row>
    <row r="8" spans="1:25" x14ac:dyDescent="0.3">
      <c r="B8" s="48"/>
      <c r="N8" s="58" t="s">
        <v>103</v>
      </c>
      <c r="O8" s="59">
        <v>4.8719999999999996E-3</v>
      </c>
      <c r="P8" s="60">
        <v>1.323E-2</v>
      </c>
      <c r="Q8" s="60">
        <v>1.2852000000000001E-2</v>
      </c>
      <c r="R8" s="60">
        <v>1.2264000000000001E-2</v>
      </c>
      <c r="S8" s="60">
        <v>0.14876400000000001</v>
      </c>
      <c r="T8" s="60">
        <v>0.135828</v>
      </c>
      <c r="U8" s="60">
        <v>0.73113600000000001</v>
      </c>
      <c r="V8" s="60">
        <v>0.43919399999999997</v>
      </c>
      <c r="W8" s="60">
        <v>0.52961999999999998</v>
      </c>
      <c r="X8" s="60">
        <v>0.19824</v>
      </c>
      <c r="Y8" s="61">
        <v>1.0206E-2</v>
      </c>
    </row>
    <row r="9" spans="1:25" x14ac:dyDescent="0.3">
      <c r="A9" s="62" t="s">
        <v>104</v>
      </c>
    </row>
    <row r="10" spans="1:25" x14ac:dyDescent="0.3">
      <c r="A10" s="63"/>
      <c r="B10" s="49">
        <v>2000</v>
      </c>
      <c r="C10" s="50">
        <v>2001</v>
      </c>
      <c r="D10" s="50">
        <v>2002</v>
      </c>
      <c r="E10" s="50">
        <v>2003</v>
      </c>
      <c r="F10" s="50">
        <v>2004</v>
      </c>
      <c r="G10" s="50">
        <v>2005</v>
      </c>
      <c r="H10" s="50">
        <v>2006</v>
      </c>
      <c r="I10" s="50">
        <v>2007</v>
      </c>
      <c r="J10" s="50">
        <v>2008</v>
      </c>
      <c r="K10" s="50">
        <v>2009</v>
      </c>
      <c r="L10" s="51">
        <v>2010</v>
      </c>
      <c r="O10" s="46" t="s">
        <v>105</v>
      </c>
    </row>
    <row r="11" spans="1:25" x14ac:dyDescent="0.3">
      <c r="A11" s="64" t="s">
        <v>106</v>
      </c>
      <c r="B11" s="65">
        <v>1.6223339999999999</v>
      </c>
      <c r="C11" s="66">
        <v>1.7651760000000001</v>
      </c>
      <c r="D11" s="66">
        <v>2.1401520000000001</v>
      </c>
      <c r="E11" s="66">
        <v>2.804424</v>
      </c>
      <c r="F11" s="66">
        <v>3.404436</v>
      </c>
      <c r="G11" s="66">
        <v>3.9043619999999999</v>
      </c>
      <c r="H11" s="66">
        <v>4.8843480000000001</v>
      </c>
      <c r="I11" s="66">
        <v>6.5210460000000001</v>
      </c>
      <c r="J11" s="66">
        <v>9.3087540000000004</v>
      </c>
      <c r="K11" s="66">
        <v>10.937808</v>
      </c>
      <c r="L11" s="67">
        <v>13.230756</v>
      </c>
      <c r="O11" s="49">
        <v>2000</v>
      </c>
      <c r="P11" s="50">
        <v>2001</v>
      </c>
      <c r="Q11" s="50">
        <v>2002</v>
      </c>
      <c r="R11" s="50">
        <v>2003</v>
      </c>
      <c r="S11" s="50">
        <v>2004</v>
      </c>
      <c r="T11" s="50">
        <v>2005</v>
      </c>
      <c r="U11" s="50">
        <v>2006</v>
      </c>
      <c r="V11" s="50">
        <v>2007</v>
      </c>
      <c r="W11" s="50">
        <v>2008</v>
      </c>
      <c r="X11" s="50">
        <v>2009</v>
      </c>
      <c r="Y11" s="51">
        <v>2010</v>
      </c>
    </row>
    <row r="12" spans="1:25" x14ac:dyDescent="0.3">
      <c r="A12" s="68" t="s">
        <v>107</v>
      </c>
      <c r="B12" s="69">
        <v>4.8719999999999996E-3</v>
      </c>
      <c r="C12" s="70">
        <v>1.323E-2</v>
      </c>
      <c r="D12" s="70">
        <v>1.2852000000000001E-2</v>
      </c>
      <c r="E12" s="70">
        <v>1.2264000000000001E-2</v>
      </c>
      <c r="F12" s="70">
        <v>0.14876400000000001</v>
      </c>
      <c r="G12" s="70">
        <v>0.135828</v>
      </c>
      <c r="H12" s="70">
        <v>0.73113600000000001</v>
      </c>
      <c r="I12" s="70">
        <v>0.43919399999999997</v>
      </c>
      <c r="J12" s="70">
        <v>0.52961999999999998</v>
      </c>
      <c r="K12" s="70">
        <v>0.19824</v>
      </c>
      <c r="L12" s="71">
        <v>1.0206E-2</v>
      </c>
      <c r="N12" s="53" t="s">
        <v>108</v>
      </c>
      <c r="O12" s="53"/>
      <c r="P12" s="54">
        <v>8577</v>
      </c>
      <c r="Q12" s="54">
        <v>10484</v>
      </c>
      <c r="R12" s="54">
        <v>14210</v>
      </c>
      <c r="S12" s="54">
        <v>27982</v>
      </c>
      <c r="T12" s="54">
        <v>90787</v>
      </c>
      <c r="U12" s="54">
        <v>250439</v>
      </c>
      <c r="V12" s="54">
        <v>489825</v>
      </c>
      <c r="W12" s="54">
        <v>678106</v>
      </c>
      <c r="X12" s="54">
        <v>506275</v>
      </c>
      <c r="Y12" s="55">
        <v>310859</v>
      </c>
    </row>
    <row r="13" spans="1:25" x14ac:dyDescent="0.3">
      <c r="A13" s="72" t="s">
        <v>109</v>
      </c>
      <c r="B13" s="73"/>
      <c r="C13" s="60">
        <v>8.5769999999999996E-3</v>
      </c>
      <c r="D13" s="60">
        <v>1.0484E-2</v>
      </c>
      <c r="E13" s="60">
        <v>1.421E-2</v>
      </c>
      <c r="F13" s="60">
        <v>2.7982E-2</v>
      </c>
      <c r="G13" s="60">
        <v>9.0787000000000007E-2</v>
      </c>
      <c r="H13" s="60">
        <v>0.25043900000000002</v>
      </c>
      <c r="I13" s="60">
        <v>0.48982500000000001</v>
      </c>
      <c r="J13" s="60">
        <v>0.67810599999999999</v>
      </c>
      <c r="K13" s="60">
        <v>0.50627500000000003</v>
      </c>
      <c r="L13" s="61">
        <v>0.310859</v>
      </c>
      <c r="N13" s="74" t="s">
        <v>103</v>
      </c>
      <c r="O13" s="74"/>
      <c r="P13" s="75">
        <v>8.5769999999999996E-3</v>
      </c>
      <c r="Q13" s="75">
        <v>1.0484E-2</v>
      </c>
      <c r="R13" s="75">
        <v>1.421E-2</v>
      </c>
      <c r="S13" s="75">
        <v>2.7982E-2</v>
      </c>
      <c r="T13" s="75">
        <v>9.0787000000000007E-2</v>
      </c>
      <c r="U13" s="75">
        <v>0.25043900000000002</v>
      </c>
      <c r="V13" s="75">
        <v>0.48982500000000001</v>
      </c>
      <c r="W13" s="75">
        <v>0.67810599999999999</v>
      </c>
      <c r="X13" s="75">
        <v>0.50627500000000003</v>
      </c>
      <c r="Y13" s="76">
        <v>0.310859</v>
      </c>
    </row>
    <row r="14" spans="1:25" x14ac:dyDescent="0.3">
      <c r="B14" s="70"/>
      <c r="C14" s="70"/>
      <c r="D14" s="70"/>
      <c r="E14" s="70"/>
      <c r="F14" s="70"/>
      <c r="G14" s="70"/>
      <c r="H14" s="70"/>
      <c r="I14" s="70"/>
      <c r="J14" s="70"/>
      <c r="K14" s="70"/>
      <c r="L14" s="70"/>
      <c r="M14" s="70"/>
      <c r="N14" s="70"/>
      <c r="O14" s="70"/>
      <c r="P14" s="70"/>
      <c r="Q14" s="70"/>
      <c r="R14" s="70"/>
      <c r="S14" s="70"/>
      <c r="T14" s="70"/>
      <c r="U14" s="70"/>
      <c r="V14" s="70"/>
      <c r="W14" s="70"/>
      <c r="X14" s="70"/>
    </row>
    <row r="15" spans="1:25" ht="15.6" x14ac:dyDescent="0.3">
      <c r="A15" s="44" t="s">
        <v>110</v>
      </c>
      <c r="B15" s="45" t="s">
        <v>111</v>
      </c>
      <c r="C15" s="77"/>
      <c r="D15" s="77"/>
      <c r="E15" s="70"/>
      <c r="F15" s="70"/>
      <c r="G15" s="70"/>
      <c r="H15" s="70"/>
      <c r="I15" s="70"/>
      <c r="J15" s="70"/>
      <c r="K15" s="70"/>
      <c r="L15" s="70"/>
      <c r="M15" s="70"/>
      <c r="N15" s="70"/>
      <c r="O15" s="70"/>
      <c r="P15" s="70"/>
      <c r="Q15" s="70"/>
      <c r="R15" s="70"/>
      <c r="S15" s="70"/>
      <c r="T15" s="70"/>
      <c r="U15" s="70"/>
      <c r="V15" s="70"/>
      <c r="W15" s="70"/>
      <c r="X15" s="70"/>
    </row>
    <row r="16" spans="1:25" x14ac:dyDescent="0.3">
      <c r="B16" s="78"/>
      <c r="C16" s="78"/>
      <c r="D16" s="78"/>
      <c r="E16" s="70"/>
      <c r="F16" s="70"/>
      <c r="G16" s="70"/>
      <c r="H16" s="70"/>
      <c r="I16" s="70"/>
      <c r="J16" s="70"/>
      <c r="K16" s="70"/>
      <c r="L16" s="70"/>
      <c r="M16" s="70"/>
      <c r="N16" s="70"/>
      <c r="O16" s="70"/>
      <c r="P16" s="70"/>
      <c r="Q16" s="70"/>
      <c r="R16" s="70"/>
      <c r="S16" s="70"/>
      <c r="T16" s="70"/>
      <c r="U16" s="70"/>
      <c r="V16" s="70"/>
      <c r="W16" s="70"/>
      <c r="X16" s="70"/>
    </row>
    <row r="17" spans="1:24" x14ac:dyDescent="0.3">
      <c r="A17" s="79" t="s">
        <v>104</v>
      </c>
      <c r="B17" s="80">
        <v>2000</v>
      </c>
      <c r="C17" s="81">
        <v>2001</v>
      </c>
      <c r="D17" s="81">
        <v>2002</v>
      </c>
      <c r="E17" s="81">
        <v>2003</v>
      </c>
      <c r="F17" s="81">
        <v>2004</v>
      </c>
      <c r="G17" s="81">
        <v>2005</v>
      </c>
      <c r="H17" s="81">
        <v>2006</v>
      </c>
      <c r="I17" s="81">
        <v>2007</v>
      </c>
      <c r="J17" s="81">
        <v>2008</v>
      </c>
      <c r="K17" s="81">
        <v>2009</v>
      </c>
      <c r="L17" s="81">
        <v>2010</v>
      </c>
      <c r="M17" s="81">
        <v>2011</v>
      </c>
      <c r="N17" s="81">
        <v>2012</v>
      </c>
      <c r="O17" s="81">
        <v>2013</v>
      </c>
      <c r="P17" s="81">
        <v>2014</v>
      </c>
      <c r="Q17" s="81">
        <v>2015</v>
      </c>
      <c r="R17" s="81">
        <v>2016</v>
      </c>
      <c r="S17" s="81">
        <v>2017</v>
      </c>
      <c r="T17" s="81">
        <v>2018</v>
      </c>
      <c r="U17" s="81">
        <v>2019</v>
      </c>
      <c r="V17" s="81">
        <v>2020</v>
      </c>
      <c r="W17" s="81">
        <v>2021</v>
      </c>
      <c r="X17" s="81">
        <v>2022</v>
      </c>
    </row>
    <row r="18" spans="1:24" x14ac:dyDescent="0.3">
      <c r="A18" s="82" t="s">
        <v>112</v>
      </c>
      <c r="B18" s="69"/>
      <c r="C18" s="70"/>
      <c r="D18" s="70"/>
      <c r="E18" s="70"/>
      <c r="F18" s="70"/>
      <c r="G18" s="70"/>
      <c r="H18" s="70"/>
      <c r="I18" s="70"/>
      <c r="J18" s="70">
        <v>9</v>
      </c>
      <c r="K18" s="70">
        <v>11.1</v>
      </c>
      <c r="L18" s="70">
        <v>12.95</v>
      </c>
      <c r="M18" s="70">
        <v>13.95</v>
      </c>
      <c r="N18" s="70">
        <v>15.2</v>
      </c>
      <c r="O18" s="70">
        <v>16.55</v>
      </c>
      <c r="P18" s="70">
        <v>18.149999999999999</v>
      </c>
      <c r="Q18" s="70">
        <v>20.5</v>
      </c>
      <c r="R18" s="70">
        <v>22.25</v>
      </c>
      <c r="S18" s="70">
        <v>24</v>
      </c>
      <c r="T18" s="70">
        <v>26</v>
      </c>
      <c r="U18" s="70">
        <v>28</v>
      </c>
      <c r="V18" s="70">
        <v>30</v>
      </c>
      <c r="W18" s="70">
        <v>33</v>
      </c>
      <c r="X18" s="70">
        <v>36</v>
      </c>
    </row>
    <row r="19" spans="1:24" x14ac:dyDescent="0.3">
      <c r="A19" s="83" t="s">
        <v>113</v>
      </c>
      <c r="B19" s="66"/>
      <c r="C19" s="66"/>
      <c r="D19" s="66"/>
      <c r="E19" s="66"/>
      <c r="F19" s="66"/>
      <c r="G19" s="66"/>
      <c r="H19" s="66"/>
      <c r="I19" s="66"/>
      <c r="J19" s="84"/>
      <c r="K19" s="84">
        <v>0.6</v>
      </c>
      <c r="L19" s="66">
        <v>0.95</v>
      </c>
      <c r="M19" s="66">
        <v>1.35</v>
      </c>
      <c r="N19" s="66">
        <v>2</v>
      </c>
      <c r="O19" s="66">
        <v>2.75</v>
      </c>
      <c r="P19" s="66">
        <v>3.75</v>
      </c>
      <c r="Q19" s="66">
        <v>5.5</v>
      </c>
      <c r="R19" s="66">
        <v>7.25</v>
      </c>
      <c r="S19" s="66">
        <v>9</v>
      </c>
      <c r="T19" s="66">
        <v>11</v>
      </c>
      <c r="U19" s="66">
        <v>13</v>
      </c>
      <c r="V19" s="66">
        <v>15</v>
      </c>
      <c r="W19" s="66">
        <v>18</v>
      </c>
      <c r="X19" s="66">
        <v>21</v>
      </c>
    </row>
    <row r="20" spans="1:24" x14ac:dyDescent="0.3">
      <c r="A20" s="85" t="s">
        <v>114</v>
      </c>
      <c r="B20" s="70"/>
      <c r="C20" s="70"/>
      <c r="D20" s="70"/>
      <c r="E20" s="70"/>
      <c r="F20" s="70"/>
      <c r="G20" s="70"/>
      <c r="H20" s="70"/>
      <c r="I20" s="70"/>
      <c r="J20" s="86"/>
      <c r="K20" s="86"/>
      <c r="L20" s="87">
        <v>0</v>
      </c>
      <c r="M20" s="88">
        <v>6.4999999999999997E-3</v>
      </c>
      <c r="N20" s="89">
        <v>0.5</v>
      </c>
      <c r="O20" s="89">
        <v>1</v>
      </c>
      <c r="P20" s="70">
        <v>1.75</v>
      </c>
      <c r="Q20" s="70">
        <v>3</v>
      </c>
      <c r="R20" s="70">
        <v>4.25</v>
      </c>
      <c r="S20" s="70">
        <v>5.5</v>
      </c>
      <c r="T20" s="70">
        <v>7</v>
      </c>
      <c r="U20" s="70">
        <v>8.5</v>
      </c>
      <c r="V20" s="70">
        <v>10.5</v>
      </c>
      <c r="W20" s="70">
        <v>13.5</v>
      </c>
      <c r="X20" s="70">
        <v>16</v>
      </c>
    </row>
    <row r="21" spans="1:24" x14ac:dyDescent="0.3">
      <c r="A21" s="85" t="s">
        <v>115</v>
      </c>
      <c r="B21" s="70"/>
      <c r="C21" s="70"/>
      <c r="D21" s="70"/>
      <c r="E21" s="70"/>
      <c r="F21" s="70"/>
      <c r="G21" s="70"/>
      <c r="H21" s="70"/>
      <c r="I21" s="70"/>
      <c r="J21" s="86"/>
      <c r="K21" s="90">
        <v>0.5</v>
      </c>
      <c r="L21" s="91">
        <v>0.65</v>
      </c>
      <c r="M21" s="92">
        <v>0.8</v>
      </c>
      <c r="N21" s="93">
        <v>1</v>
      </c>
      <c r="O21" s="93">
        <v>1</v>
      </c>
      <c r="P21" s="93">
        <v>1</v>
      </c>
      <c r="Q21" s="94">
        <v>1</v>
      </c>
      <c r="R21" s="94">
        <v>1</v>
      </c>
      <c r="S21" s="94">
        <v>1</v>
      </c>
      <c r="T21" s="94">
        <v>1</v>
      </c>
      <c r="U21" s="94">
        <v>1</v>
      </c>
      <c r="V21" s="94">
        <v>1</v>
      </c>
      <c r="W21" s="94">
        <v>1</v>
      </c>
      <c r="X21" s="94">
        <v>1</v>
      </c>
    </row>
    <row r="22" spans="1:24" x14ac:dyDescent="0.3">
      <c r="A22" s="95" t="s">
        <v>116</v>
      </c>
      <c r="B22" s="96"/>
      <c r="C22" s="96"/>
      <c r="D22" s="96"/>
      <c r="E22" s="96"/>
      <c r="F22" s="96"/>
      <c r="G22" s="96"/>
      <c r="H22" s="96"/>
      <c r="I22" s="96"/>
      <c r="J22" s="97"/>
      <c r="K22" s="97">
        <v>9.9999999999999978E-2</v>
      </c>
      <c r="L22" s="96">
        <v>0.29999999999999993</v>
      </c>
      <c r="M22" s="96">
        <v>0.54350000000000009</v>
      </c>
      <c r="N22" s="96">
        <v>0.5</v>
      </c>
      <c r="O22" s="96">
        <v>0.75</v>
      </c>
      <c r="P22" s="96">
        <v>1</v>
      </c>
      <c r="Q22" s="96">
        <v>1.5</v>
      </c>
      <c r="R22" s="96">
        <v>2</v>
      </c>
      <c r="S22" s="96">
        <v>2.5</v>
      </c>
      <c r="T22" s="96">
        <v>3</v>
      </c>
      <c r="U22" s="96">
        <v>3.5</v>
      </c>
      <c r="V22" s="96">
        <v>3.5</v>
      </c>
      <c r="W22" s="96">
        <v>3.5</v>
      </c>
      <c r="X22" s="96">
        <v>4</v>
      </c>
    </row>
    <row r="23" spans="1:24" x14ac:dyDescent="0.3">
      <c r="A23" s="98" t="s">
        <v>117</v>
      </c>
      <c r="B23" s="96"/>
      <c r="C23" s="96"/>
      <c r="D23" s="96"/>
      <c r="E23" s="96"/>
      <c r="F23" s="96"/>
      <c r="G23" s="96"/>
      <c r="H23" s="96"/>
      <c r="I23" s="96"/>
      <c r="J23" s="96">
        <v>9</v>
      </c>
      <c r="K23" s="96">
        <v>10.5</v>
      </c>
      <c r="L23" s="96">
        <v>12</v>
      </c>
      <c r="M23" s="96">
        <v>12.6</v>
      </c>
      <c r="N23" s="96">
        <v>13.2</v>
      </c>
      <c r="O23" s="96">
        <v>13.8</v>
      </c>
      <c r="P23" s="96">
        <v>14.399999999999999</v>
      </c>
      <c r="Q23" s="96">
        <v>15</v>
      </c>
      <c r="R23" s="96">
        <v>15</v>
      </c>
      <c r="S23" s="96">
        <v>15</v>
      </c>
      <c r="T23" s="96">
        <v>15</v>
      </c>
      <c r="U23" s="96">
        <v>15</v>
      </c>
      <c r="V23" s="96">
        <v>15</v>
      </c>
      <c r="W23" s="96">
        <v>15</v>
      </c>
      <c r="X23" s="96">
        <v>15</v>
      </c>
    </row>
    <row r="24" spans="1:24" x14ac:dyDescent="0.3">
      <c r="A24" s="99"/>
      <c r="B24" s="100"/>
      <c r="C24" s="100"/>
      <c r="D24" s="100"/>
      <c r="E24" s="100"/>
      <c r="F24" s="100"/>
      <c r="G24" s="100"/>
      <c r="H24" s="100"/>
      <c r="I24" s="100"/>
      <c r="J24" s="100"/>
      <c r="K24" s="100"/>
      <c r="L24" s="100"/>
      <c r="M24" s="100"/>
      <c r="N24" s="100"/>
      <c r="O24" s="100"/>
      <c r="P24" s="100"/>
      <c r="Q24" s="100"/>
      <c r="R24" s="100"/>
      <c r="S24" s="100"/>
      <c r="T24" s="100"/>
      <c r="U24" s="100"/>
      <c r="V24" s="100"/>
      <c r="W24" s="100"/>
      <c r="X24" s="100"/>
    </row>
    <row r="25" spans="1:24" x14ac:dyDescent="0.3">
      <c r="A25" s="99"/>
      <c r="B25" s="101"/>
      <c r="C25" s="70" t="s">
        <v>118</v>
      </c>
      <c r="D25" s="100"/>
      <c r="E25" s="100"/>
      <c r="F25" s="100"/>
      <c r="G25" s="100"/>
      <c r="H25" s="100"/>
      <c r="I25" s="100"/>
      <c r="J25" s="100"/>
      <c r="K25" s="100"/>
      <c r="L25" s="100"/>
      <c r="O25" s="100"/>
      <c r="P25" s="100"/>
      <c r="Q25" s="100"/>
      <c r="R25" s="100"/>
      <c r="S25" s="100"/>
      <c r="T25" s="100"/>
      <c r="U25" s="100"/>
      <c r="V25" s="100"/>
      <c r="W25" s="100"/>
      <c r="X25" s="100"/>
    </row>
    <row r="26" spans="1:24" x14ac:dyDescent="0.3">
      <c r="B26" s="102"/>
      <c r="C26" s="46" t="s">
        <v>119</v>
      </c>
    </row>
    <row r="27" spans="1:24" x14ac:dyDescent="0.3">
      <c r="K27" s="70"/>
      <c r="L27" s="70"/>
      <c r="M27" s="70"/>
      <c r="N27" s="70"/>
      <c r="O27" s="70"/>
      <c r="P27" s="70"/>
      <c r="Q27" s="70"/>
      <c r="R27" s="70"/>
      <c r="S27" s="70"/>
      <c r="T27" s="70"/>
      <c r="U27" s="70"/>
      <c r="V27" s="70"/>
      <c r="W27" s="70"/>
      <c r="X27" s="70"/>
    </row>
    <row r="28" spans="1:24" ht="15.6" x14ac:dyDescent="0.3">
      <c r="A28" s="44" t="s">
        <v>120</v>
      </c>
      <c r="B28" s="43"/>
      <c r="C28" s="43"/>
      <c r="D28" s="43"/>
      <c r="E28" s="43"/>
      <c r="F28" s="43"/>
      <c r="G28" s="43"/>
      <c r="H28" s="43"/>
      <c r="I28" s="43"/>
      <c r="J28" s="43"/>
      <c r="K28" s="43"/>
      <c r="L28" s="43"/>
      <c r="M28" s="43"/>
      <c r="N28" s="43"/>
      <c r="O28" s="43"/>
      <c r="P28" s="43"/>
      <c r="Q28" s="43"/>
      <c r="R28" s="43"/>
      <c r="S28" s="43"/>
      <c r="T28" s="43"/>
      <c r="U28" s="43"/>
      <c r="V28" s="43"/>
      <c r="W28" s="43"/>
      <c r="X28" s="43"/>
    </row>
    <row r="30" spans="1:24" ht="15.6" x14ac:dyDescent="0.3">
      <c r="A30" s="44" t="s">
        <v>97</v>
      </c>
    </row>
    <row r="31" spans="1:24" x14ac:dyDescent="0.3">
      <c r="A31" s="103" t="s">
        <v>121</v>
      </c>
      <c r="B31" s="49">
        <v>2000</v>
      </c>
      <c r="C31" s="50">
        <v>2001</v>
      </c>
      <c r="D31" s="50">
        <v>2002</v>
      </c>
      <c r="E31" s="50">
        <v>2003</v>
      </c>
      <c r="F31" s="50">
        <v>2004</v>
      </c>
      <c r="G31" s="50">
        <v>2005</v>
      </c>
      <c r="H31" s="50">
        <v>2006</v>
      </c>
      <c r="I31" s="50">
        <v>2007</v>
      </c>
      <c r="J31" s="50">
        <v>2008</v>
      </c>
      <c r="K31" s="50">
        <v>2009</v>
      </c>
      <c r="L31" s="51">
        <v>2010</v>
      </c>
      <c r="M31" s="104"/>
      <c r="N31" s="104"/>
      <c r="O31" s="104"/>
      <c r="P31" s="104"/>
      <c r="Q31" s="104"/>
      <c r="R31" s="104"/>
      <c r="S31" s="104"/>
      <c r="T31" s="104"/>
      <c r="U31" s="104"/>
    </row>
    <row r="32" spans="1:24" x14ac:dyDescent="0.3">
      <c r="A32" s="105" t="s">
        <v>106</v>
      </c>
      <c r="B32" s="65">
        <v>145.62434080863466</v>
      </c>
      <c r="C32" s="66">
        <v>158.44615930580414</v>
      </c>
      <c r="D32" s="66">
        <v>192.10484661622149</v>
      </c>
      <c r="E32" s="66">
        <v>251.73139214731026</v>
      </c>
      <c r="F32" s="66">
        <v>305.58981586108962</v>
      </c>
      <c r="G32" s="106">
        <v>350.464295594053</v>
      </c>
      <c r="H32" s="66">
        <v>438.43003831515153</v>
      </c>
      <c r="I32" s="66">
        <v>585.34372400059658</v>
      </c>
      <c r="J32" s="66">
        <v>835.57465047255437</v>
      </c>
      <c r="K32" s="66">
        <v>981.80219356273778</v>
      </c>
      <c r="L32" s="107">
        <v>1187.6223520556728</v>
      </c>
      <c r="M32" s="70"/>
      <c r="N32" s="70"/>
      <c r="O32" s="70"/>
      <c r="P32" s="70"/>
      <c r="Q32" s="70"/>
      <c r="R32" s="70"/>
      <c r="S32" s="70"/>
      <c r="T32" s="70"/>
      <c r="U32" s="70"/>
    </row>
    <row r="33" spans="1:24" x14ac:dyDescent="0.3">
      <c r="A33" s="105" t="s">
        <v>107</v>
      </c>
      <c r="B33" s="69">
        <v>0.43732165412280583</v>
      </c>
      <c r="C33" s="70">
        <v>1.1875544917989984</v>
      </c>
      <c r="D33" s="70">
        <v>1.1536243634618844</v>
      </c>
      <c r="E33" s="70">
        <v>1.1008441638263733</v>
      </c>
      <c r="F33" s="70">
        <v>13.353390507784294</v>
      </c>
      <c r="G33" s="108">
        <v>12.192226115803052</v>
      </c>
      <c r="H33" s="70">
        <v>65.628408232498302</v>
      </c>
      <c r="I33" s="70">
        <v>39.42303911346707</v>
      </c>
      <c r="J33" s="70">
        <v>47.539879814556734</v>
      </c>
      <c r="K33" s="70">
        <v>17.794467305686581</v>
      </c>
      <c r="L33" s="109">
        <v>0.91611346510208458</v>
      </c>
      <c r="M33" s="70"/>
      <c r="N33" s="70"/>
      <c r="O33" s="70"/>
      <c r="P33" s="70"/>
      <c r="Q33" s="70"/>
      <c r="R33" s="70"/>
      <c r="S33" s="70"/>
      <c r="T33" s="70"/>
      <c r="U33" s="70"/>
    </row>
    <row r="34" spans="1:24" x14ac:dyDescent="0.3">
      <c r="A34" s="110" t="s">
        <v>109</v>
      </c>
      <c r="B34" s="111">
        <v>0</v>
      </c>
      <c r="C34" s="96">
        <v>1.1630051518982401</v>
      </c>
      <c r="D34" s="96">
        <v>1.4215863370060799</v>
      </c>
      <c r="E34" s="96">
        <v>1.9268162770752</v>
      </c>
      <c r="F34" s="96">
        <v>3.7942415950118402</v>
      </c>
      <c r="G34" s="112">
        <v>12.310335633133439</v>
      </c>
      <c r="H34" s="96">
        <v>33.958475834935683</v>
      </c>
      <c r="I34" s="96">
        <v>66.418211324303996</v>
      </c>
      <c r="J34" s="96">
        <v>91.948323601854725</v>
      </c>
      <c r="K34" s="96">
        <v>68.64876218692801</v>
      </c>
      <c r="L34" s="113">
        <v>42.151173896926082</v>
      </c>
      <c r="M34" s="70"/>
      <c r="N34" s="70"/>
      <c r="O34" s="70"/>
      <c r="P34" s="70"/>
      <c r="Q34" s="70"/>
      <c r="R34" s="70"/>
      <c r="S34" s="70"/>
      <c r="T34" s="70"/>
      <c r="U34" s="70"/>
    </row>
    <row r="35" spans="1:24" x14ac:dyDescent="0.3">
      <c r="B35" s="70"/>
      <c r="C35" s="70"/>
      <c r="D35" s="70"/>
      <c r="E35" s="70"/>
      <c r="F35" s="70"/>
      <c r="G35" s="70"/>
      <c r="H35" s="70"/>
      <c r="I35" s="70"/>
      <c r="J35" s="70"/>
      <c r="K35" s="70"/>
      <c r="L35" s="70"/>
      <c r="M35" s="70"/>
      <c r="N35" s="70"/>
      <c r="O35" s="70"/>
      <c r="P35" s="70"/>
      <c r="Q35" s="70"/>
      <c r="R35" s="70"/>
      <c r="S35" s="70"/>
      <c r="T35" s="70"/>
      <c r="U35" s="70"/>
    </row>
    <row r="36" spans="1:24" ht="15.6" x14ac:dyDescent="0.3">
      <c r="A36" s="44" t="s">
        <v>110</v>
      </c>
      <c r="B36" s="70"/>
      <c r="C36" s="70"/>
      <c r="D36" s="70"/>
      <c r="E36" s="70"/>
      <c r="F36" s="70"/>
      <c r="G36" s="70"/>
      <c r="H36" s="70"/>
      <c r="I36" s="70"/>
      <c r="J36" s="70"/>
      <c r="K36" s="70"/>
      <c r="L36" s="70"/>
      <c r="M36" s="70"/>
      <c r="N36" s="70"/>
      <c r="O36" s="70"/>
      <c r="P36" s="70"/>
      <c r="Q36" s="70"/>
      <c r="R36" s="70"/>
      <c r="S36" s="70"/>
      <c r="T36" s="70"/>
      <c r="U36" s="70"/>
      <c r="V36" s="70"/>
      <c r="W36" s="70"/>
      <c r="X36" s="70"/>
    </row>
    <row r="37" spans="1:24" x14ac:dyDescent="0.3">
      <c r="A37" s="79" t="s">
        <v>121</v>
      </c>
      <c r="B37" s="80">
        <v>2000</v>
      </c>
      <c r="C37" s="81">
        <v>2001</v>
      </c>
      <c r="D37" s="81">
        <v>2002</v>
      </c>
      <c r="E37" s="81">
        <v>2003</v>
      </c>
      <c r="F37" s="81">
        <v>2004</v>
      </c>
      <c r="G37" s="81">
        <v>2005</v>
      </c>
      <c r="H37" s="81">
        <v>2006</v>
      </c>
      <c r="I37" s="81">
        <v>2007</v>
      </c>
      <c r="J37" s="81">
        <v>2008</v>
      </c>
      <c r="K37" s="81">
        <v>2009</v>
      </c>
      <c r="L37" s="81">
        <v>2010</v>
      </c>
      <c r="M37" s="81">
        <v>2011</v>
      </c>
      <c r="N37" s="81">
        <v>2012</v>
      </c>
      <c r="O37" s="81">
        <v>2013</v>
      </c>
      <c r="P37" s="81">
        <v>2014</v>
      </c>
      <c r="Q37" s="114">
        <v>2015</v>
      </c>
      <c r="R37" s="81">
        <v>2016</v>
      </c>
      <c r="S37" s="81">
        <v>2017</v>
      </c>
      <c r="T37" s="81">
        <v>2018</v>
      </c>
      <c r="U37" s="81">
        <v>2019</v>
      </c>
      <c r="V37" s="114">
        <v>2020</v>
      </c>
      <c r="W37" s="81">
        <v>2021</v>
      </c>
      <c r="X37" s="114">
        <v>2022</v>
      </c>
    </row>
    <row r="38" spans="1:24" x14ac:dyDescent="0.3">
      <c r="A38" s="115" t="s">
        <v>112</v>
      </c>
      <c r="B38" s="69"/>
      <c r="C38" s="70"/>
      <c r="D38" s="70"/>
      <c r="E38" s="70"/>
      <c r="F38" s="70"/>
      <c r="G38" s="70"/>
      <c r="H38" s="70"/>
      <c r="I38" s="70"/>
      <c r="J38" s="116">
        <v>807.8601985027201</v>
      </c>
      <c r="K38" s="116">
        <v>996.36091148668811</v>
      </c>
      <c r="L38" s="116">
        <v>1162.4210634011361</v>
      </c>
      <c r="M38" s="116">
        <v>1252.1833076792161</v>
      </c>
      <c r="N38" s="116">
        <v>1364.386113026816</v>
      </c>
      <c r="O38" s="116">
        <v>1485.565142802224</v>
      </c>
      <c r="P38" s="116">
        <v>1629.1847336471521</v>
      </c>
      <c r="Q38" s="116">
        <v>1840.1260077006402</v>
      </c>
      <c r="R38" s="116">
        <v>1997.2099351872803</v>
      </c>
      <c r="S38" s="116">
        <v>2154.2938626739201</v>
      </c>
      <c r="T38" s="116">
        <v>2333.8183512300802</v>
      </c>
      <c r="U38" s="116">
        <v>2513.3428397862403</v>
      </c>
      <c r="V38" s="116">
        <v>2692.8673283424005</v>
      </c>
      <c r="W38" s="116">
        <v>2962.1540611766404</v>
      </c>
      <c r="X38" s="116">
        <v>3231.4407940108804</v>
      </c>
    </row>
    <row r="39" spans="1:24" x14ac:dyDescent="0.3">
      <c r="A39" s="117" t="s">
        <v>113</v>
      </c>
      <c r="B39" s="65"/>
      <c r="C39" s="66"/>
      <c r="D39" s="66"/>
      <c r="E39" s="66"/>
      <c r="F39" s="66"/>
      <c r="G39" s="66"/>
      <c r="H39" s="66"/>
      <c r="I39" s="66"/>
      <c r="J39" s="118"/>
      <c r="K39" s="118"/>
      <c r="L39" s="119"/>
      <c r="M39" s="119"/>
      <c r="N39" s="119"/>
      <c r="O39" s="119"/>
      <c r="P39" s="119"/>
      <c r="Q39" s="119"/>
      <c r="R39" s="119"/>
      <c r="S39" s="119"/>
      <c r="T39" s="119"/>
      <c r="U39" s="119"/>
      <c r="V39" s="119"/>
      <c r="W39" s="119"/>
      <c r="X39" s="119"/>
    </row>
    <row r="40" spans="1:24" x14ac:dyDescent="0.3">
      <c r="A40" s="120" t="s">
        <v>122</v>
      </c>
      <c r="B40" s="69"/>
      <c r="C40" s="70"/>
      <c r="D40" s="70"/>
      <c r="E40" s="70"/>
      <c r="F40" s="70"/>
      <c r="G40" s="70"/>
      <c r="H40" s="70"/>
      <c r="I40" s="70"/>
      <c r="J40" s="121"/>
      <c r="K40" s="121"/>
      <c r="L40" s="122">
        <v>0</v>
      </c>
      <c r="M40" s="116">
        <v>0.58345458780752002</v>
      </c>
      <c r="N40" s="116">
        <v>44.881122139040002</v>
      </c>
      <c r="O40" s="116">
        <v>89.762244278080004</v>
      </c>
      <c r="P40" s="116">
        <v>157.08392748664002</v>
      </c>
      <c r="Q40" s="116">
        <v>269.28673283424001</v>
      </c>
      <c r="R40" s="116">
        <v>381.48953818184003</v>
      </c>
      <c r="S40" s="116">
        <v>493.69234352944005</v>
      </c>
      <c r="T40" s="116">
        <v>628.33570994656009</v>
      </c>
      <c r="U40" s="116">
        <v>762.97907636368006</v>
      </c>
      <c r="V40" s="116">
        <v>942.50356491984007</v>
      </c>
      <c r="W40" s="116">
        <v>1211.79029775408</v>
      </c>
      <c r="X40" s="116">
        <v>1436.1959084492801</v>
      </c>
    </row>
    <row r="41" spans="1:24" x14ac:dyDescent="0.3">
      <c r="A41" s="120" t="s">
        <v>123</v>
      </c>
      <c r="B41" s="69"/>
      <c r="C41" s="70"/>
      <c r="D41" s="70"/>
      <c r="E41" s="70"/>
      <c r="F41" s="70"/>
      <c r="G41" s="70"/>
      <c r="H41" s="70"/>
      <c r="I41" s="70"/>
      <c r="J41" s="121"/>
      <c r="K41" s="123">
        <v>67.797898560000007</v>
      </c>
      <c r="L41" s="122">
        <v>88.137268128000002</v>
      </c>
      <c r="M41" s="116">
        <v>108.476637696</v>
      </c>
      <c r="N41" s="124">
        <v>135.59579712000001</v>
      </c>
      <c r="O41" s="124">
        <v>135.59579712000001</v>
      </c>
      <c r="P41" s="124">
        <v>135.59579712000001</v>
      </c>
      <c r="Q41" s="124">
        <v>135.59579712000001</v>
      </c>
      <c r="R41" s="124">
        <v>135.59579712000001</v>
      </c>
      <c r="S41" s="124">
        <v>135.59579712000001</v>
      </c>
      <c r="T41" s="124">
        <v>135.59579712000001</v>
      </c>
      <c r="U41" s="124">
        <v>135.59579712000001</v>
      </c>
      <c r="V41" s="124">
        <v>135.59579712000001</v>
      </c>
      <c r="W41" s="124">
        <v>135.59579712000001</v>
      </c>
      <c r="X41" s="124">
        <v>135.59579712000001</v>
      </c>
    </row>
    <row r="42" spans="1:24" x14ac:dyDescent="0.3">
      <c r="A42" s="125" t="s">
        <v>116</v>
      </c>
      <c r="B42" s="96"/>
      <c r="C42" s="96"/>
      <c r="D42" s="96"/>
      <c r="E42" s="96"/>
      <c r="F42" s="96"/>
      <c r="G42" s="96"/>
      <c r="H42" s="96"/>
      <c r="I42" s="96"/>
      <c r="J42" s="126"/>
      <c r="K42" s="126">
        <v>8.976224427807999</v>
      </c>
      <c r="L42" s="127">
        <v>26.928673283423997</v>
      </c>
      <c r="M42" s="127">
        <v>48.785779765136496</v>
      </c>
      <c r="N42" s="127">
        <v>44.881122139040002</v>
      </c>
      <c r="O42" s="127">
        <v>67.321683208560003</v>
      </c>
      <c r="P42" s="127">
        <v>89.762244278080004</v>
      </c>
      <c r="Q42" s="127">
        <v>134.64336641712001</v>
      </c>
      <c r="R42" s="127">
        <v>179.52448855616001</v>
      </c>
      <c r="S42" s="127">
        <v>224.40561069520001</v>
      </c>
      <c r="T42" s="127">
        <v>269.28673283424001</v>
      </c>
      <c r="U42" s="127">
        <v>314.16785497328004</v>
      </c>
      <c r="V42" s="127">
        <v>314.16785497328004</v>
      </c>
      <c r="W42" s="127">
        <v>314.16785497328004</v>
      </c>
      <c r="X42" s="127">
        <v>359.04897711232002</v>
      </c>
    </row>
    <row r="43" spans="1:24" x14ac:dyDescent="0.3">
      <c r="A43" s="128" t="s">
        <v>117</v>
      </c>
      <c r="B43" s="129"/>
      <c r="C43" s="129"/>
      <c r="D43" s="129"/>
      <c r="E43" s="129"/>
      <c r="F43" s="129"/>
      <c r="G43" s="129"/>
      <c r="H43" s="129"/>
      <c r="I43" s="129"/>
      <c r="J43" s="130">
        <v>807.8601985027201</v>
      </c>
      <c r="K43" s="130">
        <v>942.50356491984007</v>
      </c>
      <c r="L43" s="130">
        <v>1077.1469313369601</v>
      </c>
      <c r="M43" s="130">
        <v>1131.0042779038081</v>
      </c>
      <c r="N43" s="130">
        <v>1184.8616244706561</v>
      </c>
      <c r="O43" s="130">
        <v>1238.7189710375042</v>
      </c>
      <c r="P43" s="130">
        <v>1292.576317604352</v>
      </c>
      <c r="Q43" s="130">
        <v>1346.4336641712002</v>
      </c>
      <c r="R43" s="130">
        <v>1346.4336641712002</v>
      </c>
      <c r="S43" s="130">
        <v>1346.4336641712002</v>
      </c>
      <c r="T43" s="130">
        <v>1346.4336641712002</v>
      </c>
      <c r="U43" s="130">
        <v>1346.4336641712002</v>
      </c>
      <c r="V43" s="130">
        <v>1346.4336641712002</v>
      </c>
      <c r="W43" s="130">
        <v>1346.4336641712002</v>
      </c>
      <c r="X43" s="130">
        <v>1346.4336641712002</v>
      </c>
    </row>
    <row r="44" spans="1:24" x14ac:dyDescent="0.3">
      <c r="A44" s="99"/>
      <c r="B44" s="100"/>
      <c r="C44" s="100"/>
      <c r="D44" s="100"/>
      <c r="E44" s="100"/>
      <c r="F44" s="100"/>
      <c r="G44" s="100"/>
      <c r="H44" s="100"/>
      <c r="I44" s="100"/>
      <c r="J44" s="100"/>
      <c r="K44" s="100"/>
      <c r="L44" s="100"/>
      <c r="M44" s="100"/>
      <c r="N44" s="100"/>
      <c r="O44" s="100"/>
      <c r="P44" s="100"/>
      <c r="Q44" s="100"/>
      <c r="R44" s="100"/>
      <c r="S44" s="100"/>
      <c r="T44" s="100"/>
      <c r="U44" s="100"/>
      <c r="V44" s="100"/>
      <c r="W44" s="100"/>
      <c r="X44" s="100"/>
    </row>
    <row r="45" spans="1:24" x14ac:dyDescent="0.3">
      <c r="N45" s="116"/>
      <c r="O45" s="116"/>
      <c r="P45" s="116"/>
      <c r="Q45" s="116"/>
      <c r="R45" s="116"/>
      <c r="S45" s="116"/>
      <c r="T45" s="116"/>
      <c r="U45" s="116"/>
      <c r="V45" s="116"/>
      <c r="W45" s="116"/>
      <c r="X45" s="116"/>
    </row>
    <row r="46" spans="1:24" x14ac:dyDescent="0.3">
      <c r="A46" s="131" t="s">
        <v>124</v>
      </c>
      <c r="B46" s="80">
        <v>2010</v>
      </c>
      <c r="C46" s="81">
        <v>2015</v>
      </c>
      <c r="D46" s="81">
        <v>2020</v>
      </c>
      <c r="E46" s="81">
        <v>2025</v>
      </c>
      <c r="F46" s="81">
        <v>2030</v>
      </c>
      <c r="G46" s="132">
        <v>2035</v>
      </c>
      <c r="N46" s="133"/>
      <c r="O46" s="133"/>
      <c r="P46" s="133"/>
      <c r="Q46" s="133"/>
      <c r="R46" s="133"/>
      <c r="S46" s="133"/>
      <c r="T46" s="133"/>
      <c r="U46" s="133"/>
      <c r="V46" s="133"/>
      <c r="W46" s="133"/>
      <c r="X46" s="133"/>
    </row>
    <row r="47" spans="1:24" x14ac:dyDescent="0.3">
      <c r="A47" s="74" t="s">
        <v>125</v>
      </c>
      <c r="B47" s="96">
        <v>3.2105354080000001</v>
      </c>
      <c r="C47" s="96">
        <v>9.0650411520000009</v>
      </c>
      <c r="D47" s="96">
        <v>277.85110771199999</v>
      </c>
      <c r="E47" s="96">
        <v>423.12915374400001</v>
      </c>
      <c r="F47" s="96">
        <v>948.44681142400009</v>
      </c>
      <c r="G47" s="134">
        <v>1383.423188992</v>
      </c>
      <c r="Q47" s="135"/>
    </row>
    <row r="48" spans="1:24" x14ac:dyDescent="0.3">
      <c r="A48" s="46" t="s">
        <v>126</v>
      </c>
      <c r="C48" s="136">
        <v>0.23071774703632197</v>
      </c>
      <c r="D48" s="136">
        <v>0.98284364855821549</v>
      </c>
      <c r="E48" s="136">
        <v>8.7757692792144626E-2</v>
      </c>
      <c r="F48" s="136">
        <v>0.17518978084728398</v>
      </c>
      <c r="G48" s="136">
        <v>7.8421193179392557E-2</v>
      </c>
      <c r="Q48" s="135"/>
    </row>
    <row r="49" spans="17:17" x14ac:dyDescent="0.3">
      <c r="Q49" s="135"/>
    </row>
    <row r="50" spans="17:17" x14ac:dyDescent="0.3">
      <c r="Q50" s="135"/>
    </row>
    <row r="51" spans="17:17" x14ac:dyDescent="0.3">
      <c r="Q51" s="135"/>
    </row>
    <row r="52" spans="17:17" x14ac:dyDescent="0.3">
      <c r="Q52" s="135"/>
    </row>
    <row r="53" spans="17:17" x14ac:dyDescent="0.3">
      <c r="Q53" s="135"/>
    </row>
    <row r="148" spans="22:22" x14ac:dyDescent="0.3">
      <c r="V148" s="137"/>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CE5C6A-2790-445B-A08A-4DDF391967DC}">
  <dimension ref="A1:K38"/>
  <sheetViews>
    <sheetView workbookViewId="0">
      <selection sqref="A1:XFD1"/>
    </sheetView>
  </sheetViews>
  <sheetFormatPr defaultColWidth="9.109375" defaultRowHeight="13.8" x14ac:dyDescent="0.3"/>
  <cols>
    <col min="1" max="1" width="33" style="139" customWidth="1"/>
    <col min="2" max="2" width="13.5546875" style="139" customWidth="1"/>
    <col min="3" max="4" width="10.44140625" style="139" bestFit="1" customWidth="1"/>
    <col min="5" max="16384" width="9.109375" style="139"/>
  </cols>
  <sheetData>
    <row r="1" spans="1:11" s="46" customFormat="1" ht="14.4" x14ac:dyDescent="0.3">
      <c r="A1" s="46" t="s">
        <v>127</v>
      </c>
    </row>
    <row r="2" spans="1:11" ht="15.6" x14ac:dyDescent="0.3">
      <c r="A2" s="138" t="s">
        <v>128</v>
      </c>
    </row>
    <row r="4" spans="1:11" x14ac:dyDescent="0.3">
      <c r="A4" s="140" t="s">
        <v>129</v>
      </c>
    </row>
    <row r="5" spans="1:11" x14ac:dyDescent="0.3">
      <c r="A5" s="140"/>
      <c r="C5" s="140" t="s">
        <v>130</v>
      </c>
      <c r="D5" s="139" t="s">
        <v>131</v>
      </c>
    </row>
    <row r="6" spans="1:11" x14ac:dyDescent="0.3">
      <c r="A6" s="140"/>
    </row>
    <row r="7" spans="1:11" x14ac:dyDescent="0.3">
      <c r="I7" s="141">
        <v>2015</v>
      </c>
      <c r="J7" s="141">
        <v>2020</v>
      </c>
      <c r="K7" s="141" t="s">
        <v>132</v>
      </c>
    </row>
    <row r="8" spans="1:11" x14ac:dyDescent="0.3">
      <c r="A8" s="139" t="s">
        <v>133</v>
      </c>
      <c r="B8" s="142" t="s">
        <v>134</v>
      </c>
      <c r="C8" s="140" t="s">
        <v>134</v>
      </c>
      <c r="D8" s="139" t="s">
        <v>135</v>
      </c>
      <c r="I8" s="143">
        <v>1346.4336641712002</v>
      </c>
      <c r="J8" s="143">
        <v>1346.4336641712002</v>
      </c>
      <c r="K8" s="143">
        <v>1346.4336641712002</v>
      </c>
    </row>
    <row r="9" spans="1:11" x14ac:dyDescent="0.3">
      <c r="C9" s="144" t="s">
        <v>136</v>
      </c>
      <c r="D9" s="139" t="s">
        <v>137</v>
      </c>
      <c r="I9" s="143">
        <v>1615.7203970054402</v>
      </c>
      <c r="J9" s="143">
        <v>1615.7203970054402</v>
      </c>
      <c r="K9" s="143">
        <v>1615.7203970054402</v>
      </c>
    </row>
    <row r="10" spans="1:11" x14ac:dyDescent="0.3">
      <c r="C10" s="139" t="s">
        <v>138</v>
      </c>
      <c r="D10" s="139" t="s">
        <v>139</v>
      </c>
      <c r="I10" s="143">
        <v>1077.1469313369603</v>
      </c>
      <c r="J10" s="143">
        <v>1077.1469313369603</v>
      </c>
      <c r="K10" s="143">
        <v>1077.1469313369603</v>
      </c>
    </row>
    <row r="11" spans="1:11" x14ac:dyDescent="0.3">
      <c r="C11" s="139" t="s">
        <v>140</v>
      </c>
      <c r="D11" s="139" t="s">
        <v>141</v>
      </c>
      <c r="I11" s="143">
        <v>1346.4336641712002</v>
      </c>
      <c r="J11" s="143">
        <v>1346.4336641712002</v>
      </c>
      <c r="K11" s="143">
        <v>1346.4336641712002</v>
      </c>
    </row>
    <row r="12" spans="1:11" x14ac:dyDescent="0.3">
      <c r="I12" s="143"/>
      <c r="J12" s="143"/>
      <c r="K12" s="143"/>
    </row>
    <row r="13" spans="1:11" x14ac:dyDescent="0.3">
      <c r="I13" s="141">
        <v>2015</v>
      </c>
      <c r="J13" s="141">
        <v>2020</v>
      </c>
      <c r="K13" s="141" t="s">
        <v>132</v>
      </c>
    </row>
    <row r="14" spans="1:11" x14ac:dyDescent="0.3">
      <c r="A14" s="139" t="s">
        <v>142</v>
      </c>
      <c r="B14" s="142" t="s">
        <v>143</v>
      </c>
      <c r="C14" s="139" t="s">
        <v>134</v>
      </c>
      <c r="D14" s="139" t="s">
        <v>144</v>
      </c>
      <c r="I14" s="143">
        <v>269.28673283424001</v>
      </c>
      <c r="J14" s="143">
        <v>942.50356491984007</v>
      </c>
      <c r="K14" s="143">
        <v>1436.1959084492801</v>
      </c>
    </row>
    <row r="15" spans="1:11" x14ac:dyDescent="0.3">
      <c r="A15" s="145" t="s">
        <v>145</v>
      </c>
      <c r="C15" s="144" t="s">
        <v>136</v>
      </c>
      <c r="D15" s="139" t="s">
        <v>146</v>
      </c>
      <c r="J15" s="143">
        <v>1131.0042779038081</v>
      </c>
      <c r="K15" s="143">
        <v>1723.435090139136</v>
      </c>
    </row>
    <row r="16" spans="1:11" x14ac:dyDescent="0.3">
      <c r="C16" s="139" t="s">
        <v>138</v>
      </c>
      <c r="D16" s="139" t="s">
        <v>147</v>
      </c>
      <c r="J16" s="143">
        <v>754.00285193587206</v>
      </c>
      <c r="K16" s="143">
        <v>1148.9567267594241</v>
      </c>
    </row>
    <row r="17" spans="1:11" x14ac:dyDescent="0.3">
      <c r="C17" s="140" t="s">
        <v>143</v>
      </c>
      <c r="D17" s="139" t="s">
        <v>148</v>
      </c>
      <c r="I17" s="139">
        <v>0</v>
      </c>
      <c r="J17" s="139">
        <v>0</v>
      </c>
      <c r="K17" s="139">
        <v>0</v>
      </c>
    </row>
    <row r="19" spans="1:11" x14ac:dyDescent="0.3">
      <c r="A19" s="139" t="s">
        <v>149</v>
      </c>
      <c r="B19" s="142" t="s">
        <v>143</v>
      </c>
      <c r="C19" s="140" t="s">
        <v>143</v>
      </c>
      <c r="D19" s="139" t="s">
        <v>150</v>
      </c>
    </row>
    <row r="20" spans="1:11" x14ac:dyDescent="0.3">
      <c r="C20" s="139" t="s">
        <v>151</v>
      </c>
      <c r="D20" s="139" t="s">
        <v>152</v>
      </c>
    </row>
    <row r="22" spans="1:11" x14ac:dyDescent="0.3">
      <c r="A22" s="139" t="s">
        <v>153</v>
      </c>
      <c r="B22" s="142" t="s">
        <v>154</v>
      </c>
      <c r="C22" s="140" t="s">
        <v>154</v>
      </c>
      <c r="D22" s="139" t="s">
        <v>155</v>
      </c>
    </row>
    <row r="23" spans="1:11" x14ac:dyDescent="0.3">
      <c r="C23" s="139" t="s">
        <v>156</v>
      </c>
      <c r="D23" s="139" t="s">
        <v>157</v>
      </c>
    </row>
    <row r="25" spans="1:11" x14ac:dyDescent="0.3">
      <c r="A25" s="139" t="s">
        <v>158</v>
      </c>
      <c r="B25" s="142" t="s">
        <v>151</v>
      </c>
      <c r="C25" s="140" t="s">
        <v>151</v>
      </c>
      <c r="D25" s="139" t="s">
        <v>159</v>
      </c>
    </row>
    <row r="26" spans="1:11" x14ac:dyDescent="0.3">
      <c r="C26" s="139" t="s">
        <v>143</v>
      </c>
      <c r="D26" s="139" t="s">
        <v>160</v>
      </c>
    </row>
    <row r="31" spans="1:11" x14ac:dyDescent="0.3">
      <c r="A31" s="139" t="s">
        <v>110</v>
      </c>
    </row>
    <row r="32" spans="1:11" x14ac:dyDescent="0.3">
      <c r="A32" s="139" t="s">
        <v>121</v>
      </c>
      <c r="B32" s="146">
        <v>2015</v>
      </c>
      <c r="C32" s="146">
        <v>2020</v>
      </c>
      <c r="D32" s="146">
        <v>2022</v>
      </c>
    </row>
    <row r="33" spans="1:4" x14ac:dyDescent="0.3">
      <c r="A33" s="139" t="s">
        <v>112</v>
      </c>
      <c r="B33" s="143">
        <v>1840.1260077006402</v>
      </c>
      <c r="C33" s="143">
        <v>2692.8673283424005</v>
      </c>
      <c r="D33" s="143">
        <v>3231.4407940108804</v>
      </c>
    </row>
    <row r="34" spans="1:4" x14ac:dyDescent="0.3">
      <c r="A34" s="139" t="s">
        <v>113</v>
      </c>
      <c r="B34" s="143"/>
      <c r="C34" s="143"/>
      <c r="D34" s="143"/>
    </row>
    <row r="35" spans="1:4" x14ac:dyDescent="0.3">
      <c r="A35" s="139" t="s">
        <v>122</v>
      </c>
      <c r="B35" s="143">
        <v>269.28673283424001</v>
      </c>
      <c r="C35" s="143">
        <v>942.50356491984007</v>
      </c>
      <c r="D35" s="143">
        <v>1436.1959084492801</v>
      </c>
    </row>
    <row r="36" spans="1:4" x14ac:dyDescent="0.3">
      <c r="A36" s="139" t="s">
        <v>123</v>
      </c>
      <c r="B36" s="143">
        <v>135.59579712000001</v>
      </c>
      <c r="C36" s="143">
        <v>135.59579712000001</v>
      </c>
      <c r="D36" s="143">
        <v>135.59579712000001</v>
      </c>
    </row>
    <row r="37" spans="1:4" x14ac:dyDescent="0.3">
      <c r="A37" s="139" t="s">
        <v>116</v>
      </c>
      <c r="B37" s="143">
        <v>134.64336641712001</v>
      </c>
      <c r="C37" s="143">
        <v>314.16785497328004</v>
      </c>
      <c r="D37" s="143">
        <v>359.04897711232002</v>
      </c>
    </row>
    <row r="38" spans="1:4" x14ac:dyDescent="0.3">
      <c r="A38" s="139" t="s">
        <v>117</v>
      </c>
      <c r="B38" s="143">
        <v>1346.4336641712002</v>
      </c>
      <c r="C38" s="143">
        <v>1346.4336641712002</v>
      </c>
      <c r="D38" s="143">
        <v>1346.4336641712002</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69C0C1-30C5-4FEB-A3DC-1474C31FBCC0}">
  <dimension ref="A1:V156"/>
  <sheetViews>
    <sheetView workbookViewId="0">
      <selection activeCell="A10" sqref="A10"/>
    </sheetView>
  </sheetViews>
  <sheetFormatPr defaultColWidth="9.109375" defaultRowHeight="14.4" x14ac:dyDescent="0.3"/>
  <cols>
    <col min="1" max="1" width="46.44140625" style="46" customWidth="1"/>
    <col min="2" max="2" width="20.109375" style="46" customWidth="1"/>
    <col min="3" max="3" width="22.88671875" style="46" customWidth="1"/>
    <col min="4" max="4" width="10.33203125" style="46" customWidth="1"/>
    <col min="5" max="5" width="9.33203125" style="46" bestFit="1" customWidth="1"/>
    <col min="6" max="7" width="9.5546875" style="46" bestFit="1" customWidth="1"/>
    <col min="8" max="10" width="10.5546875" style="46" bestFit="1" customWidth="1"/>
    <col min="11" max="16384" width="9.109375" style="46"/>
  </cols>
  <sheetData>
    <row r="1" spans="1:18" x14ac:dyDescent="0.3">
      <c r="A1" s="46" t="s">
        <v>127</v>
      </c>
    </row>
    <row r="2" spans="1:18" ht="18" x14ac:dyDescent="0.35">
      <c r="A2" s="147" t="s">
        <v>161</v>
      </c>
      <c r="B2" s="148"/>
      <c r="C2" s="148"/>
      <c r="D2" s="148"/>
      <c r="E2" s="148"/>
      <c r="F2" s="148"/>
      <c r="G2" s="148"/>
      <c r="H2" s="148"/>
      <c r="I2" s="148"/>
      <c r="J2" s="148"/>
    </row>
    <row r="3" spans="1:18" x14ac:dyDescent="0.3">
      <c r="A3" s="45" t="s">
        <v>162</v>
      </c>
    </row>
    <row r="4" spans="1:18" x14ac:dyDescent="0.3">
      <c r="A4" s="45"/>
    </row>
    <row r="5" spans="1:18" x14ac:dyDescent="0.3">
      <c r="A5" s="62"/>
      <c r="B5" s="62" t="s">
        <v>163</v>
      </c>
      <c r="C5" s="62" t="s">
        <v>10</v>
      </c>
    </row>
    <row r="7" spans="1:18" x14ac:dyDescent="0.3">
      <c r="A7" s="62" t="s">
        <v>164</v>
      </c>
      <c r="D7" s="149">
        <v>2000</v>
      </c>
      <c r="E7" s="149">
        <v>2005</v>
      </c>
      <c r="F7" s="149">
        <v>2010</v>
      </c>
      <c r="G7" s="149">
        <v>2015</v>
      </c>
      <c r="H7" s="149">
        <v>2020</v>
      </c>
      <c r="I7" s="149">
        <v>2025</v>
      </c>
      <c r="J7" s="149" t="s">
        <v>165</v>
      </c>
    </row>
    <row r="8" spans="1:18" x14ac:dyDescent="0.3">
      <c r="A8" s="133" t="s">
        <v>166</v>
      </c>
      <c r="B8" s="133" t="s">
        <v>167</v>
      </c>
      <c r="C8" s="133" t="s">
        <v>168</v>
      </c>
      <c r="D8" s="150">
        <v>111.10066050198151</v>
      </c>
      <c r="E8" s="150">
        <v>149.80449141347424</v>
      </c>
      <c r="F8" s="150">
        <v>-224</v>
      </c>
      <c r="G8" s="150">
        <v>981.45975484495921</v>
      </c>
      <c r="H8" s="150">
        <v>2838.6406551508298</v>
      </c>
      <c r="I8" s="150">
        <v>3339.8431736428602</v>
      </c>
      <c r="J8" s="150">
        <v>3339.8431736428602</v>
      </c>
    </row>
    <row r="9" spans="1:18" x14ac:dyDescent="0.3">
      <c r="A9" s="46" t="s">
        <v>169</v>
      </c>
      <c r="B9" s="46" t="s">
        <v>170</v>
      </c>
      <c r="C9" s="46" t="s">
        <v>171</v>
      </c>
      <c r="D9" s="151">
        <v>1.2324593540772535</v>
      </c>
      <c r="E9" s="151">
        <v>1.5566490890613454</v>
      </c>
      <c r="F9" s="151">
        <v>1.9949181663533069</v>
      </c>
      <c r="G9" s="151">
        <v>2.2232994692836519</v>
      </c>
      <c r="H9" s="151">
        <v>2.6365053309539488</v>
      </c>
      <c r="I9" s="151">
        <v>2.4835172816783913</v>
      </c>
      <c r="J9" s="151">
        <v>2.4835172816783913</v>
      </c>
    </row>
    <row r="10" spans="1:18" x14ac:dyDescent="0.3">
      <c r="A10" s="46" t="s">
        <v>172</v>
      </c>
      <c r="B10" s="46" t="s">
        <v>173</v>
      </c>
      <c r="C10" s="46" t="s">
        <v>174</v>
      </c>
      <c r="D10" s="152">
        <v>2.5000000000000001E-2</v>
      </c>
      <c r="E10" s="152">
        <v>2.5000000000000001E-2</v>
      </c>
      <c r="F10" s="152">
        <v>2.5000000000000001E-2</v>
      </c>
      <c r="G10" s="152">
        <v>0</v>
      </c>
      <c r="H10" s="152">
        <v>0</v>
      </c>
      <c r="I10" s="152">
        <v>0</v>
      </c>
      <c r="J10" s="152">
        <v>0</v>
      </c>
    </row>
    <row r="11" spans="1:18" x14ac:dyDescent="0.3">
      <c r="A11" s="46" t="s">
        <v>175</v>
      </c>
      <c r="B11" s="46" t="s">
        <v>176</v>
      </c>
      <c r="C11" s="46" t="s">
        <v>171</v>
      </c>
      <c r="D11" s="151">
        <v>0.54</v>
      </c>
      <c r="E11" s="151">
        <v>0.54</v>
      </c>
      <c r="F11" s="151">
        <v>0.54</v>
      </c>
      <c r="G11" s="151">
        <v>0</v>
      </c>
      <c r="H11" s="151">
        <v>0</v>
      </c>
      <c r="I11" s="151">
        <v>0</v>
      </c>
      <c r="J11" s="151">
        <v>0</v>
      </c>
    </row>
    <row r="12" spans="1:18" x14ac:dyDescent="0.3">
      <c r="D12" s="153"/>
      <c r="E12" s="153"/>
      <c r="F12" s="153"/>
      <c r="G12" s="153"/>
      <c r="H12" s="153"/>
      <c r="I12" s="153"/>
      <c r="J12" s="153"/>
    </row>
    <row r="13" spans="1:18" x14ac:dyDescent="0.3">
      <c r="C13" s="62" t="s">
        <v>177</v>
      </c>
      <c r="D13" s="149">
        <v>1999</v>
      </c>
      <c r="E13" s="149">
        <v>2000</v>
      </c>
      <c r="F13" s="149">
        <v>2004</v>
      </c>
      <c r="G13" s="149">
        <v>2005</v>
      </c>
      <c r="H13" s="149">
        <v>2009</v>
      </c>
      <c r="I13" s="149">
        <v>2010</v>
      </c>
      <c r="J13" s="149">
        <v>2014</v>
      </c>
      <c r="K13" s="149">
        <v>2015</v>
      </c>
      <c r="L13" s="149">
        <v>2019</v>
      </c>
      <c r="M13" s="149">
        <v>2020</v>
      </c>
      <c r="N13" s="149">
        <v>2024</v>
      </c>
      <c r="O13" s="149">
        <v>2025</v>
      </c>
      <c r="P13" s="46" t="s">
        <v>178</v>
      </c>
    </row>
    <row r="14" spans="1:18" x14ac:dyDescent="0.3">
      <c r="A14" s="154" t="s">
        <v>179</v>
      </c>
      <c r="B14" s="155" t="s">
        <v>180</v>
      </c>
      <c r="C14" s="133" t="s">
        <v>168</v>
      </c>
      <c r="D14" s="150">
        <v>171.25517569352706</v>
      </c>
      <c r="E14" s="150">
        <v>146.66153236459712</v>
      </c>
      <c r="F14" s="150">
        <v>153.99309114927345</v>
      </c>
      <c r="G14" s="150">
        <v>551.75668692206079</v>
      </c>
      <c r="H14" s="150">
        <v>175.37990568031702</v>
      </c>
      <c r="I14" s="150">
        <v>183.49505717716229</v>
      </c>
      <c r="J14" s="150">
        <v>1028.4663758971976</v>
      </c>
      <c r="K14" s="150">
        <v>1333.333333333333</v>
      </c>
      <c r="L14" s="150">
        <v>2999.9999999999982</v>
      </c>
      <c r="M14" s="150">
        <v>3000</v>
      </c>
      <c r="N14" s="150">
        <v>3500</v>
      </c>
      <c r="O14" s="150">
        <v>3500</v>
      </c>
      <c r="R14" s="46" t="s">
        <v>181</v>
      </c>
    </row>
    <row r="15" spans="1:18" x14ac:dyDescent="0.3">
      <c r="A15" s="133" t="s">
        <v>182</v>
      </c>
      <c r="B15" s="46" t="s">
        <v>183</v>
      </c>
      <c r="C15" s="133" t="s">
        <v>168</v>
      </c>
      <c r="D15" s="150">
        <v>41.299191545574637</v>
      </c>
      <c r="E15" s="150">
        <v>83.251463672391012</v>
      </c>
      <c r="F15" s="150">
        <v>56.950943196829591</v>
      </c>
      <c r="G15" s="150">
        <v>49.492422721268163</v>
      </c>
      <c r="H15" s="150">
        <v>262.76078811096431</v>
      </c>
      <c r="I15" s="150">
        <v>320.48718200597023</v>
      </c>
      <c r="J15" s="150">
        <v>147.73671425346919</v>
      </c>
      <c r="K15" s="150">
        <v>150.4133930762909</v>
      </c>
      <c r="L15" s="150">
        <v>161.40550386059795</v>
      </c>
      <c r="M15" s="150">
        <v>161.26702871224515</v>
      </c>
      <c r="N15" s="150">
        <v>160.17553897791038</v>
      </c>
      <c r="O15" s="150">
        <v>160.1194040137475</v>
      </c>
    </row>
    <row r="16" spans="1:18" x14ac:dyDescent="0.3">
      <c r="A16" s="133"/>
      <c r="C16" s="156" t="s">
        <v>184</v>
      </c>
      <c r="D16" s="116">
        <v>129.95598414795242</v>
      </c>
      <c r="E16" s="116">
        <v>63.41006869220611</v>
      </c>
      <c r="F16" s="116">
        <v>97.042147952443855</v>
      </c>
      <c r="G16" s="116">
        <v>502.26426420079264</v>
      </c>
      <c r="H16" s="116">
        <v>-87.38088243064729</v>
      </c>
      <c r="I16" s="116">
        <v>-136.99212482880793</v>
      </c>
      <c r="J16" s="116">
        <v>880.72966164372838</v>
      </c>
      <c r="K16" s="116">
        <v>1182.9199402570421</v>
      </c>
      <c r="L16" s="116">
        <v>2838.5944961394002</v>
      </c>
      <c r="M16" s="116">
        <v>2838.7329712877549</v>
      </c>
      <c r="N16" s="116">
        <v>3339.8244610220895</v>
      </c>
      <c r="O16" s="116">
        <v>3339.8805959862525</v>
      </c>
    </row>
    <row r="17" spans="1:16" x14ac:dyDescent="0.3">
      <c r="A17" s="133"/>
      <c r="C17" s="133"/>
      <c r="D17" s="116"/>
      <c r="E17" s="116"/>
      <c r="F17" s="116"/>
      <c r="G17" s="116"/>
      <c r="H17" s="116"/>
      <c r="I17" s="116"/>
      <c r="J17" s="116"/>
      <c r="K17" s="116"/>
      <c r="L17" s="116"/>
      <c r="M17" s="116"/>
      <c r="N17" s="116"/>
      <c r="O17" s="116"/>
    </row>
    <row r="18" spans="1:16" x14ac:dyDescent="0.3">
      <c r="C18" s="62" t="s">
        <v>185</v>
      </c>
      <c r="D18" s="149">
        <v>2000</v>
      </c>
      <c r="E18" s="149">
        <v>2005</v>
      </c>
      <c r="F18" s="149">
        <v>2010</v>
      </c>
      <c r="G18" s="149">
        <v>2015</v>
      </c>
      <c r="H18" s="149">
        <v>2020</v>
      </c>
      <c r="I18" s="149">
        <v>2025</v>
      </c>
      <c r="J18" s="149" t="s">
        <v>165</v>
      </c>
    </row>
    <row r="19" spans="1:16" x14ac:dyDescent="0.3">
      <c r="A19" s="133" t="s">
        <v>186</v>
      </c>
      <c r="C19" s="46" t="s">
        <v>168</v>
      </c>
      <c r="D19" s="116">
        <v>163.05729458388373</v>
      </c>
      <c r="E19" s="116">
        <v>286.58095640686923</v>
      </c>
      <c r="F19" s="116">
        <v>178.08495617926545</v>
      </c>
      <c r="G19" s="116">
        <v>1130.0886950425761</v>
      </c>
      <c r="H19" s="116">
        <v>2999.9999999999991</v>
      </c>
      <c r="I19" s="116">
        <v>3500</v>
      </c>
      <c r="J19" s="116">
        <v>3500</v>
      </c>
    </row>
    <row r="20" spans="1:16" x14ac:dyDescent="0.3">
      <c r="A20" s="133" t="s">
        <v>187</v>
      </c>
      <c r="C20" s="46" t="s">
        <v>168</v>
      </c>
      <c r="D20" s="116">
        <v>55.283282254513423</v>
      </c>
      <c r="E20" s="116">
        <v>54.46476970497578</v>
      </c>
      <c r="F20" s="116">
        <v>282.00291940929964</v>
      </c>
      <c r="G20" s="116">
        <v>148.62894052774311</v>
      </c>
      <c r="H20" s="116">
        <v>161.35934547781369</v>
      </c>
      <c r="I20" s="116">
        <v>160.15682732318942</v>
      </c>
      <c r="J20" s="116">
        <v>160.15682732318942</v>
      </c>
    </row>
    <row r="21" spans="1:16" x14ac:dyDescent="0.3">
      <c r="C21" s="156" t="s">
        <v>184</v>
      </c>
      <c r="D21" s="116">
        <v>107.77401232937031</v>
      </c>
      <c r="E21" s="116">
        <v>232.11618670189347</v>
      </c>
      <c r="F21" s="116">
        <v>-103.91796323003419</v>
      </c>
      <c r="G21" s="116">
        <v>981.45975451483298</v>
      </c>
      <c r="H21" s="116">
        <v>2838.6406545221853</v>
      </c>
      <c r="I21" s="116">
        <v>3339.8431726768104</v>
      </c>
      <c r="J21" s="116">
        <v>3339.8431726768104</v>
      </c>
    </row>
    <row r="22" spans="1:16" x14ac:dyDescent="0.3">
      <c r="D22" s="116"/>
      <c r="E22" s="116"/>
      <c r="F22" s="116"/>
      <c r="G22" s="116"/>
      <c r="H22" s="116"/>
      <c r="I22" s="116"/>
      <c r="J22" s="116"/>
    </row>
    <row r="23" spans="1:16" x14ac:dyDescent="0.3">
      <c r="A23" s="62" t="s">
        <v>188</v>
      </c>
      <c r="C23" s="62" t="s">
        <v>177</v>
      </c>
      <c r="D23" s="149">
        <v>1999</v>
      </c>
      <c r="E23" s="149">
        <v>2000</v>
      </c>
      <c r="F23" s="149">
        <v>2004</v>
      </c>
      <c r="G23" s="149">
        <v>2005</v>
      </c>
      <c r="H23" s="149">
        <v>2009</v>
      </c>
      <c r="I23" s="149">
        <v>2010</v>
      </c>
      <c r="J23" s="149">
        <v>2014</v>
      </c>
      <c r="K23" s="149">
        <v>2015</v>
      </c>
      <c r="L23" s="149">
        <v>2019</v>
      </c>
      <c r="M23" s="149">
        <v>2020</v>
      </c>
      <c r="N23" s="149">
        <v>2024</v>
      </c>
      <c r="O23" s="149">
        <v>2025</v>
      </c>
      <c r="P23" s="46" t="s">
        <v>178</v>
      </c>
    </row>
    <row r="24" spans="1:16" x14ac:dyDescent="0.3">
      <c r="A24" s="46" t="s">
        <v>189</v>
      </c>
      <c r="B24" s="46" t="s">
        <v>190</v>
      </c>
      <c r="C24" s="46" t="s">
        <v>168</v>
      </c>
      <c r="D24" s="150">
        <v>0</v>
      </c>
      <c r="E24" s="150">
        <v>0</v>
      </c>
      <c r="F24" s="150">
        <v>0</v>
      </c>
      <c r="G24" s="150">
        <v>0.34542759999999961</v>
      </c>
      <c r="H24" s="150">
        <v>129.57</v>
      </c>
      <c r="I24" s="150">
        <v>-49.74829808407663</v>
      </c>
      <c r="J24" s="150">
        <v>-90.216675291767302</v>
      </c>
      <c r="K24" s="150">
        <v>-79.415079720813452</v>
      </c>
      <c r="L24" s="150">
        <v>-32.085784273238374</v>
      </c>
      <c r="M24" s="150">
        <v>-23.131766900878944</v>
      </c>
      <c r="N24" s="150">
        <v>7.9573513514556851</v>
      </c>
      <c r="O24" s="150">
        <v>17.353097264302136</v>
      </c>
    </row>
    <row r="25" spans="1:16" x14ac:dyDescent="0.3">
      <c r="A25" s="46" t="s">
        <v>191</v>
      </c>
      <c r="B25" s="46" t="s">
        <v>192</v>
      </c>
      <c r="C25" s="46" t="s">
        <v>171</v>
      </c>
      <c r="D25" s="150">
        <v>0</v>
      </c>
      <c r="E25" s="150">
        <v>0</v>
      </c>
      <c r="F25" s="150">
        <v>3.1248367022532904</v>
      </c>
      <c r="G25" s="150">
        <v>3.3004945820474352</v>
      </c>
      <c r="H25" s="150">
        <v>4.1477168195436747</v>
      </c>
      <c r="I25" s="150">
        <v>4.6304786421273736</v>
      </c>
      <c r="J25" s="150">
        <v>4.9831830071047598</v>
      </c>
      <c r="K25" s="150">
        <v>5.0630787246325699</v>
      </c>
      <c r="L25" s="150">
        <v>5.4794406839132197</v>
      </c>
      <c r="M25" s="150">
        <v>5.5793842991728768</v>
      </c>
      <c r="N25" s="150">
        <v>5.9492108607367884</v>
      </c>
      <c r="O25" s="150">
        <v>6.0285563975803953</v>
      </c>
    </row>
    <row r="26" spans="1:16" x14ac:dyDescent="0.3">
      <c r="J26" s="149"/>
    </row>
    <row r="27" spans="1:16" x14ac:dyDescent="0.3">
      <c r="C27" s="62" t="s">
        <v>185</v>
      </c>
      <c r="D27" s="149">
        <v>2000</v>
      </c>
      <c r="E27" s="149">
        <v>2005</v>
      </c>
      <c r="F27" s="149">
        <v>2010</v>
      </c>
      <c r="G27" s="149">
        <v>2015</v>
      </c>
      <c r="H27" s="149">
        <v>2020</v>
      </c>
      <c r="I27" s="149">
        <v>2025</v>
      </c>
      <c r="J27" s="149" t="s">
        <v>165</v>
      </c>
    </row>
    <row r="28" spans="1:16" x14ac:dyDescent="0.3">
      <c r="A28" s="46" t="s">
        <v>193</v>
      </c>
      <c r="C28" s="46" t="s">
        <v>168</v>
      </c>
      <c r="D28" s="116">
        <v>0</v>
      </c>
      <c r="E28" s="116">
        <v>0.1151425333333332</v>
      </c>
      <c r="F28" s="116">
        <v>69.79723397197445</v>
      </c>
      <c r="G28" s="116">
        <v>-86.616143434782686</v>
      </c>
      <c r="H28" s="116">
        <v>-29.101111815785231</v>
      </c>
      <c r="I28" s="116">
        <v>11.089266655737834</v>
      </c>
      <c r="J28" s="116">
        <v>11.089266655737834</v>
      </c>
    </row>
    <row r="29" spans="1:16" x14ac:dyDescent="0.3">
      <c r="A29" s="46" t="s">
        <v>194</v>
      </c>
      <c r="C29" s="46" t="s">
        <v>171</v>
      </c>
      <c r="D29" s="116">
        <v>0</v>
      </c>
      <c r="E29" s="116">
        <v>3.1833893288513382</v>
      </c>
      <c r="F29" s="116">
        <v>4.3086374270715746</v>
      </c>
      <c r="G29" s="116">
        <v>5.0098149129473635</v>
      </c>
      <c r="H29" s="116">
        <v>5.5127552223331051</v>
      </c>
      <c r="I29" s="116">
        <v>5.9756593730179901</v>
      </c>
      <c r="J29" s="116">
        <v>5.9756593730179901</v>
      </c>
    </row>
    <row r="30" spans="1:16" x14ac:dyDescent="0.3">
      <c r="D30" s="116"/>
      <c r="E30" s="116"/>
      <c r="F30" s="116"/>
      <c r="G30" s="116"/>
      <c r="H30" s="116"/>
      <c r="I30" s="116"/>
      <c r="J30" s="116"/>
    </row>
    <row r="31" spans="1:16" x14ac:dyDescent="0.3">
      <c r="A31" s="133" t="s">
        <v>195</v>
      </c>
      <c r="B31" s="46" t="s">
        <v>196</v>
      </c>
      <c r="C31" s="133" t="s">
        <v>168</v>
      </c>
      <c r="D31" s="116"/>
      <c r="E31" s="116"/>
      <c r="F31" s="116"/>
      <c r="G31" s="116">
        <v>86.616143434782686</v>
      </c>
      <c r="H31" s="116">
        <v>29.101111815785231</v>
      </c>
      <c r="I31" s="116"/>
      <c r="J31" s="116"/>
    </row>
    <row r="32" spans="1:16" x14ac:dyDescent="0.3">
      <c r="A32" s="133"/>
      <c r="C32" s="46" t="s">
        <v>171</v>
      </c>
      <c r="D32" s="116">
        <v>0</v>
      </c>
      <c r="E32" s="116">
        <v>3.1833893288513382</v>
      </c>
      <c r="F32" s="116">
        <v>4.3086374270715746</v>
      </c>
      <c r="G32" s="116">
        <v>5.0098149129473635</v>
      </c>
      <c r="H32" s="116">
        <v>5.5127552223331051</v>
      </c>
      <c r="I32" s="116">
        <v>5.9756593730179901</v>
      </c>
      <c r="J32" s="116">
        <v>5.9756593730179901</v>
      </c>
    </row>
    <row r="33" spans="1:10" x14ac:dyDescent="0.3">
      <c r="A33" s="133" t="s">
        <v>197</v>
      </c>
      <c r="B33" s="46" t="s">
        <v>196</v>
      </c>
      <c r="C33" s="133" t="s">
        <v>168</v>
      </c>
      <c r="D33" s="116">
        <v>0</v>
      </c>
      <c r="E33" s="116">
        <v>0.1151425333333332</v>
      </c>
      <c r="F33" s="116">
        <v>69.79723397197445</v>
      </c>
      <c r="G33" s="116"/>
      <c r="H33" s="116"/>
      <c r="I33" s="116">
        <v>11.089266655737834</v>
      </c>
      <c r="J33" s="116">
        <v>11.089266655737834</v>
      </c>
    </row>
    <row r="34" spans="1:10" x14ac:dyDescent="0.3">
      <c r="A34" s="133"/>
      <c r="C34" s="46" t="s">
        <v>171</v>
      </c>
      <c r="D34" s="116">
        <v>0</v>
      </c>
      <c r="E34" s="116">
        <v>3.1833893288513382</v>
      </c>
      <c r="F34" s="116">
        <v>4.3086374270715746</v>
      </c>
      <c r="G34" s="116">
        <v>5.0098149129473635</v>
      </c>
      <c r="H34" s="116">
        <v>5.5127552223331051</v>
      </c>
      <c r="I34" s="116">
        <v>5.9756593730179901</v>
      </c>
      <c r="J34" s="116">
        <v>5.9756593730179901</v>
      </c>
    </row>
    <row r="36" spans="1:10" x14ac:dyDescent="0.3">
      <c r="A36" s="157"/>
      <c r="B36" s="148"/>
      <c r="C36" s="148"/>
      <c r="D36" s="148"/>
      <c r="E36" s="148"/>
      <c r="F36" s="148"/>
      <c r="G36" s="148"/>
      <c r="H36" s="148"/>
      <c r="I36" s="148"/>
      <c r="J36" s="148"/>
    </row>
    <row r="37" spans="1:10" x14ac:dyDescent="0.3">
      <c r="A37" s="77"/>
    </row>
    <row r="38" spans="1:10" x14ac:dyDescent="0.3">
      <c r="A38" s="62"/>
      <c r="B38" s="62" t="s">
        <v>198</v>
      </c>
      <c r="C38" s="62" t="s">
        <v>10</v>
      </c>
    </row>
    <row r="39" spans="1:10" x14ac:dyDescent="0.3">
      <c r="A39" s="46" t="s">
        <v>199</v>
      </c>
      <c r="C39" s="46" t="s">
        <v>200</v>
      </c>
      <c r="D39" s="158">
        <v>14.073521089954257</v>
      </c>
      <c r="E39" s="158">
        <v>17.775461488517134</v>
      </c>
      <c r="F39" s="158">
        <v>22.780080165748245</v>
      </c>
      <c r="G39" s="158">
        <v>24.768759818392631</v>
      </c>
      <c r="H39" s="158">
        <v>29.372096833788554</v>
      </c>
      <c r="I39" s="158">
        <v>27.667727134635243</v>
      </c>
      <c r="J39" s="158">
        <v>27.667727134635243</v>
      </c>
    </row>
    <row r="40" spans="1:10" x14ac:dyDescent="0.3">
      <c r="A40" s="46" t="s">
        <v>201</v>
      </c>
      <c r="C40" s="46" t="s">
        <v>200</v>
      </c>
      <c r="D40" s="159">
        <v>6.015892364802073</v>
      </c>
      <c r="E40" s="159">
        <v>6.015892364802073</v>
      </c>
      <c r="F40" s="159">
        <v>6.015892364802073</v>
      </c>
      <c r="G40" s="159">
        <v>0</v>
      </c>
      <c r="H40" s="159">
        <v>0</v>
      </c>
      <c r="I40" s="159">
        <v>0</v>
      </c>
      <c r="J40" s="159">
        <v>0</v>
      </c>
    </row>
    <row r="41" spans="1:10" x14ac:dyDescent="0.3">
      <c r="A41" s="46" t="s">
        <v>202</v>
      </c>
      <c r="C41" s="46" t="s">
        <v>200</v>
      </c>
      <c r="D41" s="160">
        <v>20.089413454756329</v>
      </c>
      <c r="E41" s="160">
        <v>23.791353853319208</v>
      </c>
      <c r="F41" s="160">
        <v>28.795972530550319</v>
      </c>
      <c r="G41" s="160">
        <v>24.768759818392631</v>
      </c>
      <c r="H41" s="160">
        <v>29.372096833788554</v>
      </c>
      <c r="I41" s="160">
        <v>27.667727134635243</v>
      </c>
      <c r="J41" s="160">
        <v>27.667727134635243</v>
      </c>
    </row>
    <row r="44" spans="1:10" x14ac:dyDescent="0.3">
      <c r="A44" s="161" t="s">
        <v>203</v>
      </c>
      <c r="B44" s="162"/>
      <c r="C44" s="46" t="s">
        <v>200</v>
      </c>
      <c r="D44" s="160">
        <v>20.089413454756329</v>
      </c>
      <c r="E44" s="160">
        <v>23.791353853319208</v>
      </c>
      <c r="F44" s="160">
        <v>28.795972530550319</v>
      </c>
      <c r="G44" s="160">
        <v>24.768759818392631</v>
      </c>
      <c r="H44" s="160">
        <v>29.372096833788554</v>
      </c>
      <c r="I44" s="160">
        <v>27.667727134635243</v>
      </c>
      <c r="J44" s="160">
        <v>27.667727134635243</v>
      </c>
    </row>
    <row r="45" spans="1:10" x14ac:dyDescent="0.3">
      <c r="A45" s="46" t="s">
        <v>204</v>
      </c>
      <c r="C45" s="46" t="s">
        <v>121</v>
      </c>
      <c r="D45" s="163">
        <v>14.636388707761425</v>
      </c>
      <c r="E45" s="163">
        <v>25.724149814439194</v>
      </c>
      <c r="F45" s="163">
        <v>15.985305338814399</v>
      </c>
      <c r="G45" s="163">
        <v>101.43929750030838</v>
      </c>
      <c r="H45" s="163">
        <v>269.28673283423996</v>
      </c>
      <c r="I45" s="163">
        <v>314.16785497328004</v>
      </c>
      <c r="J45" s="163">
        <v>314.16785497328004</v>
      </c>
    </row>
    <row r="46" spans="1:10" x14ac:dyDescent="0.3">
      <c r="A46" s="46" t="s">
        <v>205</v>
      </c>
      <c r="C46" s="46" t="s">
        <v>200</v>
      </c>
      <c r="D46" s="160">
        <v>20.089413454756329</v>
      </c>
      <c r="E46" s="160">
        <v>23.791353853319208</v>
      </c>
      <c r="F46" s="160">
        <v>28.795972530550319</v>
      </c>
      <c r="G46" s="160">
        <v>24.768759818392631</v>
      </c>
      <c r="H46" s="160">
        <v>29.372096833788554</v>
      </c>
      <c r="I46" s="160">
        <v>27.667727134635243</v>
      </c>
      <c r="J46" s="160">
        <v>27.667727134635243</v>
      </c>
    </row>
    <row r="47" spans="1:10" x14ac:dyDescent="0.3">
      <c r="A47" s="46" t="s">
        <v>206</v>
      </c>
      <c r="C47" s="46" t="s">
        <v>121</v>
      </c>
      <c r="D47" s="163">
        <v>4.9623514862236791</v>
      </c>
      <c r="E47" s="163">
        <v>4.8888799628074073</v>
      </c>
      <c r="F47" s="163">
        <v>25.313214939149262</v>
      </c>
      <c r="G47" s="163">
        <v>13.341267266443502</v>
      </c>
      <c r="H47" s="163">
        <v>14.483976985330617</v>
      </c>
      <c r="I47" s="163">
        <v>14.376036256986406</v>
      </c>
      <c r="J47" s="163">
        <v>14.376036256986406</v>
      </c>
    </row>
    <row r="50" spans="1:10" x14ac:dyDescent="0.3">
      <c r="A50" s="161" t="s">
        <v>207</v>
      </c>
      <c r="B50" s="162"/>
      <c r="C50" s="46" t="s">
        <v>200</v>
      </c>
      <c r="D50" s="164">
        <v>0</v>
      </c>
      <c r="E50" s="164">
        <v>24.340684978064278</v>
      </c>
      <c r="F50" s="164">
        <v>34.149131023799193</v>
      </c>
      <c r="G50" s="164">
        <v>37.339496003344635</v>
      </c>
      <c r="H50" s="164">
        <v>41.147177255318731</v>
      </c>
      <c r="I50" s="164">
        <v>44.459758529574664</v>
      </c>
      <c r="J50" s="164">
        <v>44.459758529574664</v>
      </c>
    </row>
    <row r="51" spans="1:10" x14ac:dyDescent="0.3">
      <c r="A51" s="46" t="s">
        <v>208</v>
      </c>
      <c r="C51" s="46" t="s">
        <v>121</v>
      </c>
      <c r="D51" s="108">
        <v>0</v>
      </c>
      <c r="E51" s="108">
        <v>0</v>
      </c>
      <c r="F51" s="108">
        <v>0</v>
      </c>
      <c r="G51" s="108">
        <v>11.744785012499612</v>
      </c>
      <c r="H51" s="108">
        <v>3.9459884537396488</v>
      </c>
      <c r="I51" s="108">
        <v>0</v>
      </c>
      <c r="J51" s="108">
        <v>0</v>
      </c>
    </row>
    <row r="52" spans="1:10" x14ac:dyDescent="0.3">
      <c r="A52" s="46" t="s">
        <v>209</v>
      </c>
      <c r="C52" s="46" t="s">
        <v>200</v>
      </c>
      <c r="D52" s="164">
        <v>0</v>
      </c>
      <c r="E52" s="164">
        <v>24.340684978064278</v>
      </c>
      <c r="F52" s="164">
        <v>34.149131023799193</v>
      </c>
      <c r="G52" s="164">
        <v>37.339496003344635</v>
      </c>
      <c r="H52" s="164">
        <v>41.147177255318731</v>
      </c>
      <c r="I52" s="164">
        <v>44.459758529574664</v>
      </c>
      <c r="J52" s="164">
        <v>44.459758529574664</v>
      </c>
    </row>
    <row r="53" spans="1:10" x14ac:dyDescent="0.3">
      <c r="A53" s="46" t="s">
        <v>210</v>
      </c>
      <c r="C53" s="46" t="s">
        <v>121</v>
      </c>
      <c r="D53" s="108">
        <v>0</v>
      </c>
      <c r="E53" s="108">
        <v>1.5612843589749485E-2</v>
      </c>
      <c r="F53" s="108">
        <v>9.4642115772010182</v>
      </c>
      <c r="G53" s="108">
        <v>0</v>
      </c>
      <c r="H53" s="108">
        <v>0</v>
      </c>
      <c r="I53" s="108">
        <v>1.5036579516610082</v>
      </c>
      <c r="J53" s="108">
        <v>1.5036579516610082</v>
      </c>
    </row>
    <row r="156" spans="22:22" x14ac:dyDescent="0.3">
      <c r="V156" s="137"/>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3E650E-78B7-4CB0-86DE-8057BDF6981F}">
  <dimension ref="A1:H35"/>
  <sheetViews>
    <sheetView workbookViewId="0">
      <selection activeCell="L12" sqref="L12"/>
    </sheetView>
  </sheetViews>
  <sheetFormatPr defaultColWidth="9.109375" defaultRowHeight="13.8" x14ac:dyDescent="0.3"/>
  <cols>
    <col min="1" max="1" width="42.33203125" style="139" customWidth="1"/>
    <col min="2" max="2" width="19.88671875" style="139" customWidth="1"/>
    <col min="3" max="3" width="14.44140625" style="139" customWidth="1"/>
    <col min="4" max="4" width="12.88671875" style="139" customWidth="1"/>
    <col min="5" max="5" width="13.109375" style="139" customWidth="1"/>
    <col min="6" max="7" width="12.5546875" style="139" bestFit="1" customWidth="1"/>
    <col min="8" max="16384" width="9.109375" style="139"/>
  </cols>
  <sheetData>
    <row r="1" spans="1:8" s="46" customFormat="1" ht="14.4" x14ac:dyDescent="0.3">
      <c r="A1" s="46" t="s">
        <v>127</v>
      </c>
    </row>
    <row r="2" spans="1:8" x14ac:dyDescent="0.3">
      <c r="A2" s="139" t="s">
        <v>211</v>
      </c>
    </row>
    <row r="4" spans="1:8" ht="15.6" x14ac:dyDescent="0.3">
      <c r="A4" s="165" t="s">
        <v>212</v>
      </c>
    </row>
    <row r="5" spans="1:8" x14ac:dyDescent="0.3">
      <c r="A5" s="166" t="s">
        <v>213</v>
      </c>
      <c r="B5" s="167" t="s">
        <v>10</v>
      </c>
      <c r="C5" s="167">
        <v>2007</v>
      </c>
      <c r="D5" s="167">
        <v>2008</v>
      </c>
      <c r="E5" s="167">
        <v>2009</v>
      </c>
      <c r="F5" s="167">
        <v>2010</v>
      </c>
      <c r="G5" s="167">
        <v>2011</v>
      </c>
      <c r="H5" s="168"/>
    </row>
    <row r="6" spans="1:8" x14ac:dyDescent="0.3">
      <c r="A6" s="169" t="s">
        <v>214</v>
      </c>
      <c r="B6" s="170"/>
      <c r="C6" s="169"/>
      <c r="D6" s="169"/>
      <c r="E6" s="169"/>
      <c r="F6" s="169"/>
      <c r="G6" s="169"/>
      <c r="H6" s="168"/>
    </row>
    <row r="7" spans="1:8" x14ac:dyDescent="0.3">
      <c r="A7" s="171" t="s">
        <v>215</v>
      </c>
      <c r="B7" s="172" t="s">
        <v>216</v>
      </c>
      <c r="C7" s="173">
        <v>21514</v>
      </c>
      <c r="D7" s="173">
        <v>22814</v>
      </c>
      <c r="E7" s="173">
        <v>24038</v>
      </c>
      <c r="F7" s="174">
        <v>25302</v>
      </c>
      <c r="G7" s="173">
        <v>26536</v>
      </c>
      <c r="H7" s="168"/>
    </row>
    <row r="8" spans="1:8" x14ac:dyDescent="0.3">
      <c r="A8" s="171" t="s">
        <v>217</v>
      </c>
      <c r="B8" s="172" t="s">
        <v>218</v>
      </c>
      <c r="C8" s="173">
        <v>167900</v>
      </c>
      <c r="D8" s="173">
        <v>168333</v>
      </c>
      <c r="E8" s="173">
        <v>165200</v>
      </c>
      <c r="F8" s="174">
        <v>161567</v>
      </c>
      <c r="G8" s="173">
        <v>254500</v>
      </c>
      <c r="H8" s="168"/>
    </row>
    <row r="9" spans="1:8" x14ac:dyDescent="0.3">
      <c r="A9" s="171" t="s">
        <v>219</v>
      </c>
      <c r="B9" s="172" t="s">
        <v>220</v>
      </c>
      <c r="C9" s="173">
        <v>75126</v>
      </c>
      <c r="D9" s="173">
        <v>86756</v>
      </c>
      <c r="E9" s="173">
        <v>98907</v>
      </c>
      <c r="F9" s="174">
        <v>125449</v>
      </c>
      <c r="G9" s="173">
        <v>190507</v>
      </c>
      <c r="H9" s="168"/>
    </row>
    <row r="10" spans="1:8" x14ac:dyDescent="0.3">
      <c r="A10" s="171" t="s">
        <v>221</v>
      </c>
      <c r="B10" s="172" t="s">
        <v>222</v>
      </c>
      <c r="C10" s="173">
        <v>60</v>
      </c>
      <c r="D10" s="173">
        <v>107</v>
      </c>
      <c r="E10" s="173">
        <v>128</v>
      </c>
      <c r="F10" s="174">
        <v>138</v>
      </c>
      <c r="G10" s="173">
        <v>158</v>
      </c>
      <c r="H10" s="168"/>
    </row>
    <row r="11" spans="1:8" x14ac:dyDescent="0.3">
      <c r="A11" s="171" t="s">
        <v>223</v>
      </c>
      <c r="B11" s="172" t="s">
        <v>220</v>
      </c>
      <c r="C11" s="173">
        <v>37264</v>
      </c>
      <c r="D11" s="173">
        <v>38718</v>
      </c>
      <c r="E11" s="173">
        <v>38867</v>
      </c>
      <c r="F11" s="174">
        <v>39503</v>
      </c>
      <c r="G11" s="173">
        <v>39761</v>
      </c>
      <c r="H11" s="168"/>
    </row>
    <row r="12" spans="1:8" x14ac:dyDescent="0.3">
      <c r="A12" s="171" t="s">
        <v>224</v>
      </c>
      <c r="B12" s="172" t="s">
        <v>220</v>
      </c>
      <c r="C12" s="173">
        <v>205892</v>
      </c>
      <c r="D12" s="173">
        <v>199708</v>
      </c>
      <c r="E12" s="173">
        <v>175177</v>
      </c>
      <c r="F12" s="174">
        <v>170749</v>
      </c>
      <c r="G12" s="173">
        <v>168185</v>
      </c>
      <c r="H12" s="168"/>
    </row>
    <row r="13" spans="1:8" x14ac:dyDescent="0.3">
      <c r="A13" s="171" t="s">
        <v>225</v>
      </c>
      <c r="B13" s="172"/>
      <c r="C13" s="175" t="s">
        <v>226</v>
      </c>
      <c r="D13" s="175" t="s">
        <v>226</v>
      </c>
      <c r="E13" s="175" t="s">
        <v>226</v>
      </c>
      <c r="F13" s="174">
        <v>0</v>
      </c>
      <c r="G13" s="173">
        <v>0</v>
      </c>
      <c r="H13" s="168"/>
    </row>
    <row r="14" spans="1:8" x14ac:dyDescent="0.3">
      <c r="A14" s="169" t="s">
        <v>227</v>
      </c>
      <c r="B14" s="170"/>
      <c r="C14" s="176"/>
      <c r="D14" s="176"/>
      <c r="E14" s="176"/>
      <c r="F14" s="176"/>
      <c r="G14" s="176"/>
      <c r="H14" s="168"/>
    </row>
    <row r="15" spans="1:8" x14ac:dyDescent="0.3">
      <c r="A15" s="171" t="s">
        <v>109</v>
      </c>
      <c r="B15" s="172" t="s">
        <v>220</v>
      </c>
      <c r="C15" s="173">
        <v>358156</v>
      </c>
      <c r="D15" s="173">
        <v>315796</v>
      </c>
      <c r="E15" s="177" t="s">
        <v>228</v>
      </c>
      <c r="F15" s="178" t="s">
        <v>229</v>
      </c>
      <c r="G15" s="175">
        <v>887000</v>
      </c>
      <c r="H15" s="168"/>
    </row>
    <row r="16" spans="1:8" x14ac:dyDescent="0.3">
      <c r="A16" s="171" t="s">
        <v>230</v>
      </c>
      <c r="B16" s="172" t="s">
        <v>220</v>
      </c>
      <c r="C16" s="173">
        <v>6885690</v>
      </c>
      <c r="D16" s="173">
        <v>9435428</v>
      </c>
      <c r="E16" s="173">
        <v>10753990</v>
      </c>
      <c r="F16" s="174">
        <v>12495404</v>
      </c>
      <c r="G16" s="175">
        <v>12548757</v>
      </c>
      <c r="H16" s="168"/>
    </row>
    <row r="17" spans="1:8" x14ac:dyDescent="0.3">
      <c r="A17" s="169" t="s">
        <v>231</v>
      </c>
      <c r="B17" s="170"/>
      <c r="C17" s="176"/>
      <c r="D17" s="176"/>
      <c r="E17" s="176"/>
      <c r="F17" s="176"/>
      <c r="G17" s="176"/>
      <c r="H17" s="168"/>
    </row>
    <row r="18" spans="1:8" x14ac:dyDescent="0.3">
      <c r="A18" s="171" t="s">
        <v>232</v>
      </c>
      <c r="B18" s="172" t="s">
        <v>220</v>
      </c>
      <c r="C18" s="173">
        <v>140646000</v>
      </c>
      <c r="D18" s="173">
        <v>134644492</v>
      </c>
      <c r="E18" s="173">
        <v>134385175</v>
      </c>
      <c r="F18" s="174">
        <v>134686678</v>
      </c>
      <c r="G18" s="175">
        <v>130597071</v>
      </c>
      <c r="H18" s="168"/>
    </row>
    <row r="19" spans="1:8" x14ac:dyDescent="0.3">
      <c r="A19" s="171" t="s">
        <v>233</v>
      </c>
      <c r="B19" s="172" t="s">
        <v>220</v>
      </c>
      <c r="C19" s="173">
        <v>39373000</v>
      </c>
      <c r="D19" s="173">
        <v>37528464</v>
      </c>
      <c r="E19" s="173">
        <v>34147806</v>
      </c>
      <c r="F19" s="174">
        <v>35582625</v>
      </c>
      <c r="G19" s="175">
        <v>36160000</v>
      </c>
      <c r="H19" s="168"/>
    </row>
    <row r="20" spans="1:8" x14ac:dyDescent="0.3">
      <c r="A20" s="168"/>
      <c r="B20" s="168"/>
      <c r="C20" s="173"/>
      <c r="D20" s="173"/>
      <c r="E20" s="173"/>
      <c r="F20" s="174"/>
      <c r="G20" s="173"/>
      <c r="H20" s="168"/>
    </row>
    <row r="21" spans="1:8" x14ac:dyDescent="0.3">
      <c r="A21" s="190" t="s">
        <v>234</v>
      </c>
      <c r="B21" s="191"/>
      <c r="C21" s="191"/>
      <c r="D21" s="191"/>
      <c r="E21" s="191"/>
      <c r="F21" s="191"/>
      <c r="G21" s="191"/>
      <c r="H21" s="168"/>
    </row>
    <row r="22" spans="1:8" x14ac:dyDescent="0.3">
      <c r="A22" s="192" t="s">
        <v>235</v>
      </c>
      <c r="B22" s="193"/>
      <c r="C22" s="193"/>
      <c r="D22" s="193"/>
      <c r="E22" s="193"/>
      <c r="F22" s="193"/>
      <c r="G22" s="193"/>
      <c r="H22" s="168"/>
    </row>
    <row r="23" spans="1:8" x14ac:dyDescent="0.3">
      <c r="A23" s="192" t="s">
        <v>236</v>
      </c>
      <c r="B23" s="193"/>
      <c r="C23" s="193"/>
      <c r="D23" s="193"/>
      <c r="E23" s="193"/>
      <c r="F23" s="193"/>
      <c r="G23" s="193"/>
      <c r="H23" s="168"/>
    </row>
    <row r="24" spans="1:8" x14ac:dyDescent="0.3">
      <c r="A24" s="194" t="s">
        <v>237</v>
      </c>
      <c r="B24" s="193"/>
      <c r="C24" s="193"/>
      <c r="D24" s="193"/>
      <c r="E24" s="193"/>
      <c r="F24" s="193"/>
      <c r="G24" s="193"/>
      <c r="H24" s="168"/>
    </row>
    <row r="25" spans="1:8" x14ac:dyDescent="0.3">
      <c r="A25" s="179" t="s">
        <v>238</v>
      </c>
      <c r="B25" s="180"/>
      <c r="C25" s="180"/>
      <c r="D25" s="180"/>
      <c r="E25" s="180"/>
      <c r="F25" s="180"/>
      <c r="G25" s="180"/>
      <c r="H25" s="168"/>
    </row>
    <row r="26" spans="1:8" x14ac:dyDescent="0.3">
      <c r="A26" s="181" t="s">
        <v>239</v>
      </c>
      <c r="B26" s="180"/>
      <c r="C26" s="180"/>
      <c r="D26" s="180"/>
      <c r="E26" s="180"/>
      <c r="F26" s="180"/>
      <c r="G26" s="180"/>
      <c r="H26" s="168"/>
    </row>
    <row r="27" spans="1:8" x14ac:dyDescent="0.3">
      <c r="A27" s="189" t="s">
        <v>240</v>
      </c>
      <c r="B27" s="189"/>
      <c r="C27" s="189"/>
      <c r="D27" s="189"/>
      <c r="E27" s="189"/>
      <c r="F27" s="189"/>
      <c r="G27" s="189"/>
      <c r="H27" s="168"/>
    </row>
    <row r="28" spans="1:8" x14ac:dyDescent="0.3">
      <c r="A28" s="189" t="s">
        <v>241</v>
      </c>
      <c r="B28" s="189"/>
      <c r="C28" s="189"/>
      <c r="D28" s="189"/>
      <c r="E28" s="189"/>
      <c r="F28" s="189"/>
      <c r="G28" s="189"/>
      <c r="H28" s="168"/>
    </row>
    <row r="29" spans="1:8" x14ac:dyDescent="0.3">
      <c r="A29" s="188" t="s">
        <v>242</v>
      </c>
      <c r="B29" s="189"/>
      <c r="C29" s="189"/>
      <c r="D29" s="189"/>
      <c r="E29" s="189"/>
      <c r="F29" s="189"/>
      <c r="G29" s="189"/>
      <c r="H29" s="168"/>
    </row>
    <row r="30" spans="1:8" x14ac:dyDescent="0.3">
      <c r="A30" s="189" t="s">
        <v>243</v>
      </c>
      <c r="B30" s="189"/>
      <c r="C30" s="189"/>
      <c r="D30" s="189"/>
      <c r="E30" s="189"/>
      <c r="F30" s="189"/>
      <c r="G30" s="189"/>
      <c r="H30" s="168"/>
    </row>
    <row r="31" spans="1:8" ht="14.4" thickBot="1" x14ac:dyDescent="0.35"/>
    <row r="32" spans="1:8" x14ac:dyDescent="0.3">
      <c r="E32" s="182"/>
      <c r="F32" s="183">
        <v>2010</v>
      </c>
    </row>
    <row r="33" spans="1:6" ht="14.4" thickBot="1" x14ac:dyDescent="0.35">
      <c r="E33" s="184" t="s">
        <v>244</v>
      </c>
      <c r="F33" s="185">
        <v>12.054575556194266</v>
      </c>
    </row>
    <row r="35" spans="1:6" x14ac:dyDescent="0.3">
      <c r="A35" s="186" t="s">
        <v>245</v>
      </c>
    </row>
  </sheetData>
  <mergeCells count="8">
    <mergeCell ref="A29:G29"/>
    <mergeCell ref="A30:G30"/>
    <mergeCell ref="A21:G21"/>
    <mergeCell ref="A22:G22"/>
    <mergeCell ref="A23:G23"/>
    <mergeCell ref="A24:G24"/>
    <mergeCell ref="A27:G27"/>
    <mergeCell ref="A28:G28"/>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27"/>
  <dimension ref="A1:E18"/>
  <sheetViews>
    <sheetView workbookViewId="0">
      <pane xSplit="5" ySplit="7" topLeftCell="F8" activePane="bottomRight" state="frozen"/>
      <selection pane="topRight" activeCell="G1" sqref="G1"/>
      <selection pane="bottomLeft" activeCell="A8" sqref="A8"/>
      <selection pane="bottomRight" activeCell="A2" sqref="A2"/>
    </sheetView>
  </sheetViews>
  <sheetFormatPr defaultRowHeight="13.2" x14ac:dyDescent="0.25"/>
  <cols>
    <col min="1" max="1" width="10.44140625" customWidth="1"/>
    <col min="2" max="2" width="11.5546875" customWidth="1"/>
    <col min="3" max="3" width="17.5546875" customWidth="1"/>
    <col min="4" max="4" width="5.88671875" customWidth="1"/>
    <col min="5" max="5" width="10.109375" customWidth="1"/>
  </cols>
  <sheetData>
    <row r="1" spans="1:5" x14ac:dyDescent="0.25">
      <c r="A1" s="1" t="s">
        <v>20</v>
      </c>
      <c r="B1" s="2"/>
    </row>
    <row r="4" spans="1:5" ht="17.25" customHeight="1" x14ac:dyDescent="0.25"/>
    <row r="5" spans="1:5" ht="18" customHeight="1" x14ac:dyDescent="0.25"/>
    <row r="6" spans="1:5" ht="17.25" customHeight="1" x14ac:dyDescent="0.25"/>
    <row r="7" spans="1:5" ht="15.75" customHeight="1" x14ac:dyDescent="0.25">
      <c r="B7" s="1" t="s">
        <v>13</v>
      </c>
      <c r="C7" s="1" t="s">
        <v>14</v>
      </c>
      <c r="D7" s="1" t="s">
        <v>10</v>
      </c>
      <c r="E7" s="1" t="s">
        <v>8</v>
      </c>
    </row>
    <row r="8" spans="1:5" x14ac:dyDescent="0.25">
      <c r="B8" s="10"/>
      <c r="E8" s="7"/>
    </row>
    <row r="9" spans="1:5" x14ac:dyDescent="0.25">
      <c r="B9" s="9"/>
      <c r="E9" s="7"/>
    </row>
    <row r="10" spans="1:5" x14ac:dyDescent="0.25">
      <c r="B10" s="9"/>
      <c r="E10" s="7"/>
    </row>
    <row r="11" spans="1:5" x14ac:dyDescent="0.25">
      <c r="B11" s="9"/>
      <c r="E11" s="7"/>
    </row>
    <row r="14" spans="1:5" x14ac:dyDescent="0.25">
      <c r="A14" s="1"/>
    </row>
    <row r="18" spans="1:5" x14ac:dyDescent="0.25">
      <c r="A18" s="1"/>
      <c r="B18" s="1"/>
      <c r="C18" s="1"/>
      <c r="D18" s="1"/>
      <c r="E18" s="1"/>
    </row>
  </sheetData>
  <phoneticPr fontId="0" type="noConversion"/>
  <pageMargins left="0.75" right="0.75" top="1" bottom="1" header="0.5" footer="0.5"/>
  <pageSetup paperSize="9" orientation="landscape" horizontalDpi="1200" verticalDpi="300" r:id="rId1"/>
  <headerFooter alignWithMargins="0"/>
  <drawing r:id="rId2"/>
  <legacyDrawing r:id="rId3"/>
  <controls>
    <mc:AlternateContent xmlns:mc="http://schemas.openxmlformats.org/markup-compatibility/2006">
      <mc:Choice Requires="x14">
        <control shapeId="81921" r:id="rId4" name="cmdConstrNameAndDesc">
          <controlPr defaultSize="0" autoLine="0" autoPict="0" r:id="rId5">
            <anchor moveWithCells="1">
              <from>
                <xdr:col>1</xdr:col>
                <xdr:colOff>22860</xdr:colOff>
                <xdr:row>3</xdr:row>
                <xdr:rowOff>0</xdr:rowOff>
              </from>
              <to>
                <xdr:col>2</xdr:col>
                <xdr:colOff>998220</xdr:colOff>
                <xdr:row>4</xdr:row>
                <xdr:rowOff>22860</xdr:rowOff>
              </to>
            </anchor>
          </controlPr>
        </control>
      </mc:Choice>
      <mc:Fallback>
        <control shapeId="81921" r:id="rId4" name="cmdConstrNameAndDesc"/>
      </mc:Fallback>
    </mc:AlternateContent>
    <mc:AlternateContent xmlns:mc="http://schemas.openxmlformats.org/markup-compatibility/2006">
      <mc:Choice Requires="x14">
        <control shapeId="81922" r:id="rId6" name="cmdTechName">
          <controlPr defaultSize="0" autoLine="0" r:id="rId7">
            <anchor moveWithCells="1">
              <from>
                <xdr:col>4</xdr:col>
                <xdr:colOff>0</xdr:colOff>
                <xdr:row>3</xdr:row>
                <xdr:rowOff>0</xdr:rowOff>
              </from>
              <to>
                <xdr:col>4</xdr:col>
                <xdr:colOff>655320</xdr:colOff>
                <xdr:row>4</xdr:row>
                <xdr:rowOff>22860</xdr:rowOff>
              </to>
            </anchor>
          </controlPr>
        </control>
      </mc:Choice>
      <mc:Fallback>
        <control shapeId="81922" r:id="rId6" name="cmdTechName"/>
      </mc:Fallback>
    </mc:AlternateContent>
    <mc:AlternateContent xmlns:mc="http://schemas.openxmlformats.org/markup-compatibility/2006">
      <mc:Choice Requires="x14">
        <control shapeId="81923" r:id="rId8" name="cmdAddParameter">
          <controlPr defaultSize="0" autoLine="0" r:id="rId9">
            <anchor moveWithCells="1">
              <from>
                <xdr:col>0</xdr:col>
                <xdr:colOff>7620</xdr:colOff>
                <xdr:row>4</xdr:row>
                <xdr:rowOff>0</xdr:rowOff>
              </from>
              <to>
                <xdr:col>0</xdr:col>
                <xdr:colOff>693420</xdr:colOff>
                <xdr:row>5</xdr:row>
                <xdr:rowOff>7620</xdr:rowOff>
              </to>
            </anchor>
          </controlPr>
        </control>
      </mc:Choice>
      <mc:Fallback>
        <control shapeId="81923" r:id="rId8" name="cmdAddParameter"/>
      </mc:Fallback>
    </mc:AlternateContent>
    <mc:AlternateContent xmlns:mc="http://schemas.openxmlformats.org/markup-compatibility/2006">
      <mc:Choice Requires="x14">
        <control shapeId="81924" r:id="rId10" name="cmdCheckConstrDataSheet">
          <controlPr defaultSize="0" autoLine="0" autoPict="0" r:id="rId11">
            <anchor moveWithCells="1">
              <from>
                <xdr:col>0</xdr:col>
                <xdr:colOff>7620</xdr:colOff>
                <xdr:row>2</xdr:row>
                <xdr:rowOff>152400</xdr:rowOff>
              </from>
              <to>
                <xdr:col>1</xdr:col>
                <xdr:colOff>0</xdr:colOff>
                <xdr:row>4</xdr:row>
                <xdr:rowOff>7620</xdr:rowOff>
              </to>
            </anchor>
          </controlPr>
        </control>
      </mc:Choice>
      <mc:Fallback>
        <control shapeId="81924" r:id="rId10" name="cmdCheckConstrDataSheet"/>
      </mc:Fallback>
    </mc:AlternateContent>
    <mc:AlternateContent xmlns:mc="http://schemas.openxmlformats.org/markup-compatibility/2006">
      <mc:Choice Requires="x14">
        <control shapeId="81925" r:id="rId12" name="cmdAddParamQualifier">
          <controlPr defaultSize="0" autoLine="0" r:id="rId13">
            <anchor moveWithCells="1">
              <from>
                <xdr:col>0</xdr:col>
                <xdr:colOff>7620</xdr:colOff>
                <xdr:row>5</xdr:row>
                <xdr:rowOff>0</xdr:rowOff>
              </from>
              <to>
                <xdr:col>0</xdr:col>
                <xdr:colOff>693420</xdr:colOff>
                <xdr:row>6</xdr:row>
                <xdr:rowOff>22860</xdr:rowOff>
              </to>
            </anchor>
          </controlPr>
        </control>
      </mc:Choice>
      <mc:Fallback>
        <control shapeId="81925" r:id="rId12" name="cmdAddParamQualifier"/>
      </mc:Fallback>
    </mc:AlternateContent>
    <mc:AlternateContent xmlns:mc="http://schemas.openxmlformats.org/markup-compatibility/2006">
      <mc:Choice Requires="x14">
        <control shapeId="81926" r:id="rId14" name="cmdRefreshUnits">
          <controlPr defaultSize="0" autoLine="0" r:id="rId15">
            <anchor moveWithCells="1">
              <from>
                <xdr:col>2</xdr:col>
                <xdr:colOff>1013460</xdr:colOff>
                <xdr:row>2</xdr:row>
                <xdr:rowOff>30480</xdr:rowOff>
              </from>
              <to>
                <xdr:col>3</xdr:col>
                <xdr:colOff>365760</xdr:colOff>
                <xdr:row>4</xdr:row>
                <xdr:rowOff>22860</xdr:rowOff>
              </to>
            </anchor>
          </controlPr>
        </control>
      </mc:Choice>
      <mc:Fallback>
        <control shapeId="81926" r:id="rId14" name="cmdRefreshUnits"/>
      </mc:Fallback>
    </mc:AlternateContent>
  </controls>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6"/>
  <dimension ref="A1:P7"/>
  <sheetViews>
    <sheetView workbookViewId="0">
      <pane xSplit="6" ySplit="7" topLeftCell="G8" activePane="bottomRight" state="frozen"/>
      <selection pane="topRight" activeCell="G1" sqref="G1"/>
      <selection pane="bottomLeft" activeCell="A8" sqref="A8"/>
      <selection pane="bottomRight"/>
    </sheetView>
  </sheetViews>
  <sheetFormatPr defaultRowHeight="13.2" x14ac:dyDescent="0.25"/>
  <cols>
    <col min="1" max="2" width="10.33203125" customWidth="1"/>
    <col min="3" max="3" width="24.33203125" customWidth="1"/>
    <col min="4" max="4" width="7.88671875" customWidth="1"/>
    <col min="6" max="6" width="10.5546875" customWidth="1"/>
    <col min="7" max="7" width="9.88671875" customWidth="1"/>
    <col min="8" max="8" width="8.109375" customWidth="1"/>
    <col min="9" max="11" width="9.33203125" customWidth="1"/>
    <col min="12" max="12" width="12.5546875" customWidth="1"/>
    <col min="13" max="13" width="12.44140625" customWidth="1"/>
  </cols>
  <sheetData>
    <row r="1" spans="1:16" x14ac:dyDescent="0.25">
      <c r="A1" s="1" t="s">
        <v>19</v>
      </c>
      <c r="B1" s="2"/>
    </row>
    <row r="4" spans="1:16" ht="17.25" customHeight="1" x14ac:dyDescent="0.25"/>
    <row r="5" spans="1:16" ht="18" customHeight="1" x14ac:dyDescent="0.25">
      <c r="G5" s="7"/>
      <c r="H5" s="7"/>
      <c r="I5" s="7"/>
      <c r="J5" s="16"/>
      <c r="K5" s="16"/>
      <c r="L5" s="7"/>
      <c r="M5" s="14"/>
      <c r="N5" s="7"/>
      <c r="O5" s="14"/>
      <c r="P5" s="14"/>
    </row>
    <row r="6" spans="1:16" ht="17.25" customHeight="1" x14ac:dyDescent="0.25">
      <c r="G6" s="7"/>
      <c r="H6" s="7"/>
      <c r="I6" s="7"/>
      <c r="J6" s="7"/>
      <c r="K6" s="7"/>
      <c r="L6" s="7"/>
      <c r="M6" s="13"/>
      <c r="N6" s="7"/>
      <c r="O6" s="13"/>
      <c r="P6" s="11"/>
    </row>
    <row r="7" spans="1:16" ht="15.75" customHeight="1" x14ac:dyDescent="0.25">
      <c r="B7" s="1" t="s">
        <v>8</v>
      </c>
      <c r="C7" s="1" t="s">
        <v>9</v>
      </c>
      <c r="D7" s="1" t="s">
        <v>10</v>
      </c>
      <c r="E7" s="1" t="s">
        <v>11</v>
      </c>
      <c r="F7" s="1" t="s">
        <v>12</v>
      </c>
      <c r="G7" s="7"/>
      <c r="H7" s="7"/>
      <c r="I7" s="7"/>
      <c r="J7" s="16"/>
      <c r="K7" s="7"/>
      <c r="L7" s="7"/>
      <c r="M7" s="13"/>
      <c r="N7" s="7"/>
      <c r="O7" s="11"/>
      <c r="P7" s="13"/>
    </row>
  </sheetData>
  <phoneticPr fontId="0" type="noConversion"/>
  <pageMargins left="0.75" right="0.75" top="1" bottom="1" header="0.5" footer="0.5"/>
  <pageSetup paperSize="9" orientation="landscape" horizontalDpi="1200" verticalDpi="300" r:id="rId1"/>
  <headerFooter alignWithMargins="0"/>
  <drawing r:id="rId2"/>
  <legacyDrawing r:id="rId3"/>
  <controls>
    <mc:AlternateContent xmlns:mc="http://schemas.openxmlformats.org/markup-compatibility/2006">
      <mc:Choice Requires="x14">
        <control shapeId="64513" r:id="rId4" name="cmdTechNameAndDesc">
          <controlPr defaultSize="0" autoLine="0" r:id="rId5">
            <anchor moveWithCells="1">
              <from>
                <xdr:col>1</xdr:col>
                <xdr:colOff>38100</xdr:colOff>
                <xdr:row>2</xdr:row>
                <xdr:rowOff>152400</xdr:rowOff>
              </from>
              <to>
                <xdr:col>2</xdr:col>
                <xdr:colOff>1554480</xdr:colOff>
                <xdr:row>4</xdr:row>
                <xdr:rowOff>7620</xdr:rowOff>
              </to>
            </anchor>
          </controlPr>
        </control>
      </mc:Choice>
      <mc:Fallback>
        <control shapeId="64513" r:id="rId4" name="cmdTechNameAndDesc"/>
      </mc:Fallback>
    </mc:AlternateContent>
    <mc:AlternateContent xmlns:mc="http://schemas.openxmlformats.org/markup-compatibility/2006">
      <mc:Choice Requires="x14">
        <control shapeId="64514" r:id="rId6" name="cmdCommIN">
          <controlPr defaultSize="0" autoLine="0" r:id="rId7">
            <anchor moveWithCells="1">
              <from>
                <xdr:col>4</xdr:col>
                <xdr:colOff>7620</xdr:colOff>
                <xdr:row>2</xdr:row>
                <xdr:rowOff>144780</xdr:rowOff>
              </from>
              <to>
                <xdr:col>4</xdr:col>
                <xdr:colOff>594360</xdr:colOff>
                <xdr:row>4</xdr:row>
                <xdr:rowOff>0</xdr:rowOff>
              </to>
            </anchor>
          </controlPr>
        </control>
      </mc:Choice>
      <mc:Fallback>
        <control shapeId="64514" r:id="rId6" name="cmdCommIN"/>
      </mc:Fallback>
    </mc:AlternateContent>
    <mc:AlternateContent xmlns:mc="http://schemas.openxmlformats.org/markup-compatibility/2006">
      <mc:Choice Requires="x14">
        <control shapeId="64515" r:id="rId8" name="cmdCommOUT">
          <controlPr defaultSize="0" autoLine="0" r:id="rId9">
            <anchor moveWithCells="1">
              <from>
                <xdr:col>5</xdr:col>
                <xdr:colOff>7620</xdr:colOff>
                <xdr:row>2</xdr:row>
                <xdr:rowOff>144780</xdr:rowOff>
              </from>
              <to>
                <xdr:col>5</xdr:col>
                <xdr:colOff>701040</xdr:colOff>
                <xdr:row>4</xdr:row>
                <xdr:rowOff>0</xdr:rowOff>
              </to>
            </anchor>
          </controlPr>
        </control>
      </mc:Choice>
      <mc:Fallback>
        <control shapeId="64515" r:id="rId8" name="cmdCommOUT"/>
      </mc:Fallback>
    </mc:AlternateContent>
    <mc:AlternateContent xmlns:mc="http://schemas.openxmlformats.org/markup-compatibility/2006">
      <mc:Choice Requires="x14">
        <control shapeId="64516" r:id="rId10" name="cmdAddParameter">
          <controlPr defaultSize="0" autoLine="0" r:id="rId11">
            <anchor moveWithCells="1">
              <from>
                <xdr:col>0</xdr:col>
                <xdr:colOff>7620</xdr:colOff>
                <xdr:row>3</xdr:row>
                <xdr:rowOff>198120</xdr:rowOff>
              </from>
              <to>
                <xdr:col>0</xdr:col>
                <xdr:colOff>693420</xdr:colOff>
                <xdr:row>4</xdr:row>
                <xdr:rowOff>220980</xdr:rowOff>
              </to>
            </anchor>
          </controlPr>
        </control>
      </mc:Choice>
      <mc:Fallback>
        <control shapeId="64516" r:id="rId10" name="cmdAddParameter"/>
      </mc:Fallback>
    </mc:AlternateContent>
    <mc:AlternateContent xmlns:mc="http://schemas.openxmlformats.org/markup-compatibility/2006">
      <mc:Choice Requires="x14">
        <control shapeId="64517" r:id="rId12" name="cmdAddParamQualifier">
          <controlPr defaultSize="0" autoLine="0" autoPict="0" r:id="rId13">
            <anchor moveWithCells="1">
              <from>
                <xdr:col>0</xdr:col>
                <xdr:colOff>7620</xdr:colOff>
                <xdr:row>5</xdr:row>
                <xdr:rowOff>7620</xdr:rowOff>
              </from>
              <to>
                <xdr:col>1</xdr:col>
                <xdr:colOff>7620</xdr:colOff>
                <xdr:row>6</xdr:row>
                <xdr:rowOff>30480</xdr:rowOff>
              </to>
            </anchor>
          </controlPr>
        </control>
      </mc:Choice>
      <mc:Fallback>
        <control shapeId="64517" r:id="rId12" name="cmdAddParamQualifier"/>
      </mc:Fallback>
    </mc:AlternateContent>
    <mc:AlternateContent xmlns:mc="http://schemas.openxmlformats.org/markup-compatibility/2006">
      <mc:Choice Requires="x14">
        <control shapeId="64518" r:id="rId14" name="cmdCheckTechDataSheet">
          <controlPr defaultSize="0" autoLine="0" autoPict="0" r:id="rId15">
            <anchor moveWithCells="1">
              <from>
                <xdr:col>0</xdr:col>
                <xdr:colOff>7620</xdr:colOff>
                <xdr:row>2</xdr:row>
                <xdr:rowOff>152400</xdr:rowOff>
              </from>
              <to>
                <xdr:col>1</xdr:col>
                <xdr:colOff>7620</xdr:colOff>
                <xdr:row>4</xdr:row>
                <xdr:rowOff>7620</xdr:rowOff>
              </to>
            </anchor>
          </controlPr>
        </control>
      </mc:Choice>
      <mc:Fallback>
        <control shapeId="64518" r:id="rId14" name="cmdCheckTechDataSheet"/>
      </mc:Fallback>
    </mc:AlternateContent>
    <mc:AlternateContent xmlns:mc="http://schemas.openxmlformats.org/markup-compatibility/2006">
      <mc:Choice Requires="x14">
        <control shapeId="64519" r:id="rId16" name="cmdRefreshUnits">
          <controlPr defaultSize="0" autoLine="0" r:id="rId17">
            <anchor moveWithCells="1">
              <from>
                <xdr:col>3</xdr:col>
                <xdr:colOff>0</xdr:colOff>
                <xdr:row>2</xdr:row>
                <xdr:rowOff>22860</xdr:rowOff>
              </from>
              <to>
                <xdr:col>4</xdr:col>
                <xdr:colOff>15240</xdr:colOff>
                <xdr:row>4</xdr:row>
                <xdr:rowOff>15240</xdr:rowOff>
              </to>
            </anchor>
          </controlPr>
        </control>
      </mc:Choice>
      <mc:Fallback>
        <control shapeId="64519" r:id="rId16" name="cmdRefreshUnits"/>
      </mc:Fallback>
    </mc:AlternateContent>
  </control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dimension ref="A1:H23"/>
  <sheetViews>
    <sheetView workbookViewId="0">
      <pane xSplit="4" ySplit="7" topLeftCell="E8" activePane="bottomRight" state="frozen"/>
      <selection pane="topRight" activeCell="E1" sqref="E1"/>
      <selection pane="bottomLeft" activeCell="A8" sqref="A8"/>
      <selection pane="bottomRight"/>
    </sheetView>
  </sheetViews>
  <sheetFormatPr defaultRowHeight="13.2" x14ac:dyDescent="0.25"/>
  <cols>
    <col min="1" max="1" width="10.5546875" customWidth="1"/>
    <col min="2" max="2" width="11.6640625" customWidth="1"/>
    <col min="3" max="3" width="24" customWidth="1"/>
    <col min="4" max="4" width="5.44140625" customWidth="1"/>
    <col min="6" max="6" width="10.109375" bestFit="1" customWidth="1"/>
  </cols>
  <sheetData>
    <row r="1" spans="1:8" x14ac:dyDescent="0.25">
      <c r="A1" s="1" t="s">
        <v>18</v>
      </c>
      <c r="B1" s="2"/>
    </row>
    <row r="3" spans="1:8" ht="15" customHeight="1" x14ac:dyDescent="0.25"/>
    <row r="4" spans="1:8" ht="20.25" customHeight="1" x14ac:dyDescent="0.25"/>
    <row r="5" spans="1:8" ht="19.5" customHeight="1" x14ac:dyDescent="0.25">
      <c r="E5" s="7"/>
      <c r="F5" s="7"/>
      <c r="G5" s="16"/>
      <c r="H5" s="16"/>
    </row>
    <row r="6" spans="1:8" ht="19.5" customHeight="1" x14ac:dyDescent="0.25">
      <c r="E6" s="13"/>
      <c r="F6" s="13"/>
      <c r="G6" s="16"/>
      <c r="H6" s="16"/>
    </row>
    <row r="7" spans="1:8" x14ac:dyDescent="0.25">
      <c r="B7" s="1" t="s">
        <v>6</v>
      </c>
      <c r="C7" s="1" t="s">
        <v>7</v>
      </c>
      <c r="D7" s="1" t="s">
        <v>10</v>
      </c>
      <c r="E7" s="15"/>
      <c r="F7" s="8"/>
      <c r="G7" s="8"/>
      <c r="H7" s="16"/>
    </row>
    <row r="9" spans="1:8" x14ac:dyDescent="0.25">
      <c r="B9" s="13"/>
      <c r="C9" s="12"/>
      <c r="D9" s="12"/>
    </row>
    <row r="10" spans="1:8" x14ac:dyDescent="0.25">
      <c r="B10" s="13"/>
      <c r="C10" s="12"/>
      <c r="D10" s="12"/>
      <c r="F10" s="11"/>
    </row>
    <row r="13" spans="1:8" x14ac:dyDescent="0.25">
      <c r="B13" s="13"/>
      <c r="C13" s="12"/>
      <c r="D13" s="12"/>
      <c r="F13" s="11"/>
    </row>
    <row r="15" spans="1:8" x14ac:dyDescent="0.25">
      <c r="B15" s="13"/>
      <c r="C15" s="12"/>
      <c r="D15" s="12"/>
    </row>
    <row r="17" spans="2:4" x14ac:dyDescent="0.25">
      <c r="B17" s="13"/>
      <c r="C17" s="12"/>
      <c r="D17" s="12"/>
    </row>
    <row r="19" spans="2:4" x14ac:dyDescent="0.25">
      <c r="B19" s="13"/>
      <c r="C19" s="12"/>
      <c r="D19" s="12"/>
    </row>
    <row r="21" spans="2:4" x14ac:dyDescent="0.25">
      <c r="B21" s="13"/>
      <c r="C21" s="12"/>
      <c r="D21" s="12"/>
    </row>
    <row r="23" spans="2:4" x14ac:dyDescent="0.25">
      <c r="B23" s="13"/>
      <c r="C23" s="12"/>
      <c r="D23" s="12"/>
    </row>
  </sheetData>
  <phoneticPr fontId="0" type="noConversion"/>
  <conditionalFormatting sqref="B13">
    <cfRule type="cellIs" dxfId="0" priority="1" stopIfTrue="1" operator="equal">
      <formula>"REF"</formula>
    </cfRule>
  </conditionalFormatting>
  <pageMargins left="0.75" right="0.75" top="1" bottom="1" header="0.5" footer="0.5"/>
  <pageSetup paperSize="9" orientation="landscape" horizontalDpi="1200" verticalDpi="300" r:id="rId1"/>
  <headerFooter alignWithMargins="0"/>
  <drawing r:id="rId2"/>
  <legacyDrawing r:id="rId3"/>
  <controls>
    <mc:AlternateContent xmlns:mc="http://schemas.openxmlformats.org/markup-compatibility/2006">
      <mc:Choice Requires="x14">
        <control shapeId="61441" r:id="rId4" name="cmdAddParameter">
          <controlPr defaultSize="0" autoLine="0" r:id="rId5">
            <anchor moveWithCells="1">
              <from>
                <xdr:col>0</xdr:col>
                <xdr:colOff>7620</xdr:colOff>
                <xdr:row>4</xdr:row>
                <xdr:rowOff>7620</xdr:rowOff>
              </from>
              <to>
                <xdr:col>0</xdr:col>
                <xdr:colOff>693420</xdr:colOff>
                <xdr:row>5</xdr:row>
                <xdr:rowOff>0</xdr:rowOff>
              </to>
            </anchor>
          </controlPr>
        </control>
      </mc:Choice>
      <mc:Fallback>
        <control shapeId="61441" r:id="rId4" name="cmdAddParameter"/>
      </mc:Fallback>
    </mc:AlternateContent>
    <mc:AlternateContent xmlns:mc="http://schemas.openxmlformats.org/markup-compatibility/2006">
      <mc:Choice Requires="x14">
        <control shapeId="61442" r:id="rId6" name="cmdCommNameAndDesc">
          <controlPr defaultSize="0" autoLine="0" autoPict="0" r:id="rId7">
            <anchor moveWithCells="1">
              <from>
                <xdr:col>1</xdr:col>
                <xdr:colOff>0</xdr:colOff>
                <xdr:row>3</xdr:row>
                <xdr:rowOff>22860</xdr:rowOff>
              </from>
              <to>
                <xdr:col>2</xdr:col>
                <xdr:colOff>1394460</xdr:colOff>
                <xdr:row>4</xdr:row>
                <xdr:rowOff>0</xdr:rowOff>
              </to>
            </anchor>
          </controlPr>
        </control>
      </mc:Choice>
      <mc:Fallback>
        <control shapeId="61442" r:id="rId6" name="cmdCommNameAndDesc"/>
      </mc:Fallback>
    </mc:AlternateContent>
    <mc:AlternateContent xmlns:mc="http://schemas.openxmlformats.org/markup-compatibility/2006">
      <mc:Choice Requires="x14">
        <control shapeId="61443" r:id="rId8" name="cmdAddParamQualifier">
          <controlPr defaultSize="0" autoLine="0" r:id="rId9">
            <anchor moveWithCells="1">
              <from>
                <xdr:col>0</xdr:col>
                <xdr:colOff>7620</xdr:colOff>
                <xdr:row>5</xdr:row>
                <xdr:rowOff>0</xdr:rowOff>
              </from>
              <to>
                <xdr:col>0</xdr:col>
                <xdr:colOff>693420</xdr:colOff>
                <xdr:row>5</xdr:row>
                <xdr:rowOff>236220</xdr:rowOff>
              </to>
            </anchor>
          </controlPr>
        </control>
      </mc:Choice>
      <mc:Fallback>
        <control shapeId="61443" r:id="rId8" name="cmdAddParamQualifier"/>
      </mc:Fallback>
    </mc:AlternateContent>
    <mc:AlternateContent xmlns:mc="http://schemas.openxmlformats.org/markup-compatibility/2006">
      <mc:Choice Requires="x14">
        <control shapeId="61444" r:id="rId10" name="cmdCheckCommDataSheet">
          <controlPr defaultSize="0" autoLine="0" r:id="rId11">
            <anchor moveWithCells="1">
              <from>
                <xdr:col>0</xdr:col>
                <xdr:colOff>7620</xdr:colOff>
                <xdr:row>3</xdr:row>
                <xdr:rowOff>22860</xdr:rowOff>
              </from>
              <to>
                <xdr:col>0</xdr:col>
                <xdr:colOff>693420</xdr:colOff>
                <xdr:row>4</xdr:row>
                <xdr:rowOff>7620</xdr:rowOff>
              </to>
            </anchor>
          </controlPr>
        </control>
      </mc:Choice>
      <mc:Fallback>
        <control shapeId="61444" r:id="rId10" name="cmdCheckCommDataSheet"/>
      </mc:Fallback>
    </mc:AlternateContent>
    <mc:AlternateContent xmlns:mc="http://schemas.openxmlformats.org/markup-compatibility/2006">
      <mc:Choice Requires="x14">
        <control shapeId="61445" r:id="rId12" name="cmdRefreshUnits">
          <controlPr defaultSize="0" autoLine="0" r:id="rId13">
            <anchor moveWithCells="1">
              <from>
                <xdr:col>2</xdr:col>
                <xdr:colOff>1409700</xdr:colOff>
                <xdr:row>2</xdr:row>
                <xdr:rowOff>76200</xdr:rowOff>
              </from>
              <to>
                <xdr:col>3</xdr:col>
                <xdr:colOff>320040</xdr:colOff>
                <xdr:row>4</xdr:row>
                <xdr:rowOff>7620</xdr:rowOff>
              </to>
            </anchor>
          </controlPr>
        </control>
      </mc:Choice>
      <mc:Fallback>
        <control shapeId="61445" r:id="rId12" name="cmdRefreshUnits"/>
      </mc:Fallback>
    </mc:AlternateContent>
  </controls>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2"/>
  <dimension ref="A1:F24"/>
  <sheetViews>
    <sheetView workbookViewId="0">
      <pane xSplit="3" ySplit="7" topLeftCell="D8" activePane="bottomRight" state="frozen"/>
      <selection pane="topRight" activeCell="D1" sqref="D1"/>
      <selection pane="bottomLeft" activeCell="A8" sqref="A8"/>
      <selection pane="bottomRight"/>
    </sheetView>
  </sheetViews>
  <sheetFormatPr defaultRowHeight="13.2" x14ac:dyDescent="0.25"/>
  <cols>
    <col min="1" max="1" width="12" customWidth="1"/>
    <col min="2" max="2" width="11.6640625" customWidth="1"/>
    <col min="3" max="3" width="21.44140625" customWidth="1"/>
    <col min="4" max="4" width="8.6640625" customWidth="1"/>
    <col min="5" max="5" width="18.109375" customWidth="1"/>
    <col min="6" max="6" width="10.33203125" customWidth="1"/>
  </cols>
  <sheetData>
    <row r="1" spans="1:6" x14ac:dyDescent="0.25">
      <c r="A1" s="1" t="s">
        <v>17</v>
      </c>
      <c r="B1" s="2"/>
    </row>
    <row r="4" spans="1:6" ht="18.75" customHeight="1" x14ac:dyDescent="0.25"/>
    <row r="5" spans="1:6" ht="17.25" customHeight="1" x14ac:dyDescent="0.25">
      <c r="C5" s="3"/>
    </row>
    <row r="6" spans="1:6" ht="15.75" customHeight="1" x14ac:dyDescent="0.25"/>
    <row r="7" spans="1:6" x14ac:dyDescent="0.25">
      <c r="B7" s="4" t="s">
        <v>13</v>
      </c>
      <c r="C7" s="1" t="s">
        <v>14</v>
      </c>
      <c r="D7" s="1" t="s">
        <v>10</v>
      </c>
      <c r="E7" s="1" t="s">
        <v>5</v>
      </c>
      <c r="F7" s="1" t="s">
        <v>2</v>
      </c>
    </row>
    <row r="8" spans="1:6" x14ac:dyDescent="0.25">
      <c r="B8" s="1"/>
      <c r="C8" s="1"/>
      <c r="D8" s="1"/>
      <c r="E8" s="7"/>
      <c r="F8" s="1"/>
    </row>
    <row r="10" spans="1:6" x14ac:dyDescent="0.25">
      <c r="B10" s="7"/>
      <c r="C10" s="7"/>
      <c r="D10" s="16"/>
      <c r="E10" s="16"/>
    </row>
    <row r="11" spans="1:6" x14ac:dyDescent="0.25">
      <c r="B11" s="7"/>
      <c r="C11" s="7"/>
      <c r="D11" s="11"/>
    </row>
    <row r="12" spans="1:6" x14ac:dyDescent="0.25">
      <c r="B12" s="7"/>
      <c r="C12" s="7"/>
      <c r="D12" s="7"/>
      <c r="E12" s="7"/>
    </row>
    <row r="13" spans="1:6" x14ac:dyDescent="0.25">
      <c r="B13" s="7"/>
      <c r="C13" s="7"/>
      <c r="D13" s="6"/>
      <c r="E13" s="7"/>
    </row>
    <row r="14" spans="1:6" x14ac:dyDescent="0.25">
      <c r="B14" s="7"/>
      <c r="C14" s="7"/>
      <c r="D14" s="7"/>
      <c r="E14" s="7"/>
    </row>
    <row r="15" spans="1:6" x14ac:dyDescent="0.25">
      <c r="B15" s="7"/>
      <c r="C15" s="7"/>
      <c r="E15" s="7"/>
    </row>
    <row r="16" spans="1:6" x14ac:dyDescent="0.25">
      <c r="B16" s="7"/>
      <c r="C16" s="7"/>
    </row>
    <row r="17" spans="2:5" x14ac:dyDescent="0.25">
      <c r="B17" s="7"/>
      <c r="C17" s="7"/>
      <c r="D17" s="6"/>
      <c r="E17" s="7"/>
    </row>
    <row r="18" spans="2:5" x14ac:dyDescent="0.25">
      <c r="B18" s="4"/>
      <c r="C18" s="3"/>
      <c r="E18" s="3"/>
    </row>
    <row r="19" spans="2:5" x14ac:dyDescent="0.25">
      <c r="E19" s="3"/>
    </row>
    <row r="21" spans="2:5" x14ac:dyDescent="0.25">
      <c r="B21" s="7"/>
      <c r="C21" s="7"/>
      <c r="D21" s="7"/>
      <c r="E21" s="7"/>
    </row>
    <row r="22" spans="2:5" x14ac:dyDescent="0.25">
      <c r="B22" s="7"/>
      <c r="C22" s="7"/>
    </row>
    <row r="23" spans="2:5" x14ac:dyDescent="0.25">
      <c r="B23" s="7"/>
      <c r="C23" s="7"/>
      <c r="E23" s="7"/>
    </row>
    <row r="24" spans="2:5" x14ac:dyDescent="0.25">
      <c r="D24" s="7"/>
      <c r="E24" s="7"/>
    </row>
  </sheetData>
  <phoneticPr fontId="0" type="noConversion"/>
  <pageMargins left="0.75" right="0.75" top="1" bottom="1" header="0.5" footer="0.5"/>
  <pageSetup paperSize="9" orientation="portrait" horizontalDpi="1200" verticalDpi="300" r:id="rId1"/>
  <headerFooter alignWithMargins="0"/>
  <drawing r:id="rId2"/>
  <legacyDrawing r:id="rId3"/>
  <controls>
    <mc:AlternateContent xmlns:mc="http://schemas.openxmlformats.org/markup-compatibility/2006">
      <mc:Choice Requires="x14">
        <control shapeId="60417" r:id="rId4" name="cmdConstraintSets">
          <controlPr defaultSize="0" autoLine="0" r:id="rId5">
            <anchor moveWithCells="1">
              <from>
                <xdr:col>4</xdr:col>
                <xdr:colOff>22860</xdr:colOff>
                <xdr:row>4</xdr:row>
                <xdr:rowOff>22860</xdr:rowOff>
              </from>
              <to>
                <xdr:col>4</xdr:col>
                <xdr:colOff>998220</xdr:colOff>
                <xdr:row>5</xdr:row>
                <xdr:rowOff>45720</xdr:rowOff>
              </to>
            </anchor>
          </controlPr>
        </control>
      </mc:Choice>
      <mc:Fallback>
        <control shapeId="60417" r:id="rId4" name="cmdConstraintSets"/>
      </mc:Fallback>
    </mc:AlternateContent>
    <mc:AlternateContent xmlns:mc="http://schemas.openxmlformats.org/markup-compatibility/2006">
      <mc:Choice Requires="x14">
        <control shapeId="60418" r:id="rId6" name="cmdCheckConstraintsSheet">
          <controlPr defaultSize="0" autoLine="0" r:id="rId7">
            <anchor moveWithCells="1">
              <from>
                <xdr:col>0</xdr:col>
                <xdr:colOff>7620</xdr:colOff>
                <xdr:row>3</xdr:row>
                <xdr:rowOff>0</xdr:rowOff>
              </from>
              <to>
                <xdr:col>0</xdr:col>
                <xdr:colOff>792480</xdr:colOff>
                <xdr:row>4</xdr:row>
                <xdr:rowOff>0</xdr:rowOff>
              </to>
            </anchor>
          </controlPr>
        </control>
      </mc:Choice>
      <mc:Fallback>
        <control shapeId="60418" r:id="rId6" name="cmdCheckConstraintsSheet"/>
      </mc:Fallback>
    </mc:AlternateContent>
    <mc:AlternateContent xmlns:mc="http://schemas.openxmlformats.org/markup-compatibility/2006">
      <mc:Choice Requires="x14">
        <control shapeId="60419" r:id="rId8" name="cmdConstraintUnit">
          <controlPr defaultSize="0" autoLine="0" r:id="rId9">
            <anchor moveWithCells="1">
              <from>
                <xdr:col>3</xdr:col>
                <xdr:colOff>22860</xdr:colOff>
                <xdr:row>4</xdr:row>
                <xdr:rowOff>7620</xdr:rowOff>
              </from>
              <to>
                <xdr:col>3</xdr:col>
                <xdr:colOff>579120</xdr:colOff>
                <xdr:row>5</xdr:row>
                <xdr:rowOff>30480</xdr:rowOff>
              </to>
            </anchor>
          </controlPr>
        </control>
      </mc:Choice>
      <mc:Fallback>
        <control shapeId="60419" r:id="rId8" name="cmdConstraintUnit"/>
      </mc:Fallback>
    </mc:AlternateContent>
    <mc:AlternateContent xmlns:mc="http://schemas.openxmlformats.org/markup-compatibility/2006">
      <mc:Choice Requires="x14">
        <control shapeId="60420" r:id="rId10" name="cmdRefreshUnits">
          <controlPr defaultSize="0" autoLine="0" r:id="rId11">
            <anchor moveWithCells="1">
              <from>
                <xdr:col>3</xdr:col>
                <xdr:colOff>22860</xdr:colOff>
                <xdr:row>2</xdr:row>
                <xdr:rowOff>45720</xdr:rowOff>
              </from>
              <to>
                <xdr:col>3</xdr:col>
                <xdr:colOff>579120</xdr:colOff>
                <xdr:row>4</xdr:row>
                <xdr:rowOff>15240</xdr:rowOff>
              </to>
            </anchor>
          </controlPr>
        </control>
      </mc:Choice>
      <mc:Fallback>
        <control shapeId="60420" r:id="rId10" name="cmdRefreshUnits"/>
      </mc:Fallback>
    </mc:AlternateContent>
  </control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8D4D3544756FC4189396AED5C4815C6" ma:contentTypeVersion="13" ma:contentTypeDescription="Create a new document." ma:contentTypeScope="" ma:versionID="3491e64d765c741a1185f86747b76256">
  <xsd:schema xmlns:xsd="http://www.w3.org/2001/XMLSchema" xmlns:xs="http://www.w3.org/2001/XMLSchema" xmlns:p="http://schemas.microsoft.com/office/2006/metadata/properties" xmlns:ns2="6f58b422-a6f4-4b6d-a699-15e0adf0131b" xmlns:ns3="a1feda3e-9ebc-462f-b638-5fefd6b1abeb" targetNamespace="http://schemas.microsoft.com/office/2006/metadata/properties" ma:root="true" ma:fieldsID="d2c57e39fed3767bff05d1708e2df440" ns2:_="" ns3:_="">
    <xsd:import namespace="6f58b422-a6f4-4b6d-a699-15e0adf0131b"/>
    <xsd:import namespace="a1feda3e-9ebc-462f-b638-5fefd6b1abeb"/>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f58b422-a6f4-4b6d-a699-15e0adf0131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29f62856-1543-49d4-a736-4569d363f533"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1feda3e-9ebc-462f-b638-5fefd6b1abeb"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42b81f44-6a1a-4ced-bf8a-34da3ba669b8}" ma:internalName="TaxCatchAll" ma:showField="CatchAllData" ma:web="a1feda3e-9ebc-462f-b638-5fefd6b1abe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a1feda3e-9ebc-462f-b638-5fefd6b1abeb" xsi:nil="true"/>
    <lcf76f155ced4ddcb4097134ff3c332f xmlns="6f58b422-a6f4-4b6d-a699-15e0adf0131b">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mso-contentType ?>
<SharedContentType xmlns="Microsoft.SharePoint.Taxonomy.ContentTypeSync" SourceId="29f62856-1543-49d4-a736-4569d363f533" ContentTypeId="0x0101" PreviousValue="false"/>
</file>

<file path=customXml/itemProps1.xml><?xml version="1.0" encoding="utf-8"?>
<ds:datastoreItem xmlns:ds="http://schemas.openxmlformats.org/officeDocument/2006/customXml" ds:itemID="{286F023D-5D5B-4F80-A8A5-866828EA11DE}"/>
</file>

<file path=customXml/itemProps2.xml><?xml version="1.0" encoding="utf-8"?>
<ds:datastoreItem xmlns:ds="http://schemas.openxmlformats.org/officeDocument/2006/customXml" ds:itemID="{595549D5-6FAB-43C9-B35D-0748EC5B26ED}">
  <ds:schemaRefs>
    <ds:schemaRef ds:uri="http://schemas.microsoft.com/sharepoint/v3/fields"/>
    <ds:schemaRef ds:uri="5e3f1aae-2956-4629-a4bc-aaa910a7cb56"/>
    <ds:schemaRef ds:uri="http://purl.org/dc/terms/"/>
    <ds:schemaRef ds:uri="http://purl.org/dc/elements/1.1/"/>
    <ds:schemaRef ds:uri="4ffa91fb-a0ff-4ac5-b2db-65c790d184a4"/>
    <ds:schemaRef ds:uri="http://schemas.microsoft.com/office/infopath/2007/PartnerControls"/>
    <ds:schemaRef ds:uri="http://schemas.microsoft.com/office/2006/metadata/properties"/>
    <ds:schemaRef ds:uri="http://schemas.microsoft.com/sharepoint.v3"/>
    <ds:schemaRef ds:uri="http://schemas.microsoft.com/office/2006/documentManagement/types"/>
    <ds:schemaRef ds:uri="9380cd1d-721d-4dea-8999-040d87e03657"/>
    <ds:schemaRef ds:uri="http://schemas.openxmlformats.org/package/2006/metadata/core-properties"/>
    <ds:schemaRef ds:uri="http://schemas.microsoft.com/sharepoint/v3"/>
    <ds:schemaRef ds:uri="http://www.w3.org/XML/1998/namespace"/>
    <ds:schemaRef ds:uri="http://purl.org/dc/dcmitype/"/>
  </ds:schemaRefs>
</ds:datastoreItem>
</file>

<file path=customXml/itemProps3.xml><?xml version="1.0" encoding="utf-8"?>
<ds:datastoreItem xmlns:ds="http://schemas.openxmlformats.org/officeDocument/2006/customXml" ds:itemID="{AED3C0D5-F77C-4765-BE02-97EF8644E62C}">
  <ds:schemaRefs>
    <ds:schemaRef ds:uri="http://schemas.microsoft.com/sharepoint/v3/contenttype/forms"/>
  </ds:schemaRefs>
</ds:datastoreItem>
</file>

<file path=customXml/itemProps4.xml><?xml version="1.0" encoding="utf-8"?>
<ds:datastoreItem xmlns:ds="http://schemas.openxmlformats.org/officeDocument/2006/customXml" ds:itemID="{C24AE344-A825-4794-A53B-9277AFDB1E1C}">
  <ds:schemaRefs>
    <ds:schemaRef ds:uri="Microsoft.SharePoint.Taxonomy.ContentTypeSyn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Constraints</vt:lpstr>
      <vt:lpstr>orig const</vt:lpstr>
      <vt:lpstr>RFS2 Volumes</vt:lpstr>
      <vt:lpstr>Scenarios</vt:lpstr>
      <vt:lpstr>Int'l Exp+Imp</vt:lpstr>
      <vt:lpstr>Alt Fuel Vols</vt:lpstr>
    </vt:vector>
  </TitlesOfParts>
  <Company>Noble-Soft Systems Pty 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Dr Ken Noble</dc:creator>
  <cp:lastModifiedBy>Lenox, Carol</cp:lastModifiedBy>
  <cp:lastPrinted>2011-08-18T18:35:46Z</cp:lastPrinted>
  <dcterms:created xsi:type="dcterms:W3CDTF">2005-05-01T12:39:10Z</dcterms:created>
  <dcterms:modified xsi:type="dcterms:W3CDTF">2020-09-03T19:20:57Z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0x01010058D4D3544756FC4189396AED5C4815C6</vt:lpwstr>
  </property>
  <property fmtid="{D5CDD505-2E9C-101B-9397-08002B2CF9AE}" pid="3" name="IsMyDocuments">
    <vt:bool>true</vt:bool>
  </property>
  <property fmtid="{D5CDD505-2E9C-101B-9397-08002B2CF9AE}" pid="4" name="SaveCode">
    <vt:r8>349682033061981</vt:r8>
  </property>
  <property fmtid="{D5CDD505-2E9C-101B-9397-08002B2CF9AE}" pid="5" name="WorkbookGuid">
    <vt:lpwstr>8eb92543-80c3-44ab-a1c0-d7172119868c</vt:lpwstr>
  </property>
</Properties>
</file>