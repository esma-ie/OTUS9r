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zalesak_andrew_epa_gov/Documents/Profile/Documents/New MOVES/TIMES Input Files/For Forum post/"/>
    </mc:Choice>
  </mc:AlternateContent>
  <xr:revisionPtr revIDLastSave="74" documentId="8_{28F97ECF-553E-4FF5-889A-144E1B4775CB}" xr6:coauthVersionLast="46" xr6:coauthVersionMax="46" xr10:uidLastSave="{846C761A-01D9-43E9-841E-173E802C9919}"/>
  <bookViews>
    <workbookView xWindow="-120" yWindow="-120" windowWidth="20730" windowHeight="11160" tabRatio="914" activeTab="1" xr2:uid="{00000000-000D-0000-FFFF-FFFF00000000}"/>
  </bookViews>
  <sheets>
    <sheet name="Home" sheetId="27" r:id="rId1"/>
    <sheet name="HDV_share_national" sheetId="36" r:id="rId2"/>
    <sheet name="HDV_share_regional" sheetId="37" r:id="rId3"/>
    <sheet name="AEO20 data" sheetId="41" r:id="rId4"/>
    <sheet name="ConstrData" sheetId="4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22" i="36" l="1"/>
  <c r="M123" i="36" s="1"/>
  <c r="M124" i="36" s="1"/>
  <c r="M100" i="36"/>
  <c r="M101" i="36" s="1"/>
  <c r="M102" i="36" s="1"/>
  <c r="M66" i="36"/>
  <c r="M67" i="36" s="1"/>
  <c r="M68" i="36" s="1"/>
  <c r="M107" i="36" l="1"/>
  <c r="M103" i="36"/>
  <c r="M96" i="36"/>
  <c r="M95" i="36"/>
  <c r="M94" i="36"/>
  <c r="M90" i="36"/>
  <c r="M89" i="36"/>
  <c r="M88" i="36"/>
  <c r="M84" i="36"/>
  <c r="M83" i="36"/>
  <c r="M82" i="36"/>
  <c r="M77" i="36"/>
  <c r="M76" i="36"/>
  <c r="M75" i="36"/>
  <c r="Q37" i="41"/>
  <c r="H154" i="36" l="1"/>
  <c r="H155" i="36"/>
  <c r="H156" i="36"/>
  <c r="H157" i="36"/>
  <c r="H158" i="36"/>
  <c r="H159" i="36"/>
  <c r="G152" i="36"/>
  <c r="G153" i="36" s="1"/>
  <c r="G154" i="36" s="1"/>
  <c r="G155" i="36" s="1"/>
  <c r="G156" i="36" s="1"/>
  <c r="G157" i="36" s="1"/>
  <c r="G158" i="36" s="1"/>
  <c r="G159" i="36" s="1"/>
  <c r="E155" i="36" l="1"/>
  <c r="E156" i="36" s="1"/>
  <c r="E157" i="36" s="1"/>
  <c r="E158" i="36" s="1"/>
  <c r="E159" i="36" s="1"/>
  <c r="E152" i="36"/>
  <c r="E153" i="36" s="1"/>
  <c r="C60" i="41" l="1"/>
  <c r="N51" i="41" s="1"/>
  <c r="M7" i="36" s="1"/>
  <c r="B60" i="41"/>
  <c r="P40" i="41" l="1"/>
  <c r="P39" i="41"/>
  <c r="P38" i="41"/>
  <c r="P37" i="41"/>
  <c r="N33" i="41"/>
  <c r="O33" i="41"/>
  <c r="P33" i="41"/>
  <c r="N34" i="41"/>
  <c r="O34" i="41"/>
  <c r="P34" i="41"/>
  <c r="N35" i="41"/>
  <c r="O35" i="41"/>
  <c r="P35" i="41"/>
  <c r="P32" i="41"/>
  <c r="O32" i="41"/>
  <c r="N32" i="41"/>
  <c r="P16" i="41"/>
  <c r="P17" i="41"/>
  <c r="P18" i="41"/>
  <c r="O14" i="41"/>
  <c r="P14" i="41"/>
  <c r="O15" i="41"/>
  <c r="P15" i="41"/>
  <c r="M11" i="41"/>
  <c r="N11" i="41"/>
  <c r="O11" i="41"/>
  <c r="P11" i="41"/>
  <c r="M12" i="41"/>
  <c r="N12" i="41"/>
  <c r="O12" i="41"/>
  <c r="P12" i="41"/>
  <c r="M13" i="41"/>
  <c r="N13" i="41"/>
  <c r="O13" i="41"/>
  <c r="P13" i="41"/>
  <c r="P10" i="41"/>
  <c r="P19" i="41" s="1"/>
  <c r="O10" i="41"/>
  <c r="O19" i="41" s="1"/>
  <c r="N10" i="41"/>
  <c r="N19" i="41" s="1"/>
  <c r="M129" i="36" l="1"/>
  <c r="M125" i="36"/>
  <c r="M118" i="36"/>
  <c r="M117" i="36"/>
  <c r="M116" i="36"/>
  <c r="M111" i="36"/>
  <c r="M110" i="36"/>
  <c r="M109" i="36"/>
  <c r="M73" i="36"/>
  <c r="M74" i="36" s="1"/>
  <c r="M69" i="36"/>
  <c r="M62" i="36"/>
  <c r="M61" i="36"/>
  <c r="M60" i="36"/>
  <c r="M56" i="36"/>
  <c r="M55" i="36"/>
  <c r="M54" i="36"/>
  <c r="M50" i="36"/>
  <c r="M49" i="36"/>
  <c r="M48" i="36"/>
  <c r="M43" i="36"/>
  <c r="M42" i="36"/>
  <c r="M41" i="36"/>
  <c r="O51" i="41"/>
  <c r="P51" i="41"/>
  <c r="O52" i="41"/>
  <c r="M14" i="36" s="1"/>
  <c r="P52" i="41"/>
  <c r="M15" i="36" s="1"/>
  <c r="O53" i="41"/>
  <c r="P53" i="41"/>
  <c r="M19" i="36" s="1"/>
  <c r="O54" i="41"/>
  <c r="M23" i="36" s="1"/>
  <c r="P54" i="41"/>
  <c r="M24" i="36" s="1"/>
  <c r="O55" i="41"/>
  <c r="M28" i="36" s="1"/>
  <c r="P55" i="41"/>
  <c r="M29" i="36" s="1"/>
  <c r="P56" i="41"/>
  <c r="M33" i="36" s="1"/>
  <c r="P57" i="41"/>
  <c r="P58" i="41"/>
  <c r="M37" i="36" s="1"/>
  <c r="N52" i="41"/>
  <c r="M13" i="36" s="1"/>
  <c r="M51" i="41"/>
  <c r="M48" i="41" s="1"/>
  <c r="M52" i="41"/>
  <c r="M35" i="41"/>
  <c r="M34" i="41"/>
  <c r="M33" i="41"/>
  <c r="M32" i="41"/>
  <c r="M10" i="41"/>
  <c r="M130" i="36" l="1"/>
  <c r="M108" i="36"/>
  <c r="M9" i="36"/>
  <c r="P60" i="41"/>
  <c r="P48" i="41"/>
  <c r="M8" i="36"/>
  <c r="O48" i="41"/>
  <c r="N48" i="41"/>
  <c r="O60" i="41"/>
  <c r="N60" i="41"/>
  <c r="O41" i="41"/>
  <c r="N41" i="41"/>
  <c r="P41" i="41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P61" i="37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E171" i="36"/>
  <c r="G171" i="36"/>
  <c r="E172" i="36"/>
  <c r="G172" i="36"/>
  <c r="E173" i="36"/>
  <c r="G173" i="36"/>
  <c r="E174" i="36"/>
  <c r="G174" i="36"/>
  <c r="E175" i="36"/>
  <c r="G175" i="36"/>
  <c r="E176" i="36"/>
  <c r="G176" i="36"/>
  <c r="E177" i="36"/>
  <c r="G177" i="36"/>
  <c r="G170" i="36"/>
  <c r="E170" i="36"/>
  <c r="E162" i="36"/>
  <c r="G162" i="36"/>
  <c r="E163" i="36"/>
  <c r="G163" i="36"/>
  <c r="E164" i="36"/>
  <c r="G164" i="36"/>
  <c r="E165" i="36"/>
  <c r="G165" i="36"/>
  <c r="E166" i="36"/>
  <c r="G166" i="36"/>
  <c r="E167" i="36"/>
  <c r="G167" i="36"/>
  <c r="E168" i="36"/>
  <c r="G168" i="36"/>
  <c r="G161" i="36"/>
  <c r="E161" i="36"/>
  <c r="E144" i="36"/>
  <c r="G144" i="36"/>
  <c r="E145" i="36"/>
  <c r="G145" i="36"/>
  <c r="E146" i="36"/>
  <c r="G146" i="36"/>
  <c r="E147" i="36"/>
  <c r="G147" i="36"/>
  <c r="E148" i="36"/>
  <c r="G148" i="36"/>
  <c r="E149" i="36"/>
  <c r="G149" i="36"/>
  <c r="E150" i="36"/>
  <c r="G150" i="36"/>
  <c r="G143" i="36"/>
  <c r="E143" i="36"/>
  <c r="E133" i="36"/>
  <c r="G133" i="36"/>
  <c r="E134" i="36"/>
  <c r="G134" i="36"/>
  <c r="E135" i="36"/>
  <c r="G135" i="36"/>
  <c r="E136" i="36"/>
  <c r="G136" i="36"/>
  <c r="E137" i="36"/>
  <c r="G137" i="36"/>
  <c r="E138" i="36"/>
  <c r="G138" i="36"/>
  <c r="E139" i="36"/>
  <c r="G139" i="36"/>
  <c r="G132" i="36"/>
  <c r="E132" i="36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P43" i="37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P25" i="37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M23" i="37"/>
  <c r="M21" i="37"/>
  <c r="M19" i="37"/>
  <c r="M17" i="37"/>
  <c r="M15" i="37"/>
  <c r="M13" i="37"/>
  <c r="M11" i="37"/>
  <c r="M9" i="37"/>
  <c r="M24" i="37"/>
  <c r="M22" i="37"/>
  <c r="M20" i="37"/>
  <c r="M18" i="37"/>
  <c r="M16" i="37"/>
  <c r="M14" i="37"/>
  <c r="M12" i="37"/>
  <c r="M10" i="37"/>
  <c r="M8" i="37"/>
  <c r="M7" i="37"/>
  <c r="P7" i="37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M154" i="36"/>
  <c r="M178" i="36"/>
  <c r="M151" i="36"/>
  <c r="P154" i="36"/>
  <c r="P155" i="36" s="1"/>
  <c r="P156" i="36" s="1"/>
  <c r="P157" i="36" s="1"/>
  <c r="P158" i="36" s="1"/>
  <c r="P159" i="36" s="1"/>
  <c r="M180" i="36"/>
  <c r="M179" i="36"/>
  <c r="H179" i="36"/>
  <c r="H180" i="36"/>
  <c r="H178" i="36"/>
  <c r="P178" i="36"/>
  <c r="P179" i="36" s="1"/>
  <c r="P180" i="36" s="1"/>
  <c r="M177" i="36"/>
  <c r="M176" i="36"/>
  <c r="M175" i="36"/>
  <c r="M174" i="36"/>
  <c r="M173" i="36"/>
  <c r="M172" i="36"/>
  <c r="M171" i="36"/>
  <c r="M170" i="36"/>
  <c r="M169" i="36"/>
  <c r="P169" i="36"/>
  <c r="P170" i="36" s="1"/>
  <c r="P171" i="36" s="1"/>
  <c r="P172" i="36" s="1"/>
  <c r="P173" i="36" s="1"/>
  <c r="P174" i="36" s="1"/>
  <c r="P175" i="36" s="1"/>
  <c r="P176" i="36" s="1"/>
  <c r="P177" i="36" s="1"/>
  <c r="H177" i="36"/>
  <c r="H176" i="36"/>
  <c r="H175" i="36"/>
  <c r="H174" i="36"/>
  <c r="H173" i="36"/>
  <c r="H172" i="36"/>
  <c r="H171" i="36"/>
  <c r="H170" i="36"/>
  <c r="H169" i="36"/>
  <c r="M168" i="36"/>
  <c r="M167" i="36"/>
  <c r="M166" i="36"/>
  <c r="M165" i="36"/>
  <c r="M164" i="36"/>
  <c r="M163" i="36"/>
  <c r="M162" i="36"/>
  <c r="M161" i="36"/>
  <c r="M160" i="36"/>
  <c r="H161" i="36"/>
  <c r="H162" i="36"/>
  <c r="H163" i="36"/>
  <c r="H164" i="36"/>
  <c r="H165" i="36"/>
  <c r="H166" i="36"/>
  <c r="H167" i="36"/>
  <c r="H168" i="36"/>
  <c r="H160" i="36"/>
  <c r="P160" i="36"/>
  <c r="P161" i="36" s="1"/>
  <c r="P162" i="36" s="1"/>
  <c r="P163" i="36" s="1"/>
  <c r="P164" i="36" s="1"/>
  <c r="P165" i="36" s="1"/>
  <c r="P166" i="36" s="1"/>
  <c r="P167" i="36" s="1"/>
  <c r="P168" i="36" s="1"/>
  <c r="H153" i="36"/>
  <c r="H152" i="36"/>
  <c r="H151" i="36"/>
  <c r="P151" i="36"/>
  <c r="P152" i="36" s="1"/>
  <c r="P153" i="36" s="1"/>
  <c r="H143" i="36"/>
  <c r="H144" i="36"/>
  <c r="H145" i="36"/>
  <c r="H146" i="36"/>
  <c r="H147" i="36"/>
  <c r="H148" i="36"/>
  <c r="H149" i="36"/>
  <c r="H150" i="36"/>
  <c r="H142" i="36"/>
  <c r="P142" i="36"/>
  <c r="P143" i="36" s="1"/>
  <c r="P144" i="36" s="1"/>
  <c r="P145" i="36" s="1"/>
  <c r="P146" i="36" s="1"/>
  <c r="P147" i="36" s="1"/>
  <c r="P148" i="36" s="1"/>
  <c r="P149" i="36" s="1"/>
  <c r="P150" i="36" s="1"/>
  <c r="M143" i="36"/>
  <c r="M142" i="36"/>
  <c r="M141" i="36"/>
  <c r="M140" i="36"/>
  <c r="P140" i="36"/>
  <c r="P141" i="36" s="1"/>
  <c r="H141" i="36"/>
  <c r="H140" i="36"/>
  <c r="M139" i="36"/>
  <c r="M138" i="36"/>
  <c r="M137" i="36"/>
  <c r="M136" i="36"/>
  <c r="M135" i="36"/>
  <c r="M134" i="36"/>
  <c r="M133" i="36"/>
  <c r="M132" i="36"/>
  <c r="M131" i="36"/>
  <c r="H133" i="36"/>
  <c r="H134" i="36"/>
  <c r="H135" i="36"/>
  <c r="H136" i="36"/>
  <c r="H137" i="36"/>
  <c r="H138" i="36"/>
  <c r="H139" i="36"/>
  <c r="P131" i="36"/>
  <c r="P132" i="36" s="1"/>
  <c r="P133" i="36" s="1"/>
  <c r="P134" i="36" s="1"/>
  <c r="P135" i="36" s="1"/>
  <c r="P136" i="36" s="1"/>
  <c r="P137" i="36" s="1"/>
  <c r="P138" i="36" s="1"/>
  <c r="P139" i="36" s="1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9" i="37"/>
  <c r="H10" i="37"/>
  <c r="H8" i="37"/>
  <c r="H7" i="37"/>
  <c r="H132" i="36"/>
  <c r="H131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13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-0.0121*VARCOMPRD(2015,TA)+1*VARFLOUT(2015,TAP10+TAPE,TA)&lt;=0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  <author>Lenox, Carol</author>
  </authors>
  <commentList>
    <comment ref="N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-0.272*VARCOMPRD(R1,2010,TRP)+1*VARFLOUT(R1,2010,TPDSLCR+TPELCCR,TRP)=&gt;0</t>
        </r>
      </text>
    </comment>
    <comment ref="M6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Took the percentage of fuel given in the original constraint and multiplied it by the percent of total TRP represented by CR (and then x0.98)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C4" authorId="0" shapeId="0" xr:uid="{BA352919-FDE7-430F-816C-5E92CB485774}">
      <text>
        <r>
          <rPr>
            <sz val="8"/>
            <color indexed="81"/>
            <rFont val="Tahoma"/>
            <family val="2"/>
          </rPr>
          <t>Data from 2013AEO</t>
        </r>
      </text>
    </comment>
    <comment ref="D4" authorId="0" shapeId="0" xr:uid="{A54ABE1F-2E74-43DF-B9D9-344F3073E5C7}">
      <text>
        <r>
          <rPr>
            <sz val="8"/>
            <color indexed="81"/>
            <rFont val="Tahoma"/>
            <family val="2"/>
          </rPr>
          <t>Data from 2017AEO</t>
        </r>
      </text>
    </comment>
  </commentList>
</comments>
</file>

<file path=xl/sharedStrings.xml><?xml version="1.0" encoding="utf-8"?>
<sst xmlns="http://schemas.openxmlformats.org/spreadsheetml/2006/main" count="1670" uniqueCount="303">
  <si>
    <t>~UC_T</t>
  </si>
  <si>
    <t>UC_N</t>
  </si>
  <si>
    <t>LimType</t>
  </si>
  <si>
    <t>UC_Desc</t>
  </si>
  <si>
    <t>Pset_PN</t>
  </si>
  <si>
    <t>UC - Each Region/Period</t>
  </si>
  <si>
    <t>~UC_Sets: R_E: AllRegions</t>
  </si>
  <si>
    <t>~UC_Sets: T_E:</t>
  </si>
  <si>
    <t>Pset_Set</t>
  </si>
  <si>
    <t>Pset_CI</t>
  </si>
  <si>
    <t>Pset_CO</t>
  </si>
  <si>
    <t>Cset_CN</t>
  </si>
  <si>
    <t>Attribute</t>
  </si>
  <si>
    <t>Year</t>
  </si>
  <si>
    <t>UC_FLO</t>
  </si>
  <si>
    <t>UC_COMPRD</t>
  </si>
  <si>
    <t>Share of a group of processes within a market (see attribute FLO_MARK if you want to constrain the market share of a single process)</t>
  </si>
  <si>
    <t>LO</t>
  </si>
  <si>
    <t>*</t>
  </si>
  <si>
    <t>RAT__RHS</t>
  </si>
  <si>
    <t>UP</t>
  </si>
  <si>
    <t>ConstrName</t>
  </si>
  <si>
    <t>ConstrDesc</t>
  </si>
  <si>
    <t>Units</t>
  </si>
  <si>
    <t>TechName</t>
  </si>
  <si>
    <t>2010-2055</t>
  </si>
  <si>
    <t>2005-2055</t>
  </si>
  <si>
    <t>uconstraint</t>
  </si>
  <si>
    <t>UC_RHSRT</t>
  </si>
  <si>
    <t>UC_RHSRT~0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</si>
  <si>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</si>
  <si>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</si>
  <si>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</si>
  <si>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</si>
  <si>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</si>
  <si>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</si>
  <si>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</si>
  <si>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</si>
  <si>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</si>
  <si>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Region</t>
  </si>
  <si>
    <t>v16.1.0 was created from EPAUS9r_TRNHDV_v16.1.0_05 ConstrData tab</t>
  </si>
  <si>
    <t>RATRULE_ACT</t>
  </si>
  <si>
    <t>* HDV Shares</t>
  </si>
  <si>
    <t>S_TAGSL</t>
  </si>
  <si>
    <t>Transportation Air - GSL</t>
  </si>
  <si>
    <t>TA-ALL</t>
  </si>
  <si>
    <t>TA-GSL</t>
  </si>
  <si>
    <t>S_TAJTF</t>
  </si>
  <si>
    <t>Transportation Air - JTF</t>
  </si>
  <si>
    <t>TA-JTF</t>
  </si>
  <si>
    <t>S_TBGSL</t>
  </si>
  <si>
    <t>Transportation Bus - GSL</t>
  </si>
  <si>
    <t>TB-ALL</t>
  </si>
  <si>
    <t>TB-GSL</t>
  </si>
  <si>
    <t>TB-CNG</t>
  </si>
  <si>
    <t>S_TRPCR</t>
  </si>
  <si>
    <t>Transportation Rail - Commuter</t>
  </si>
  <si>
    <t>TRP-ALL</t>
  </si>
  <si>
    <t>TRP-CR</t>
  </si>
  <si>
    <t>TRP-PT</t>
  </si>
  <si>
    <t>TRP-IR</t>
  </si>
  <si>
    <t>TRP-DSL</t>
  </si>
  <si>
    <t>TRP-ELC</t>
  </si>
  <si>
    <t>S_TSDSL</t>
  </si>
  <si>
    <t>Transportation Shipping - DSL</t>
  </si>
  <si>
    <t>TS-ALL</t>
  </si>
  <si>
    <t>TS-DSL</t>
  </si>
  <si>
    <t>S_TSDSH</t>
  </si>
  <si>
    <t>Transportation Shipping - DSH</t>
  </si>
  <si>
    <t>TS-DSH</t>
  </si>
  <si>
    <t>S_THSCNG</t>
  </si>
  <si>
    <t>Transportation Truck - CNG</t>
  </si>
  <si>
    <t>THS-ALL</t>
  </si>
  <si>
    <t>THS-CNG</t>
  </si>
  <si>
    <t>THS-GSL</t>
  </si>
  <si>
    <t>TM-ALL</t>
  </si>
  <si>
    <t>TM-CNG</t>
  </si>
  <si>
    <t>TM-LPG</t>
  </si>
  <si>
    <t>TM-GSL</t>
  </si>
  <si>
    <t>TRF-ALL</t>
  </si>
  <si>
    <t>TRF-B20</t>
  </si>
  <si>
    <t>* Choose first set if renewables do not count in satisfying constraints.</t>
  </si>
  <si>
    <t>S_TBDSL</t>
  </si>
  <si>
    <t>Transportation Bus - DSL</t>
  </si>
  <si>
    <t>TB-DSL</t>
  </si>
  <si>
    <t>TC-ALL</t>
  </si>
  <si>
    <t>TC-DSL</t>
  </si>
  <si>
    <t>TC-GSL</t>
  </si>
  <si>
    <t>TM-DSL</t>
  </si>
  <si>
    <t>S_THDSL</t>
  </si>
  <si>
    <t>Transportation Truck - DSL</t>
  </si>
  <si>
    <t>TH-ALL</t>
  </si>
  <si>
    <t>TH-DSL</t>
  </si>
  <si>
    <t>* Choose second set if renewables (B20, E85) can count in constraints.</t>
  </si>
  <si>
    <t>TBR-DSL</t>
  </si>
  <si>
    <t>S_TCDSL</t>
  </si>
  <si>
    <t>Transportation Commercial Trucks-DSL</t>
  </si>
  <si>
    <t>TCR-DSL</t>
  </si>
  <si>
    <t>S_TCGSL</t>
  </si>
  <si>
    <t>Trans Commercial Trucks - GSL</t>
  </si>
  <si>
    <t>TCR-GSL</t>
  </si>
  <si>
    <t>S_TMDSL</t>
  </si>
  <si>
    <t>Transportation-Medium Duty Diesel</t>
  </si>
  <si>
    <t>TMR-DSL</t>
  </si>
  <si>
    <t>THR-DSL</t>
  </si>
  <si>
    <t>S_TBCNG</t>
  </si>
  <si>
    <t>Transportation Bus- CNG</t>
  </si>
  <si>
    <t>S_TRPSUB</t>
  </si>
  <si>
    <t>Transportation Rail - Subways and Streetcars</t>
  </si>
  <si>
    <t>S_TRPIR</t>
  </si>
  <si>
    <t>Transportation Rail - Intercity</t>
  </si>
  <si>
    <t>S_TRPDSL</t>
  </si>
  <si>
    <t>Transportation Commuter Rail - DSL</t>
  </si>
  <si>
    <t>S_TRPELC</t>
  </si>
  <si>
    <t>Transportation Commuter Rail - ELC</t>
  </si>
  <si>
    <t>S_THSGSL</t>
  </si>
  <si>
    <t>Transportation - Short Haul GSL</t>
  </si>
  <si>
    <t>S_TMCNG</t>
  </si>
  <si>
    <t>Transportation-Medium Duty CNG</t>
  </si>
  <si>
    <t>S_TMLPG</t>
  </si>
  <si>
    <t>Transportation-Medium Duty LPG</t>
  </si>
  <si>
    <t>S_TMGSL</t>
  </si>
  <si>
    <t>Transportation - Medium Duty GSL</t>
  </si>
  <si>
    <t>S_TRFB20</t>
  </si>
  <si>
    <t>Transportation - Rail Freight B20</t>
  </si>
  <si>
    <t>UC_S_TAGSL</t>
  </si>
  <si>
    <t>TAP10,TAPE</t>
  </si>
  <si>
    <t>TA</t>
  </si>
  <si>
    <t>UC_S_TAJTF</t>
  </si>
  <si>
    <t>UC_S_TBGSL</t>
  </si>
  <si>
    <t>UC_S_TBCNG</t>
  </si>
  <si>
    <t>TAJ*</t>
  </si>
  <si>
    <t>UC_S_TSDSL</t>
  </si>
  <si>
    <t>TS</t>
  </si>
  <si>
    <t>TSDSL*</t>
  </si>
  <si>
    <t>UC_S_TSDSH</t>
  </si>
  <si>
    <t>TSDSH*</t>
  </si>
  <si>
    <t>UC_S_TMCNG</t>
  </si>
  <si>
    <t>TMCNG*</t>
  </si>
  <si>
    <t>TM</t>
  </si>
  <si>
    <t>UC_S_TMLPG</t>
  </si>
  <si>
    <t>TMLPG*</t>
  </si>
  <si>
    <t>UC_S_TMGSL</t>
  </si>
  <si>
    <t>TMGSL*</t>
  </si>
  <si>
    <t>UC_S_TRFB20</t>
  </si>
  <si>
    <t>TRFB20*</t>
  </si>
  <si>
    <t>TRF</t>
  </si>
  <si>
    <t>UC_S_TBDSL</t>
  </si>
  <si>
    <t>UC_S_TCDSL</t>
  </si>
  <si>
    <t>TC</t>
  </si>
  <si>
    <t>TCDSL*</t>
  </si>
  <si>
    <t>UC_S_TCGSL</t>
  </si>
  <si>
    <t>TCGSL*</t>
  </si>
  <si>
    <t>UC_S_TMDSL</t>
  </si>
  <si>
    <t>TMDSL*</t>
  </si>
  <si>
    <t>UC_S_TRPCR</t>
  </si>
  <si>
    <t>TRP</t>
  </si>
  <si>
    <t>TPDSLCR,TPELCCR</t>
  </si>
  <si>
    <t>UC_S_TRPSUB</t>
  </si>
  <si>
    <t>TPELCSUB</t>
  </si>
  <si>
    <t>UC_S_TRPIR</t>
  </si>
  <si>
    <t>TPDSLIR</t>
  </si>
  <si>
    <t>UC_S_TRFB21</t>
  </si>
  <si>
    <t>UC_S_TRFB22</t>
  </si>
  <si>
    <t>TPELCCR</t>
  </si>
  <si>
    <t>UC_S_TRPELC</t>
  </si>
  <si>
    <t>TPDSLCR</t>
  </si>
  <si>
    <t>UC_S_TRPDSL</t>
  </si>
  <si>
    <t>This worksheet contains data from AEO tables which are used to establish national demands and some constraint data.</t>
  </si>
  <si>
    <t>* Start of 2020 AEO Data</t>
  </si>
  <si>
    <t/>
  </si>
  <si>
    <t>2008-</t>
  </si>
  <si>
    <t>2010</t>
  </si>
  <si>
    <t>2015</t>
  </si>
  <si>
    <t>2020</t>
  </si>
  <si>
    <t>2025</t>
  </si>
  <si>
    <t>2030</t>
  </si>
  <si>
    <t>49. Freight Transportation Energy Use</t>
  </si>
  <si>
    <t xml:space="preserve">  Vehicle Miles Traveled (billion miles)</t>
  </si>
  <si>
    <t xml:space="preserve">    Light Medium</t>
  </si>
  <si>
    <t>%</t>
  </si>
  <si>
    <t xml:space="preserve">      Diesel</t>
  </si>
  <si>
    <t xml:space="preserve">      Motor Gasoline</t>
  </si>
  <si>
    <t xml:space="preserve">      Propane</t>
  </si>
  <si>
    <t xml:space="preserve">      Compressed/Liquefied Natural Gas</t>
  </si>
  <si>
    <t xml:space="preserve">      Ethanol-Flex Fuel</t>
  </si>
  <si>
    <t xml:space="preserve">      Electric</t>
  </si>
  <si>
    <t xml:space="preserve">      Plug-in Diesel Hybrid</t>
  </si>
  <si>
    <t xml:space="preserve">      Plug-in Gasoline Hybrid</t>
  </si>
  <si>
    <t xml:space="preserve">      Fuel Cell</t>
  </si>
  <si>
    <t xml:space="preserve">        Light Medium Subtotal</t>
  </si>
  <si>
    <t xml:space="preserve">    Medium</t>
  </si>
  <si>
    <t xml:space="preserve">        Medium Subtotal</t>
  </si>
  <si>
    <t xml:space="preserve">    Heavy</t>
  </si>
  <si>
    <t xml:space="preserve">        Heavy Subtotal</t>
  </si>
  <si>
    <t xml:space="preserve">  Total Vehicle Miles Traveled</t>
  </si>
  <si>
    <t>Commercial Light Trucks 2/</t>
  </si>
  <si>
    <t>46. Transportation Fleet Car and Truck Vehicle Miles Traveled by Type and Technology</t>
  </si>
  <si>
    <t>(billion miles)</t>
  </si>
  <si>
    <t xml:space="preserve"> Technology Type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</si>
  <si>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</si>
  <si>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</si>
  <si>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</si>
  <si>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</si>
  <si>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</si>
  <si>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</si>
  <si>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</si>
  <si>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 xml:space="preserve">   Plug-in Diesel Hybrid</t>
  </si>
  <si>
    <t xml:space="preserve">   Fuel Cell</t>
  </si>
  <si>
    <t xml:space="preserve">      Total Commercial Light Trucks</t>
  </si>
  <si>
    <t xml:space="preserve">   1/ Includes all fleets of 10 or more.</t>
  </si>
  <si>
    <t xml:space="preserve">   2/ Commercial trucks from 8,501 to 10,000 pounds.</t>
  </si>
  <si>
    <t xml:space="preserve">   ICE = Internal combustion engine.</t>
  </si>
  <si>
    <t xml:space="preserve">   - - = Not applicable.</t>
  </si>
  <si>
    <t xml:space="preserve">   Note:  Totals may not equal sum of components due to independent rounding.</t>
  </si>
  <si>
    <t xml:space="preserve">   Sources:  2019 and projections:  U.S. Energy Information Administration, AEO2020 National Energy Modeling System run ref2020.d112119a.</t>
  </si>
  <si>
    <t>TCDHEV</t>
  </si>
  <si>
    <t>TCHEV</t>
  </si>
  <si>
    <t>TME85</t>
  </si>
  <si>
    <t>TMELC</t>
  </si>
  <si>
    <t>TMDHEV</t>
  </si>
  <si>
    <t>TMHEV</t>
  </si>
  <si>
    <t>TMH2</t>
  </si>
  <si>
    <t>THELC</t>
  </si>
  <si>
    <t>THDHEV</t>
  </si>
  <si>
    <t>THHEV</t>
  </si>
  <si>
    <t>THH2</t>
  </si>
  <si>
    <t>THDSL*</t>
  </si>
  <si>
    <t>THCNG*</t>
  </si>
  <si>
    <t>THGSL*</t>
  </si>
  <si>
    <t>THLPG*</t>
  </si>
  <si>
    <t>TCLPG*</t>
  </si>
  <si>
    <t>TCELC</t>
  </si>
  <si>
    <t>TCCNG*</t>
  </si>
  <si>
    <t>TCE85*</t>
  </si>
  <si>
    <t>HDV-Medium Truck-DSL</t>
  </si>
  <si>
    <t>UC_S_TMDHEV</t>
  </si>
  <si>
    <t>UC_S_TCCNG</t>
  </si>
  <si>
    <t>UC_S_TCE85</t>
  </si>
  <si>
    <t>UC_S_TCDHEV</t>
  </si>
  <si>
    <t>HDV-Medium Truck-GSL</t>
  </si>
  <si>
    <t>HDV-Medium Truck-LPG</t>
  </si>
  <si>
    <t>HDV-Medium Truck-CNG</t>
  </si>
  <si>
    <t>HDV-Medium Truck-ELC</t>
  </si>
  <si>
    <t>HDV-Medium Truck-DHEV</t>
  </si>
  <si>
    <t>HDV-Medium Truck-H2</t>
  </si>
  <si>
    <t>HDV-Commercial Truck-DSL</t>
  </si>
  <si>
    <t>HDV-Commercial Truck-GSL</t>
  </si>
  <si>
    <t>HDV-Commercial Truck-LPG</t>
  </si>
  <si>
    <t>HDV-Commercial Truck-CNG</t>
  </si>
  <si>
    <t>HDV-Commercial Truck-E85</t>
  </si>
  <si>
    <t>HDV-Commercial Truck-ELC</t>
  </si>
  <si>
    <t>HDV-Commercial Truck-HEV</t>
  </si>
  <si>
    <t>UC_S_TCELC</t>
  </si>
  <si>
    <t>*UC_S_TMH2</t>
  </si>
  <si>
    <t>UC_S_TCLPG</t>
  </si>
  <si>
    <t>TBTGSLE,TBTGSLC,TBSGSLE,TBGSLC</t>
  </si>
  <si>
    <t>TBTCNGE,TBTCNGC,TBSCNGE,TBSCNGC</t>
  </si>
  <si>
    <t>TBTDSL*,TBSDSL*</t>
  </si>
  <si>
    <t>TBT,TBS</t>
  </si>
  <si>
    <t>THSDSL*</t>
  </si>
  <si>
    <t>THSGSL*</t>
  </si>
  <si>
    <t>THSLPG*</t>
  </si>
  <si>
    <t>THSCNG*</t>
  </si>
  <si>
    <t>THSELC</t>
  </si>
  <si>
    <t>THSDHEV</t>
  </si>
  <si>
    <t>THSH2</t>
  </si>
  <si>
    <t>THS</t>
  </si>
  <si>
    <t>THL</t>
  </si>
  <si>
    <t>THLDSL*</t>
  </si>
  <si>
    <t>THLGSL*</t>
  </si>
  <si>
    <t>THLELC</t>
  </si>
  <si>
    <t>THLDHEV</t>
  </si>
  <si>
    <t>THLH2</t>
  </si>
  <si>
    <t>HDV-Heavy Truck-Short Haul-DSL</t>
  </si>
  <si>
    <t>HDV-Heavy Truck-Short Haul-GSL</t>
  </si>
  <si>
    <t>HDV-Heavy Truck-Short Haul-LPG</t>
  </si>
  <si>
    <t>HDV-Heavy Truck-Short Haul-CNG</t>
  </si>
  <si>
    <t>HDV-Heavy Truck-Short Haul-ELC</t>
  </si>
  <si>
    <t>HDV-Heavy Truck-Short Haul-DHEV</t>
  </si>
  <si>
    <t>HDV-Heavy Truck-Short Haul-H2</t>
  </si>
  <si>
    <t>HDV-Heavy Truck-Long Haul-DSL</t>
  </si>
  <si>
    <t>HDV-Heavy Truck-Long Haul-GSL</t>
  </si>
  <si>
    <t>HDV-Heavy Truck-Long Haul-ELC</t>
  </si>
  <si>
    <t>HDV-Heavy Truck-Long Haul-DHEV</t>
  </si>
  <si>
    <t>HDV-Heavy Truck-Long Haul-H2</t>
  </si>
  <si>
    <t>UC_S_THSDSL</t>
  </si>
  <si>
    <t>UC_S_THSGSL</t>
  </si>
  <si>
    <t>UC_S_THSLPG</t>
  </si>
  <si>
    <t>UC_S_THSCNG</t>
  </si>
  <si>
    <t>UC_S_THSDHEV</t>
  </si>
  <si>
    <t>UC_S_THLDSL</t>
  </si>
  <si>
    <t>UC_S_THLGSL</t>
  </si>
  <si>
    <t>UC_S_THLDHEV</t>
  </si>
  <si>
    <t>*UC_S_THLH2</t>
  </si>
  <si>
    <t>*UC_S_THSH2</t>
  </si>
  <si>
    <t>these are wrong; we just want to constrain new purchases (NCAP) not total fleet existing</t>
  </si>
  <si>
    <t>furthermore, the constraint should apply not just to one sector at a time, but all sectors simultanesouly. See Scen_UC_MOUall</t>
  </si>
  <si>
    <t>also, it needs to include buses and commercial trucks</t>
  </si>
  <si>
    <t>UC_S_THLELC</t>
  </si>
  <si>
    <t>UC_S_THSELC</t>
  </si>
  <si>
    <t>UC_S_TMELC</t>
  </si>
  <si>
    <t>(fixed now; the solution was to have both constraints here and ZEV mandate constraints in the other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</si>
</sst>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00"/>
    <numFmt numFmtId="168" formatCode="0.000000"/>
    <numFmt numFmtId="169" formatCode="#.00"/>
    <numFmt numFmtId="170" formatCode="#."/>
    <numFmt numFmtId="171" formatCode="m\o\n\th\ d\,\ yyyy"/>
    <numFmt numFmtId="172" formatCode="_([$€-2]* #,##0.00_);_([$€-2]* \(#,##0.00\);_([$€-2]* &quot;-&quot;??_)"/>
    <numFmt numFmtId="173" formatCode="0.0"/>
    <numFmt numFmtId="174" formatCode="#,##0.0000"/>
    <numFmt numFmtId="175" formatCode="#,##0.00000"/>
    <numFmt numFmtId="176" formatCode="0.00000"/>
    <numFmt numFmtId="177" formatCode="0.0000000"/>
    <numFmt numFmtId="178" formatCode="0.000000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2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indexed="30"/>
      <name val="Calibri"/>
      <family val="2"/>
    </font>
    <font>
      <sz val="8"/>
      <color rgb="FFFF000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Arial"/>
      <family val="2"/>
    </font>
    <font>
      <sz val="8"/>
      <color theme="3"/>
      <name val="Arial"/>
      <family val="2"/>
    </font>
    <font>
      <sz val="9"/>
      <name val="Calibri"/>
      <family val="2"/>
    </font>
    <font>
      <sz val="8"/>
      <color indexed="81"/>
      <name val="Tahoma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205">
    <xf numFmtId="0" fontId="0" fillId="0" borderId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16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16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16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16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16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16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16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16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16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16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16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16" fillId="11" borderId="0" applyNumberFormat="0" applyBorder="0" applyAlignment="0" applyProtection="0"/>
    <xf numFmtId="0" fontId="40" fillId="36" borderId="0" applyNumberFormat="0" applyBorder="0" applyAlignment="0" applyProtection="0"/>
    <xf numFmtId="0" fontId="17" fillId="12" borderId="0" applyNumberFormat="0" applyBorder="0" applyAlignment="0" applyProtection="0"/>
    <xf numFmtId="0" fontId="40" fillId="37" borderId="0" applyNumberFormat="0" applyBorder="0" applyAlignment="0" applyProtection="0"/>
    <xf numFmtId="0" fontId="17" fillId="9" borderId="0" applyNumberFormat="0" applyBorder="0" applyAlignment="0" applyProtection="0"/>
    <xf numFmtId="0" fontId="40" fillId="38" borderId="0" applyNumberFormat="0" applyBorder="0" applyAlignment="0" applyProtection="0"/>
    <xf numFmtId="0" fontId="17" fillId="10" borderId="0" applyNumberFormat="0" applyBorder="0" applyAlignment="0" applyProtection="0"/>
    <xf numFmtId="0" fontId="40" fillId="39" borderId="0" applyNumberFormat="0" applyBorder="0" applyAlignment="0" applyProtection="0"/>
    <xf numFmtId="0" fontId="17" fillId="13" borderId="0" applyNumberFormat="0" applyBorder="0" applyAlignment="0" applyProtection="0"/>
    <xf numFmtId="0" fontId="40" fillId="40" borderId="0" applyNumberFormat="0" applyBorder="0" applyAlignment="0" applyProtection="0"/>
    <xf numFmtId="0" fontId="17" fillId="14" borderId="0" applyNumberFormat="0" applyBorder="0" applyAlignment="0" applyProtection="0"/>
    <xf numFmtId="0" fontId="40" fillId="41" borderId="0" applyNumberFormat="0" applyBorder="0" applyAlignment="0" applyProtection="0"/>
    <xf numFmtId="0" fontId="17" fillId="15" borderId="0" applyNumberFormat="0" applyBorder="0" applyAlignment="0" applyProtection="0"/>
    <xf numFmtId="0" fontId="40" fillId="42" borderId="0" applyNumberFormat="0" applyBorder="0" applyAlignment="0" applyProtection="0"/>
    <xf numFmtId="0" fontId="17" fillId="16" borderId="0" applyNumberFormat="0" applyBorder="0" applyAlignment="0" applyProtection="0"/>
    <xf numFmtId="0" fontId="40" fillId="43" borderId="0" applyNumberFormat="0" applyBorder="0" applyAlignment="0" applyProtection="0"/>
    <xf numFmtId="0" fontId="17" fillId="17" borderId="0" applyNumberFormat="0" applyBorder="0" applyAlignment="0" applyProtection="0"/>
    <xf numFmtId="0" fontId="40" fillId="44" borderId="0" applyNumberFormat="0" applyBorder="0" applyAlignment="0" applyProtection="0"/>
    <xf numFmtId="0" fontId="17" fillId="18" borderId="0" applyNumberFormat="0" applyBorder="0" applyAlignment="0" applyProtection="0"/>
    <xf numFmtId="0" fontId="40" fillId="45" borderId="0" applyNumberFormat="0" applyBorder="0" applyAlignment="0" applyProtection="0"/>
    <xf numFmtId="0" fontId="17" fillId="13" borderId="0" applyNumberFormat="0" applyBorder="0" applyAlignment="0" applyProtection="0"/>
    <xf numFmtId="0" fontId="40" fillId="46" borderId="0" applyNumberFormat="0" applyBorder="0" applyAlignment="0" applyProtection="0"/>
    <xf numFmtId="0" fontId="17" fillId="14" borderId="0" applyNumberFormat="0" applyBorder="0" applyAlignment="0" applyProtection="0"/>
    <xf numFmtId="0" fontId="40" fillId="47" borderId="0" applyNumberFormat="0" applyBorder="0" applyAlignment="0" applyProtection="0"/>
    <xf numFmtId="0" fontId="17" fillId="19" borderId="0" applyNumberFormat="0" applyBorder="0" applyAlignment="0" applyProtection="0"/>
    <xf numFmtId="0" fontId="41" fillId="48" borderId="0" applyNumberFormat="0" applyBorder="0" applyAlignment="0" applyProtection="0"/>
    <xf numFmtId="0" fontId="18" fillId="3" borderId="0" applyNumberFormat="0" applyBorder="0" applyAlignment="0" applyProtection="0"/>
    <xf numFmtId="0" fontId="42" fillId="49" borderId="12" applyNumberFormat="0" applyAlignment="0" applyProtection="0"/>
    <xf numFmtId="0" fontId="19" fillId="20" borderId="1" applyNumberFormat="0" applyAlignment="0" applyProtection="0"/>
    <xf numFmtId="0" fontId="43" fillId="50" borderId="13" applyNumberFormat="0" applyAlignment="0" applyProtection="0"/>
    <xf numFmtId="0" fontId="20" fillId="21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" fontId="33" fillId="0" borderId="3" applyAlignment="0">
      <alignment horizontal="right" vertical="center"/>
    </xf>
    <xf numFmtId="171" fontId="13" fillId="0" borderId="0">
      <protection locked="0"/>
    </xf>
    <xf numFmtId="172" fontId="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9" fontId="13" fillId="0" borderId="0">
      <protection locked="0"/>
    </xf>
    <xf numFmtId="0" fontId="45" fillId="51" borderId="0" applyNumberFormat="0" applyBorder="0" applyAlignment="0" applyProtection="0"/>
    <xf numFmtId="0" fontId="22" fillId="4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14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4" fillId="0" borderId="5" applyNumberFormat="0" applyFill="0" applyAlignment="0" applyProtection="0"/>
    <xf numFmtId="0" fontId="48" fillId="0" borderId="16" applyNumberFormat="0" applyFill="0" applyAlignment="0" applyProtection="0"/>
    <xf numFmtId="0" fontId="25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14" fillId="0" borderId="0">
      <protection locked="0"/>
    </xf>
    <xf numFmtId="170" fontId="14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1" fillId="52" borderId="12" applyNumberFormat="0" applyAlignment="0" applyProtection="0"/>
    <xf numFmtId="0" fontId="26" fillId="7" borderId="1" applyNumberFormat="0" applyAlignment="0" applyProtection="0"/>
    <xf numFmtId="0" fontId="52" fillId="0" borderId="17" applyNumberFormat="0" applyFill="0" applyAlignment="0" applyProtection="0"/>
    <xf numFmtId="0" fontId="27" fillId="0" borderId="7" applyNumberFormat="0" applyFill="0" applyAlignment="0" applyProtection="0"/>
    <xf numFmtId="0" fontId="53" fillId="53" borderId="0" applyNumberFormat="0" applyBorder="0" applyAlignment="0" applyProtection="0"/>
    <xf numFmtId="0" fontId="28" fillId="2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5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54" fillId="0" borderId="0"/>
    <xf numFmtId="0" fontId="12" fillId="0" borderId="0"/>
    <xf numFmtId="0" fontId="39" fillId="54" borderId="18" applyNumberFormat="0" applyFont="0" applyAlignment="0" applyProtection="0"/>
    <xf numFmtId="0" fontId="16" fillId="23" borderId="8" applyNumberFormat="0" applyFont="0" applyAlignment="0" applyProtection="0"/>
    <xf numFmtId="0" fontId="2" fillId="23" borderId="8" applyNumberFormat="0" applyFont="0" applyAlignment="0" applyProtection="0"/>
    <xf numFmtId="0" fontId="39" fillId="54" borderId="18" applyNumberFormat="0" applyFont="0" applyAlignment="0" applyProtection="0"/>
    <xf numFmtId="0" fontId="55" fillId="49" borderId="19" applyNumberFormat="0" applyAlignment="0" applyProtection="0"/>
    <xf numFmtId="0" fontId="29" fillId="20" borderId="9" applyNumberForma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>
      <alignment horizontal="right"/>
    </xf>
    <xf numFmtId="0" fontId="34" fillId="0" borderId="0">
      <alignment horizontal="left"/>
    </xf>
    <xf numFmtId="0" fontId="2" fillId="0" borderId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>
      <alignment horizontal="left"/>
    </xf>
    <xf numFmtId="0" fontId="57" fillId="0" borderId="20" applyNumberFormat="0" applyFill="0" applyAlignment="0" applyProtection="0"/>
    <xf numFmtId="170" fontId="13" fillId="0" borderId="11">
      <protection locked="0"/>
    </xf>
    <xf numFmtId="0" fontId="31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Protection="0">
      <alignment horizontal="left"/>
    </xf>
    <xf numFmtId="0" fontId="64" fillId="0" borderId="21" applyNumberFormat="0" applyFont="0" applyProtection="0">
      <alignment wrapText="1"/>
    </xf>
    <xf numFmtId="0" fontId="65" fillId="0" borderId="22" applyNumberFormat="0" applyProtection="0">
      <alignment wrapText="1"/>
    </xf>
    <xf numFmtId="0" fontId="64" fillId="0" borderId="0" applyNumberFormat="0" applyFill="0" applyBorder="0" applyAlignment="0" applyProtection="0"/>
    <xf numFmtId="0" fontId="65" fillId="0" borderId="23" applyNumberFormat="0" applyProtection="0">
      <alignment wrapText="1"/>
    </xf>
    <xf numFmtId="0" fontId="64" fillId="0" borderId="24" applyNumberFormat="0" applyProtection="0">
      <alignment wrapText="1"/>
    </xf>
    <xf numFmtId="0" fontId="1" fillId="0" borderId="0"/>
    <xf numFmtId="0" fontId="1" fillId="0" borderId="0"/>
  </cellStyleXfs>
  <cellXfs count="149">
    <xf numFmtId="0" fontId="0" fillId="0" borderId="0" xfId="0"/>
    <xf numFmtId="0" fontId="57" fillId="0" borderId="0" xfId="0" applyFont="1"/>
    <xf numFmtId="0" fontId="2" fillId="0" borderId="0" xfId="0" applyFont="1"/>
    <xf numFmtId="0" fontId="3" fillId="0" borderId="0" xfId="0" applyFont="1"/>
    <xf numFmtId="167" fontId="0" fillId="0" borderId="0" xfId="0" applyNumberFormat="1" applyAlignment="1">
      <alignment horizontal="center"/>
    </xf>
    <xf numFmtId="0" fontId="0" fillId="0" borderId="0" xfId="0" applyFill="1"/>
    <xf numFmtId="0" fontId="7" fillId="0" borderId="0" xfId="0" applyFont="1"/>
    <xf numFmtId="0" fontId="5" fillId="0" borderId="0" xfId="0" applyFont="1" applyFill="1"/>
    <xf numFmtId="11" fontId="7" fillId="0" borderId="0" xfId="0" applyNumberFormat="1" applyFont="1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7" fontId="0" fillId="0" borderId="0" xfId="0" applyNumberForma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55" borderId="0" xfId="0" applyFill="1"/>
    <xf numFmtId="0" fontId="0" fillId="56" borderId="0" xfId="0" applyFill="1"/>
    <xf numFmtId="0" fontId="0" fillId="0" borderId="0" xfId="0" applyAlignment="1">
      <alignment horizontal="center"/>
    </xf>
    <xf numFmtId="11" fontId="0" fillId="0" borderId="0" xfId="0" applyNumberFormat="1"/>
    <xf numFmtId="167" fontId="0" fillId="0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1" fontId="2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165" fontId="0" fillId="0" borderId="0" xfId="0" applyNumberFormat="1" applyAlignment="1">
      <alignment horizontal="center"/>
    </xf>
    <xf numFmtId="0" fontId="2" fillId="0" borderId="0" xfId="0" applyFont="1" applyFill="1"/>
    <xf numFmtId="167" fontId="0" fillId="57" borderId="0" xfId="0" applyNumberFormat="1" applyFill="1" applyAlignment="1">
      <alignment horizontal="center"/>
    </xf>
    <xf numFmtId="11" fontId="0" fillId="0" borderId="0" xfId="0" applyNumberFormat="1" applyFill="1"/>
    <xf numFmtId="167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168" fontId="0" fillId="0" borderId="0" xfId="0" applyNumberFormat="1" applyFill="1"/>
    <xf numFmtId="0" fontId="59" fillId="0" borderId="0" xfId="0" applyFont="1"/>
    <xf numFmtId="167" fontId="59" fillId="0" borderId="0" xfId="0" applyNumberFormat="1" applyFont="1" applyAlignment="1">
      <alignment horizontal="center"/>
    </xf>
    <xf numFmtId="11" fontId="59" fillId="0" borderId="0" xfId="0" applyNumberFormat="1" applyFont="1"/>
    <xf numFmtId="167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5" fillId="58" borderId="0" xfId="0" applyFont="1" applyFill="1"/>
    <xf numFmtId="0" fontId="60" fillId="58" borderId="0" xfId="0" applyFont="1" applyFill="1"/>
    <xf numFmtId="0" fontId="5" fillId="0" borderId="0" xfId="0" applyFont="1"/>
    <xf numFmtId="0" fontId="5" fillId="59" borderId="0" xfId="0" applyFont="1" applyFill="1"/>
    <xf numFmtId="0" fontId="61" fillId="0" borderId="0" xfId="0" applyFont="1" applyAlignment="1">
      <alignment horizontal="right"/>
    </xf>
    <xf numFmtId="0" fontId="61" fillId="59" borderId="0" xfId="0" applyFont="1" applyFill="1" applyAlignment="1">
      <alignment horizontal="right"/>
    </xf>
    <xf numFmtId="0" fontId="61" fillId="0" borderId="0" xfId="0" applyFont="1"/>
    <xf numFmtId="0" fontId="62" fillId="0" borderId="0" xfId="197">
      <alignment horizontal="left"/>
    </xf>
    <xf numFmtId="0" fontId="5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21" xfId="198" applyFont="1">
      <alignment wrapText="1"/>
    </xf>
    <xf numFmtId="173" fontId="63" fillId="0" borderId="0" xfId="0" applyNumberFormat="1" applyFont="1"/>
    <xf numFmtId="173" fontId="5" fillId="0" borderId="0" xfId="0" applyNumberFormat="1" applyFont="1"/>
    <xf numFmtId="173" fontId="5" fillId="0" borderId="21" xfId="198" applyNumberFormat="1" applyFont="1" applyAlignment="1">
      <alignment horizontal="right" wrapText="1"/>
    </xf>
    <xf numFmtId="165" fontId="63" fillId="0" borderId="21" xfId="198" applyNumberFormat="1" applyFont="1" applyAlignment="1">
      <alignment horizontal="center" wrapText="1"/>
    </xf>
    <xf numFmtId="167" fontId="5" fillId="0" borderId="0" xfId="0" applyNumberFormat="1" applyFont="1"/>
    <xf numFmtId="0" fontId="5" fillId="0" borderId="21" xfId="198" applyFont="1">
      <alignment wrapText="1"/>
    </xf>
    <xf numFmtId="165" fontId="5" fillId="0" borderId="0" xfId="0" applyNumberFormat="1" applyFont="1"/>
    <xf numFmtId="165" fontId="5" fillId="0" borderId="21" xfId="198" applyNumberFormat="1" applyFont="1" applyAlignment="1">
      <alignment horizontal="right" wrapText="1"/>
    </xf>
    <xf numFmtId="167" fontId="5" fillId="0" borderId="21" xfId="198" applyNumberFormat="1" applyFont="1" applyAlignment="1">
      <alignment horizontal="right" wrapText="1"/>
    </xf>
    <xf numFmtId="0" fontId="63" fillId="0" borderId="0" xfId="0" applyFont="1" applyAlignment="1">
      <alignment horizontal="left"/>
    </xf>
    <xf numFmtId="2" fontId="63" fillId="0" borderId="0" xfId="0" applyNumberFormat="1" applyFont="1"/>
    <xf numFmtId="2" fontId="5" fillId="0" borderId="0" xfId="0" applyNumberFormat="1" applyFont="1"/>
    <xf numFmtId="2" fontId="5" fillId="0" borderId="21" xfId="198" applyNumberFormat="1" applyFont="1" applyAlignment="1">
      <alignment horizontal="right" wrapText="1"/>
    </xf>
    <xf numFmtId="173" fontId="61" fillId="0" borderId="22" xfId="199" applyNumberFormat="1" applyFont="1" applyAlignment="1">
      <alignment horizontal="right" wrapText="1"/>
    </xf>
    <xf numFmtId="165" fontId="61" fillId="0" borderId="22" xfId="199" applyNumberFormat="1" applyFont="1" applyAlignment="1">
      <alignment horizontal="right" wrapText="1"/>
    </xf>
    <xf numFmtId="0" fontId="0" fillId="0" borderId="0" xfId="0" applyAlignment="1">
      <alignment wrapText="1"/>
    </xf>
    <xf numFmtId="0" fontId="64" fillId="0" borderId="0" xfId="200"/>
    <xf numFmtId="0" fontId="0" fillId="0" borderId="0" xfId="0" applyAlignment="1">
      <alignment horizontal="left"/>
    </xf>
    <xf numFmtId="0" fontId="65" fillId="0" borderId="23" xfId="201">
      <alignment wrapText="1"/>
    </xf>
    <xf numFmtId="0" fontId="65" fillId="0" borderId="22" xfId="199">
      <alignment wrapText="1"/>
    </xf>
    <xf numFmtId="0" fontId="59" fillId="0" borderId="0" xfId="0" applyFont="1" applyAlignment="1">
      <alignment horizontal="center"/>
    </xf>
    <xf numFmtId="0" fontId="0" fillId="0" borderId="21" xfId="198" applyFont="1">
      <alignment wrapText="1"/>
    </xf>
    <xf numFmtId="4" fontId="59" fillId="0" borderId="21" xfId="198" applyNumberFormat="1" applyFont="1" applyAlignment="1">
      <alignment horizontal="right" wrapText="1"/>
    </xf>
    <xf numFmtId="4" fontId="0" fillId="0" borderId="21" xfId="198" applyNumberFormat="1" applyFont="1" applyAlignment="1">
      <alignment horizontal="right" wrapText="1"/>
    </xf>
    <xf numFmtId="2" fontId="59" fillId="0" borderId="0" xfId="0" applyNumberFormat="1" applyFont="1" applyAlignment="1">
      <alignment horizontal="center"/>
    </xf>
    <xf numFmtId="174" fontId="0" fillId="0" borderId="21" xfId="198" applyNumberFormat="1" applyFont="1" applyAlignment="1">
      <alignment horizontal="right" wrapText="1"/>
    </xf>
    <xf numFmtId="0" fontId="66" fillId="0" borderId="21" xfId="198" applyFont="1">
      <alignment wrapText="1"/>
    </xf>
    <xf numFmtId="175" fontId="0" fillId="0" borderId="21" xfId="198" applyNumberFormat="1" applyFont="1" applyAlignment="1">
      <alignment horizontal="right" wrapText="1"/>
    </xf>
    <xf numFmtId="4" fontId="65" fillId="0" borderId="22" xfId="199" applyNumberFormat="1" applyAlignment="1">
      <alignment horizontal="right" wrapText="1"/>
    </xf>
    <xf numFmtId="0" fontId="64" fillId="0" borderId="24" xfId="202">
      <alignment wrapText="1"/>
    </xf>
    <xf numFmtId="0" fontId="68" fillId="0" borderId="0" xfId="0" applyFont="1"/>
    <xf numFmtId="176" fontId="63" fillId="0" borderId="21" xfId="198" applyNumberFormat="1" applyFont="1" applyAlignment="1">
      <alignment horizontal="center" wrapText="1"/>
    </xf>
    <xf numFmtId="168" fontId="63" fillId="0" borderId="21" xfId="198" applyNumberFormat="1" applyFont="1" applyAlignment="1">
      <alignment horizontal="center" wrapText="1"/>
    </xf>
    <xf numFmtId="0" fontId="70" fillId="61" borderId="0" xfId="203" applyFont="1" applyFill="1"/>
    <xf numFmtId="0" fontId="67" fillId="0" borderId="0" xfId="204" applyFont="1" applyFill="1"/>
    <xf numFmtId="0" fontId="70" fillId="0" borderId="0" xfId="203" applyFont="1" applyFill="1"/>
    <xf numFmtId="0" fontId="5" fillId="0" borderId="0" xfId="0" applyFont="1" applyFill="1" applyAlignment="1">
      <alignment horizontal="left"/>
    </xf>
    <xf numFmtId="0" fontId="70" fillId="60" borderId="0" xfId="203" applyFont="1" applyFill="1"/>
    <xf numFmtId="177" fontId="63" fillId="0" borderId="0" xfId="0" applyNumberFormat="1" applyFont="1"/>
    <xf numFmtId="2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right"/>
    </xf>
    <xf numFmtId="167" fontId="5" fillId="0" borderId="0" xfId="0" applyNumberFormat="1" applyFont="1" applyFill="1" applyAlignment="1">
      <alignment horizontal="center"/>
    </xf>
    <xf numFmtId="11" fontId="5" fillId="0" borderId="0" xfId="0" applyNumberFormat="1" applyFont="1" applyFill="1"/>
    <xf numFmtId="0" fontId="63" fillId="0" borderId="0" xfId="0" applyFont="1" applyFill="1"/>
    <xf numFmtId="168" fontId="5" fillId="0" borderId="0" xfId="0" applyNumberFormat="1" applyFont="1" applyFill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5" fillId="60" borderId="0" xfId="0" applyFont="1" applyFill="1"/>
    <xf numFmtId="167" fontId="5" fillId="60" borderId="0" xfId="0" applyNumberFormat="1" applyFont="1" applyFill="1" applyAlignment="1">
      <alignment horizontal="center"/>
    </xf>
    <xf numFmtId="11" fontId="5" fillId="60" borderId="0" xfId="0" applyNumberFormat="1" applyFont="1" applyFill="1"/>
    <xf numFmtId="0" fontId="0" fillId="56" borderId="0" xfId="0" applyFill="1" applyAlignment="1">
      <alignment horizontal="center"/>
    </xf>
    <xf numFmtId="0" fontId="71" fillId="60" borderId="0" xfId="203" applyFont="1" applyFill="1" applyAlignment="1">
      <alignment horizontal="center"/>
    </xf>
    <xf numFmtId="0" fontId="5" fillId="60" borderId="0" xfId="0" applyFont="1" applyFill="1" applyAlignment="1">
      <alignment horizontal="center"/>
    </xf>
    <xf numFmtId="0" fontId="71" fillId="0" borderId="0" xfId="203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0" fillId="0" borderId="0" xfId="203" applyFont="1" applyFill="1" applyAlignment="1">
      <alignment horizontal="center"/>
    </xf>
    <xf numFmtId="0" fontId="5" fillId="0" borderId="0" xfId="0" applyFont="1" applyAlignment="1">
      <alignment horizontal="center"/>
    </xf>
    <xf numFmtId="168" fontId="63" fillId="0" borderId="0" xfId="0" applyNumberFormat="1" applyFont="1" applyAlignment="1">
      <alignment horizontal="right"/>
    </xf>
    <xf numFmtId="176" fontId="5" fillId="60" borderId="0" xfId="0" applyNumberFormat="1" applyFont="1" applyFill="1" applyAlignment="1">
      <alignment horizontal="center"/>
    </xf>
    <xf numFmtId="0" fontId="72" fillId="60" borderId="0" xfId="0" applyFont="1" applyFill="1" applyAlignment="1">
      <alignment horizontal="center"/>
    </xf>
    <xf numFmtId="0" fontId="5" fillId="62" borderId="0" xfId="0" applyFont="1" applyFill="1"/>
    <xf numFmtId="0" fontId="71" fillId="62" borderId="0" xfId="203" applyFont="1" applyFill="1" applyAlignment="1">
      <alignment horizontal="center"/>
    </xf>
    <xf numFmtId="0" fontId="5" fillId="62" borderId="0" xfId="0" applyFont="1" applyFill="1" applyAlignment="1">
      <alignment horizontal="center"/>
    </xf>
    <xf numFmtId="167" fontId="5" fillId="62" borderId="0" xfId="0" applyNumberFormat="1" applyFont="1" applyFill="1" applyAlignment="1">
      <alignment horizontal="center"/>
    </xf>
    <xf numFmtId="11" fontId="5" fillId="62" borderId="0" xfId="0" applyNumberFormat="1" applyFont="1" applyFill="1"/>
    <xf numFmtId="0" fontId="63" fillId="62" borderId="0" xfId="0" applyFont="1" applyFill="1"/>
    <xf numFmtId="0" fontId="63" fillId="62" borderId="0" xfId="0" applyFont="1" applyFill="1" applyAlignment="1">
      <alignment horizontal="center"/>
    </xf>
    <xf numFmtId="168" fontId="5" fillId="62" borderId="0" xfId="0" applyNumberFormat="1" applyFont="1" applyFill="1" applyAlignment="1">
      <alignment horizontal="center"/>
    </xf>
    <xf numFmtId="0" fontId="5" fillId="63" borderId="0" xfId="0" applyFont="1" applyFill="1"/>
    <xf numFmtId="0" fontId="63" fillId="63" borderId="0" xfId="0" applyFont="1" applyFill="1"/>
    <xf numFmtId="0" fontId="71" fillId="63" borderId="0" xfId="203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5" fillId="63" borderId="0" xfId="0" applyFont="1" applyFill="1" applyAlignment="1">
      <alignment horizontal="center"/>
    </xf>
    <xf numFmtId="176" fontId="5" fillId="63" borderId="0" xfId="0" applyNumberFormat="1" applyFont="1" applyFill="1" applyAlignment="1">
      <alignment horizontal="center"/>
    </xf>
    <xf numFmtId="11" fontId="5" fillId="63" borderId="0" xfId="0" applyNumberFormat="1" applyFont="1" applyFill="1"/>
    <xf numFmtId="168" fontId="5" fillId="63" borderId="0" xfId="0" applyNumberFormat="1" applyFont="1" applyFill="1" applyAlignment="1">
      <alignment horizontal="center"/>
    </xf>
    <xf numFmtId="167" fontId="5" fillId="63" borderId="0" xfId="0" applyNumberFormat="1" applyFont="1" applyFill="1" applyAlignment="1">
      <alignment horizontal="center"/>
    </xf>
    <xf numFmtId="0" fontId="5" fillId="64" borderId="0" xfId="0" applyFont="1" applyFill="1"/>
    <xf numFmtId="0" fontId="71" fillId="64" borderId="0" xfId="203" applyFont="1" applyFill="1" applyAlignment="1">
      <alignment horizontal="center"/>
    </xf>
    <xf numFmtId="0" fontId="5" fillId="64" borderId="0" xfId="0" applyFont="1" applyFill="1" applyAlignment="1">
      <alignment horizontal="center"/>
    </xf>
    <xf numFmtId="176" fontId="5" fillId="64" borderId="0" xfId="0" applyNumberFormat="1" applyFont="1" applyFill="1" applyAlignment="1">
      <alignment horizontal="center"/>
    </xf>
    <xf numFmtId="11" fontId="5" fillId="64" borderId="0" xfId="0" applyNumberFormat="1" applyFont="1" applyFill="1"/>
    <xf numFmtId="0" fontId="72" fillId="64" borderId="0" xfId="0" applyFont="1" applyFill="1" applyAlignment="1">
      <alignment horizontal="center"/>
    </xf>
    <xf numFmtId="167" fontId="5" fillId="64" borderId="0" xfId="0" applyNumberFormat="1" applyFont="1" applyFill="1" applyAlignment="1">
      <alignment horizontal="center"/>
    </xf>
    <xf numFmtId="0" fontId="59" fillId="65" borderId="0" xfId="0" applyFont="1" applyFill="1"/>
    <xf numFmtId="0" fontId="59" fillId="65" borderId="0" xfId="0" applyFont="1" applyFill="1" applyAlignment="1">
      <alignment horizontal="center"/>
    </xf>
    <xf numFmtId="167" fontId="59" fillId="65" borderId="0" xfId="0" applyNumberFormat="1" applyFont="1" applyFill="1" applyAlignment="1">
      <alignment horizontal="center"/>
    </xf>
    <xf numFmtId="0" fontId="5" fillId="65" borderId="0" xfId="0" applyFont="1" applyFill="1" applyAlignment="1">
      <alignment horizontal="center"/>
    </xf>
    <xf numFmtId="0" fontId="2" fillId="65" borderId="0" xfId="0" applyFont="1" applyFill="1"/>
    <xf numFmtId="0" fontId="2" fillId="65" borderId="0" xfId="0" applyFont="1" applyFill="1" applyAlignment="1">
      <alignment horizontal="center"/>
    </xf>
    <xf numFmtId="167" fontId="2" fillId="65" borderId="0" xfId="0" applyNumberFormat="1" applyFont="1" applyFill="1" applyAlignment="1">
      <alignment horizontal="center"/>
    </xf>
    <xf numFmtId="0" fontId="0" fillId="65" borderId="0" xfId="0" applyFill="1" applyAlignment="1">
      <alignment horizontal="center"/>
    </xf>
    <xf numFmtId="167" fontId="0" fillId="65" borderId="0" xfId="0" applyNumberFormat="1" applyFill="1" applyAlignment="1">
      <alignment horizontal="center"/>
    </xf>
  </cellXfs>
  <cellStyles count="205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8" xr:uid="{E7D916C3-7D88-4856-B52D-5AA08E0CAEFE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0" xr:uid="{8644653C-85CF-4E3B-B1A2-891DDF21AAB6}"/>
    <cellStyle name="Footnotes: top row" xfId="202" xr:uid="{F50A37E9-853C-4B82-8AC3-9A4A315A845E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1" xr:uid="{33E79810-38CB-4C25-9682-B5091AEC17C8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3" xfId="203" xr:uid="{CE4F0918-CC64-4D6B-9AC1-E484D206C3D7}"/>
    <cellStyle name="Normal 10 4" xfId="204" xr:uid="{2728FBDB-5220-4F70-BEDF-3700456783A9}"/>
    <cellStyle name="Normal 2" xfId="112" xr:uid="{00000000-0005-0000-0000-000070000000}"/>
    <cellStyle name="Normal 2 2" xfId="113" xr:uid="{00000000-0005-0000-0000-000071000000}"/>
    <cellStyle name="Normal 2 2 2" xfId="114" xr:uid="{00000000-0005-0000-0000-000072000000}"/>
    <cellStyle name="Normal 2 2 3" xfId="115" xr:uid="{00000000-0005-0000-0000-000073000000}"/>
    <cellStyle name="Normal 2 3" xfId="116" xr:uid="{00000000-0005-0000-0000-000074000000}"/>
    <cellStyle name="Normal 2 4" xfId="117" xr:uid="{00000000-0005-0000-0000-000075000000}"/>
    <cellStyle name="Normal 2 4 2" xfId="118" xr:uid="{00000000-0005-0000-0000-000076000000}"/>
    <cellStyle name="Normal 3" xfId="119" xr:uid="{00000000-0005-0000-0000-000077000000}"/>
    <cellStyle name="Normal 3 2" xfId="120" xr:uid="{00000000-0005-0000-0000-000078000000}"/>
    <cellStyle name="Normal 3 3" xfId="121" xr:uid="{00000000-0005-0000-0000-000079000000}"/>
    <cellStyle name="Normal 3 4" xfId="122" xr:uid="{00000000-0005-0000-0000-00007A000000}"/>
    <cellStyle name="Normal 3 5" xfId="123" xr:uid="{00000000-0005-0000-0000-00007B000000}"/>
    <cellStyle name="Normal 3 5 2" xfId="124" xr:uid="{00000000-0005-0000-0000-00007C000000}"/>
    <cellStyle name="Normal 3 5 3" xfId="125" xr:uid="{00000000-0005-0000-0000-00007D000000}"/>
    <cellStyle name="Normal 3 5 4" xfId="126" xr:uid="{00000000-0005-0000-0000-00007E000000}"/>
    <cellStyle name="Normal 4" xfId="127" xr:uid="{00000000-0005-0000-0000-00007F000000}"/>
    <cellStyle name="Normal 4 2" xfId="128" xr:uid="{00000000-0005-0000-0000-000080000000}"/>
    <cellStyle name="Normal 4 3" xfId="129" xr:uid="{00000000-0005-0000-0000-000081000000}"/>
    <cellStyle name="Normal 4 4" xfId="130" xr:uid="{00000000-0005-0000-0000-000082000000}"/>
    <cellStyle name="Normal 5" xfId="131" xr:uid="{00000000-0005-0000-0000-000083000000}"/>
    <cellStyle name="Normal 5 2" xfId="132" xr:uid="{00000000-0005-0000-0000-000084000000}"/>
    <cellStyle name="Normal 5 3" xfId="133" xr:uid="{00000000-0005-0000-0000-000085000000}"/>
    <cellStyle name="Normal 6" xfId="134" xr:uid="{00000000-0005-0000-0000-000086000000}"/>
    <cellStyle name="Normal 6 2" xfId="135" xr:uid="{00000000-0005-0000-0000-000087000000}"/>
    <cellStyle name="Normal 7" xfId="136" xr:uid="{00000000-0005-0000-0000-000088000000}"/>
    <cellStyle name="Normal 7 2" xfId="137" xr:uid="{00000000-0005-0000-0000-000089000000}"/>
    <cellStyle name="Normal 7 3" xfId="138" xr:uid="{00000000-0005-0000-0000-00008A000000}"/>
    <cellStyle name="Normal 8" xfId="139" xr:uid="{00000000-0005-0000-0000-00008B000000}"/>
    <cellStyle name="Normal 9" xfId="140" xr:uid="{00000000-0005-0000-0000-00008C000000}"/>
    <cellStyle name="Normale_B2020" xfId="141" xr:uid="{00000000-0005-0000-0000-00008D000000}"/>
    <cellStyle name="Note 2" xfId="142" xr:uid="{00000000-0005-0000-0000-00008E000000}"/>
    <cellStyle name="Note 2 2" xfId="143" xr:uid="{00000000-0005-0000-0000-00008F000000}"/>
    <cellStyle name="Note 2 3" xfId="144" xr:uid="{00000000-0005-0000-0000-000090000000}"/>
    <cellStyle name="Note 3" xfId="145" xr:uid="{00000000-0005-0000-0000-000091000000}"/>
    <cellStyle name="Output" xfId="146" builtinId="21" customBuiltin="1"/>
    <cellStyle name="Output 2" xfId="147" xr:uid="{00000000-0005-0000-0000-000093000000}"/>
    <cellStyle name="Parent row" xfId="199" xr:uid="{AA6D6683-9A1B-4214-AA0C-E9DAA9CC5354}"/>
    <cellStyle name="Percent 10" xfId="148" xr:uid="{00000000-0005-0000-0000-000094000000}"/>
    <cellStyle name="Percent 11" xfId="149" xr:uid="{00000000-0005-0000-0000-000095000000}"/>
    <cellStyle name="Percent 12" xfId="150" xr:uid="{00000000-0005-0000-0000-000096000000}"/>
    <cellStyle name="Percent 13" xfId="151" xr:uid="{00000000-0005-0000-0000-000097000000}"/>
    <cellStyle name="Percent 14" xfId="152" xr:uid="{00000000-0005-0000-0000-000098000000}"/>
    <cellStyle name="Percent 15" xfId="153" xr:uid="{00000000-0005-0000-0000-000099000000}"/>
    <cellStyle name="Percent 16" xfId="154" xr:uid="{00000000-0005-0000-0000-00009A000000}"/>
    <cellStyle name="Percent 17" xfId="155" xr:uid="{00000000-0005-0000-0000-00009B000000}"/>
    <cellStyle name="Percent 18" xfId="156" xr:uid="{00000000-0005-0000-0000-00009C000000}"/>
    <cellStyle name="Percent 19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2 2" xfId="160" xr:uid="{00000000-0005-0000-0000-0000A0000000}"/>
    <cellStyle name="Percent 20" xfId="161" xr:uid="{00000000-0005-0000-0000-0000A1000000}"/>
    <cellStyle name="Percent 21" xfId="162" xr:uid="{00000000-0005-0000-0000-0000A2000000}"/>
    <cellStyle name="Percent 22" xfId="163" xr:uid="{00000000-0005-0000-0000-0000A3000000}"/>
    <cellStyle name="Percent 23" xfId="164" xr:uid="{00000000-0005-0000-0000-0000A4000000}"/>
    <cellStyle name="Percent 24" xfId="165" xr:uid="{00000000-0005-0000-0000-0000A5000000}"/>
    <cellStyle name="Percent 25" xfId="166" xr:uid="{00000000-0005-0000-0000-0000A6000000}"/>
    <cellStyle name="Percent 26" xfId="167" xr:uid="{00000000-0005-0000-0000-0000A7000000}"/>
    <cellStyle name="Percent 27" xfId="168" xr:uid="{00000000-0005-0000-0000-0000A8000000}"/>
    <cellStyle name="Percent 28" xfId="169" xr:uid="{00000000-0005-0000-0000-0000A9000000}"/>
    <cellStyle name="Percent 29" xfId="170" xr:uid="{00000000-0005-0000-0000-0000AA000000}"/>
    <cellStyle name="Percent 3" xfId="171" xr:uid="{00000000-0005-0000-0000-0000AB000000}"/>
    <cellStyle name="Percent 3 2" xfId="172" xr:uid="{00000000-0005-0000-0000-0000AC000000}"/>
    <cellStyle name="Percent 3 2 2" xfId="173" xr:uid="{00000000-0005-0000-0000-0000AD000000}"/>
    <cellStyle name="Percent 3 3" xfId="174" xr:uid="{00000000-0005-0000-0000-0000AE000000}"/>
    <cellStyle name="Percent 30" xfId="175" xr:uid="{00000000-0005-0000-0000-0000AF000000}"/>
    <cellStyle name="Percent 4" xfId="176" xr:uid="{00000000-0005-0000-0000-0000B0000000}"/>
    <cellStyle name="Percent 4 2" xfId="177" xr:uid="{00000000-0005-0000-0000-0000B1000000}"/>
    <cellStyle name="Percent 4 3" xfId="178" xr:uid="{00000000-0005-0000-0000-0000B2000000}"/>
    <cellStyle name="Percent 5" xfId="179" xr:uid="{00000000-0005-0000-0000-0000B3000000}"/>
    <cellStyle name="Percent 5 2" xfId="180" xr:uid="{00000000-0005-0000-0000-0000B4000000}"/>
    <cellStyle name="Percent 6" xfId="181" xr:uid="{00000000-0005-0000-0000-0000B5000000}"/>
    <cellStyle name="Percent 6 2" xfId="182" xr:uid="{00000000-0005-0000-0000-0000B6000000}"/>
    <cellStyle name="Percent 7" xfId="183" xr:uid="{00000000-0005-0000-0000-0000B7000000}"/>
    <cellStyle name="Percent 8" xfId="184" xr:uid="{00000000-0005-0000-0000-0000B8000000}"/>
    <cellStyle name="Percent 9" xfId="185" xr:uid="{00000000-0005-0000-0000-0000B9000000}"/>
    <cellStyle name="Source Superscript" xfId="186" xr:uid="{00000000-0005-0000-0000-0000BA000000}"/>
    <cellStyle name="Source Text" xfId="187" xr:uid="{00000000-0005-0000-0000-0000BB000000}"/>
    <cellStyle name="Standard_Sce_D_Extraction" xfId="188" xr:uid="{00000000-0005-0000-0000-0000BC000000}"/>
    <cellStyle name="Table title" xfId="197" xr:uid="{31FBC198-9EB8-4207-B6EC-CE16C142122E}"/>
    <cellStyle name="Title" xfId="189" builtinId="15" customBuiltin="1"/>
    <cellStyle name="Title 2" xfId="190" xr:uid="{00000000-0005-0000-0000-0000BE000000}"/>
    <cellStyle name="Title-2" xfId="191" xr:uid="{00000000-0005-0000-0000-0000BF000000}"/>
    <cellStyle name="Total" xfId="192" builtinId="25" customBuiltin="1"/>
    <cellStyle name="Total 2" xfId="193" xr:uid="{00000000-0005-0000-0000-0000C1000000}"/>
    <cellStyle name="Total 2 2" xfId="194" xr:uid="{00000000-0005-0000-0000-0000C2000000}"/>
    <cellStyle name="Warning Text" xfId="195" builtinId="11" customBuiltin="1"/>
    <cellStyle name="Warning Text 2" xfId="196" xr:uid="{00000000-0005-0000-0000-0000C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C3:D10"/>
  <sheetViews>
    <sheetView workbookViewId="0">
      <selection activeCell="D28" sqref="D28"/>
    </sheetView>
  </sheetViews>
  <sheetFormatPr defaultRowHeight="12.75" x14ac:dyDescent="0.2"/>
  <cols>
    <col min="4" max="4" width="39.5703125" customWidth="1"/>
  </cols>
  <sheetData>
    <row r="3" spans="3:4" x14ac:dyDescent="0.2">
      <c r="C3" t="s">
        <v>40</v>
      </c>
    </row>
    <row r="7" spans="3:4" x14ac:dyDescent="0.2">
      <c r="C7" s="3"/>
      <c r="D7" s="3"/>
    </row>
    <row r="8" spans="3:4" x14ac:dyDescent="0.2">
      <c r="C8" s="2"/>
      <c r="D8" s="2"/>
    </row>
    <row r="9" spans="3:4" x14ac:dyDescent="0.2">
      <c r="C9" s="2"/>
      <c r="D9" s="2"/>
    </row>
    <row r="10" spans="3:4" x14ac:dyDescent="0.2">
      <c r="C10" s="2"/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B2:R404"/>
  <sheetViews>
    <sheetView tabSelected="1" zoomScaleNormal="100" workbookViewId="0">
      <pane ySplit="6" topLeftCell="A7" activePane="bottomLeft" state="frozen"/>
      <selection activeCell="B1" sqref="B1"/>
      <selection pane="bottomLeft" activeCell="J71" sqref="J71"/>
    </sheetView>
  </sheetViews>
  <sheetFormatPr defaultRowHeight="12.75" x14ac:dyDescent="0.2"/>
  <cols>
    <col min="1" max="1" width="2.85546875" customWidth="1"/>
    <col min="2" max="2" width="3.7109375" customWidth="1"/>
    <col min="3" max="3" width="19.42578125" customWidth="1"/>
    <col min="4" max="4" width="8.85546875" customWidth="1"/>
    <col min="5" max="5" width="34.7109375" style="17" bestFit="1" customWidth="1"/>
    <col min="6" max="6" width="8" style="17" customWidth="1"/>
    <col min="7" max="7" width="10.85546875" style="17" customWidth="1"/>
    <col min="8" max="8" width="10.5703125" style="17" customWidth="1"/>
    <col min="9" max="9" width="6.5703125" style="17" customWidth="1"/>
    <col min="10" max="10" width="7.140625" style="17" customWidth="1"/>
    <col min="11" max="11" width="8" style="17" customWidth="1"/>
    <col min="12" max="12" width="8.42578125" style="17" bestFit="1" customWidth="1"/>
    <col min="13" max="13" width="13.5703125" style="17" bestFit="1" customWidth="1"/>
    <col min="14" max="14" width="10.7109375" style="17" customWidth="1"/>
    <col min="15" max="15" width="13.5703125" style="17" customWidth="1"/>
    <col min="16" max="16" width="27.7109375" bestFit="1" customWidth="1"/>
    <col min="17" max="17" width="14.28515625" customWidth="1"/>
    <col min="18" max="18" width="7.7109375" customWidth="1"/>
    <col min="19" max="19" width="9.85546875" customWidth="1"/>
    <col min="20" max="20" width="17.28515625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2.5703125" bestFit="1" customWidth="1"/>
    <col min="25" max="25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s="17" t="s">
        <v>0</v>
      </c>
    </row>
    <row r="6" spans="2:17" x14ac:dyDescent="0.2">
      <c r="C6" s="16" t="s">
        <v>1</v>
      </c>
      <c r="D6" s="16" t="s">
        <v>8</v>
      </c>
      <c r="E6" s="104" t="s">
        <v>4</v>
      </c>
      <c r="F6" s="104" t="s">
        <v>9</v>
      </c>
      <c r="G6" s="104" t="s">
        <v>10</v>
      </c>
      <c r="H6" s="104" t="s">
        <v>11</v>
      </c>
      <c r="I6" s="104" t="s">
        <v>12</v>
      </c>
      <c r="J6" s="104" t="s">
        <v>13</v>
      </c>
      <c r="K6" s="104" t="s">
        <v>2</v>
      </c>
      <c r="L6" s="104" t="s">
        <v>14</v>
      </c>
      <c r="M6" s="104" t="s">
        <v>15</v>
      </c>
      <c r="N6" s="104" t="s">
        <v>28</v>
      </c>
      <c r="O6" s="104" t="s">
        <v>29</v>
      </c>
      <c r="P6" s="16" t="s">
        <v>3</v>
      </c>
      <c r="Q6" s="5"/>
    </row>
    <row r="7" spans="2:17" x14ac:dyDescent="0.2">
      <c r="C7" s="101" t="s">
        <v>151</v>
      </c>
      <c r="D7" s="101"/>
      <c r="E7" s="105" t="s">
        <v>152</v>
      </c>
      <c r="F7" s="106"/>
      <c r="G7" s="106" t="s">
        <v>149</v>
      </c>
      <c r="H7" s="106" t="s">
        <v>149</v>
      </c>
      <c r="I7" s="106"/>
      <c r="J7" s="106">
        <v>2011</v>
      </c>
      <c r="K7" s="106" t="s">
        <v>17</v>
      </c>
      <c r="L7" s="106">
        <v>1</v>
      </c>
      <c r="M7" s="102">
        <f>-'AEO20 data'!N51*0.98</f>
        <v>-0.58772408636081708</v>
      </c>
      <c r="N7" s="106">
        <v>0</v>
      </c>
      <c r="O7" s="106">
        <v>5</v>
      </c>
      <c r="P7" s="103" t="s">
        <v>247</v>
      </c>
      <c r="Q7" s="99"/>
    </row>
    <row r="8" spans="2:17" x14ac:dyDescent="0.2">
      <c r="C8" s="101" t="s">
        <v>151</v>
      </c>
      <c r="D8" s="101"/>
      <c r="E8" s="105" t="s">
        <v>152</v>
      </c>
      <c r="F8" s="106"/>
      <c r="G8" s="106" t="s">
        <v>149</v>
      </c>
      <c r="H8" s="106" t="s">
        <v>149</v>
      </c>
      <c r="I8" s="106"/>
      <c r="J8" s="106">
        <v>2015</v>
      </c>
      <c r="K8" s="106" t="s">
        <v>17</v>
      </c>
      <c r="L8" s="106">
        <v>1</v>
      </c>
      <c r="M8" s="102">
        <f>-'AEO20 data'!O51*0.98</f>
        <v>-0.52774967583584464</v>
      </c>
      <c r="N8" s="106">
        <v>0</v>
      </c>
      <c r="O8" s="106">
        <v>5</v>
      </c>
      <c r="P8" s="103" t="s">
        <v>247</v>
      </c>
    </row>
    <row r="9" spans="2:17" x14ac:dyDescent="0.2">
      <c r="C9" s="101" t="s">
        <v>151</v>
      </c>
      <c r="D9" s="101"/>
      <c r="E9" s="105" t="s">
        <v>152</v>
      </c>
      <c r="F9" s="106"/>
      <c r="G9" s="106" t="s">
        <v>149</v>
      </c>
      <c r="H9" s="106" t="s">
        <v>149</v>
      </c>
      <c r="I9" s="106"/>
      <c r="J9" s="106">
        <v>2020</v>
      </c>
      <c r="K9" s="106" t="s">
        <v>17</v>
      </c>
      <c r="L9" s="106">
        <v>1</v>
      </c>
      <c r="M9" s="102">
        <f>-'AEO20 data'!P51</f>
        <v>-0.37934834412533008</v>
      </c>
      <c r="N9" s="106">
        <v>0</v>
      </c>
      <c r="O9" s="106">
        <v>5</v>
      </c>
      <c r="P9" s="103" t="s">
        <v>247</v>
      </c>
    </row>
    <row r="10" spans="2:17" x14ac:dyDescent="0.2">
      <c r="C10" s="133" t="s">
        <v>151</v>
      </c>
      <c r="D10" s="133"/>
      <c r="E10" s="134" t="s">
        <v>152</v>
      </c>
      <c r="F10" s="135"/>
      <c r="G10" s="135" t="s">
        <v>149</v>
      </c>
      <c r="H10" s="135" t="s">
        <v>149</v>
      </c>
      <c r="I10" s="135"/>
      <c r="J10" s="135">
        <v>2030</v>
      </c>
      <c r="K10" s="135" t="s">
        <v>17</v>
      </c>
      <c r="L10" s="135">
        <v>1</v>
      </c>
      <c r="M10" s="139">
        <v>0</v>
      </c>
      <c r="N10" s="135">
        <v>0</v>
      </c>
      <c r="O10" s="135">
        <v>5</v>
      </c>
      <c r="P10" s="137" t="s">
        <v>247</v>
      </c>
    </row>
    <row r="11" spans="2:17" x14ac:dyDescent="0.2">
      <c r="C11" s="133" t="s">
        <v>151</v>
      </c>
      <c r="D11" s="133"/>
      <c r="E11" s="134" t="s">
        <v>152</v>
      </c>
      <c r="F11" s="135"/>
      <c r="G11" s="135" t="s">
        <v>149</v>
      </c>
      <c r="H11" s="135" t="s">
        <v>149</v>
      </c>
      <c r="I11" s="135"/>
      <c r="J11" s="135">
        <v>2050</v>
      </c>
      <c r="K11" s="135" t="s">
        <v>17</v>
      </c>
      <c r="L11" s="135">
        <v>1</v>
      </c>
      <c r="M11" s="139">
        <v>0</v>
      </c>
      <c r="N11" s="135">
        <v>0</v>
      </c>
      <c r="O11" s="135">
        <v>5</v>
      </c>
      <c r="P11" s="137" t="s">
        <v>247</v>
      </c>
    </row>
    <row r="12" spans="2:17" x14ac:dyDescent="0.2">
      <c r="C12" s="133" t="s">
        <v>151</v>
      </c>
      <c r="D12" s="133"/>
      <c r="E12" s="134" t="s">
        <v>152</v>
      </c>
      <c r="F12" s="135"/>
      <c r="G12" s="135" t="s">
        <v>149</v>
      </c>
      <c r="H12" s="135" t="s">
        <v>149</v>
      </c>
      <c r="I12" s="135"/>
      <c r="J12" s="135">
        <v>2080</v>
      </c>
      <c r="K12" s="135" t="s">
        <v>17</v>
      </c>
      <c r="L12" s="135">
        <v>1</v>
      </c>
      <c r="M12" s="139">
        <v>0</v>
      </c>
      <c r="N12" s="135">
        <v>0</v>
      </c>
      <c r="O12" s="135">
        <v>5</v>
      </c>
      <c r="P12" s="137" t="s">
        <v>247</v>
      </c>
    </row>
    <row r="13" spans="2:17" x14ac:dyDescent="0.2">
      <c r="C13" s="101" t="s">
        <v>148</v>
      </c>
      <c r="D13" s="101"/>
      <c r="E13" s="105" t="s">
        <v>150</v>
      </c>
      <c r="F13" s="106"/>
      <c r="G13" s="106" t="s">
        <v>149</v>
      </c>
      <c r="H13" s="106" t="s">
        <v>149</v>
      </c>
      <c r="I13" s="106"/>
      <c r="J13" s="106">
        <v>2011</v>
      </c>
      <c r="K13" s="106" t="s">
        <v>17</v>
      </c>
      <c r="L13" s="106">
        <v>1</v>
      </c>
      <c r="M13" s="102">
        <f>-'AEO20 data'!N52*0.98</f>
        <v>-0.3922759136391829</v>
      </c>
      <c r="N13" s="106">
        <v>0</v>
      </c>
      <c r="O13" s="106">
        <v>5</v>
      </c>
      <c r="P13" s="103" t="s">
        <v>246</v>
      </c>
    </row>
    <row r="14" spans="2:17" x14ac:dyDescent="0.2">
      <c r="C14" s="101" t="s">
        <v>148</v>
      </c>
      <c r="D14" s="101"/>
      <c r="E14" s="105" t="s">
        <v>150</v>
      </c>
      <c r="F14" s="106"/>
      <c r="G14" s="106" t="s">
        <v>149</v>
      </c>
      <c r="H14" s="106" t="s">
        <v>149</v>
      </c>
      <c r="I14" s="106"/>
      <c r="J14" s="106">
        <v>2015</v>
      </c>
      <c r="K14" s="106" t="s">
        <v>17</v>
      </c>
      <c r="L14" s="106">
        <v>1</v>
      </c>
      <c r="M14" s="102">
        <f>-'AEO20 data'!O52*0.98</f>
        <v>-0.34415217121833769</v>
      </c>
      <c r="N14" s="106">
        <v>0</v>
      </c>
      <c r="O14" s="106">
        <v>5</v>
      </c>
      <c r="P14" s="103" t="s">
        <v>246</v>
      </c>
    </row>
    <row r="15" spans="2:17" x14ac:dyDescent="0.2">
      <c r="C15" s="101" t="s">
        <v>148</v>
      </c>
      <c r="D15" s="101"/>
      <c r="E15" s="105" t="s">
        <v>150</v>
      </c>
      <c r="F15" s="106"/>
      <c r="G15" s="106" t="s">
        <v>149</v>
      </c>
      <c r="H15" s="106" t="s">
        <v>149</v>
      </c>
      <c r="I15" s="106"/>
      <c r="J15" s="106">
        <v>2020</v>
      </c>
      <c r="K15" s="106" t="s">
        <v>17</v>
      </c>
      <c r="L15" s="106">
        <v>1</v>
      </c>
      <c r="M15" s="102">
        <f>-'AEO20 data'!P52*0.98</f>
        <v>-0.3648129545819227</v>
      </c>
      <c r="N15" s="106">
        <v>0</v>
      </c>
      <c r="O15" s="106">
        <v>5</v>
      </c>
      <c r="P15" s="103" t="s">
        <v>246</v>
      </c>
    </row>
    <row r="16" spans="2:17" x14ac:dyDescent="0.2">
      <c r="C16" s="133" t="s">
        <v>148</v>
      </c>
      <c r="D16" s="133"/>
      <c r="E16" s="134" t="s">
        <v>150</v>
      </c>
      <c r="F16" s="135"/>
      <c r="G16" s="135" t="s">
        <v>149</v>
      </c>
      <c r="H16" s="135" t="s">
        <v>149</v>
      </c>
      <c r="I16" s="135"/>
      <c r="J16" s="135">
        <v>2030</v>
      </c>
      <c r="K16" s="135" t="s">
        <v>17</v>
      </c>
      <c r="L16" s="135">
        <v>1</v>
      </c>
      <c r="M16" s="139">
        <v>0</v>
      </c>
      <c r="N16" s="135">
        <v>0</v>
      </c>
      <c r="O16" s="135">
        <v>5</v>
      </c>
      <c r="P16" s="137" t="s">
        <v>246</v>
      </c>
    </row>
    <row r="17" spans="3:16" x14ac:dyDescent="0.2">
      <c r="C17" s="133" t="s">
        <v>148</v>
      </c>
      <c r="D17" s="133"/>
      <c r="E17" s="134" t="s">
        <v>150</v>
      </c>
      <c r="F17" s="135"/>
      <c r="G17" s="135" t="s">
        <v>149</v>
      </c>
      <c r="H17" s="135" t="s">
        <v>149</v>
      </c>
      <c r="I17" s="135"/>
      <c r="J17" s="135">
        <v>2050</v>
      </c>
      <c r="K17" s="135" t="s">
        <v>17</v>
      </c>
      <c r="L17" s="135">
        <v>1</v>
      </c>
      <c r="M17" s="139">
        <v>0</v>
      </c>
      <c r="N17" s="135">
        <v>0</v>
      </c>
      <c r="O17" s="135">
        <v>5</v>
      </c>
      <c r="P17" s="137" t="s">
        <v>246</v>
      </c>
    </row>
    <row r="18" spans="3:16" x14ac:dyDescent="0.2">
      <c r="C18" s="133" t="s">
        <v>148</v>
      </c>
      <c r="D18" s="133"/>
      <c r="E18" s="134" t="s">
        <v>150</v>
      </c>
      <c r="F18" s="135"/>
      <c r="G18" s="135" t="s">
        <v>149</v>
      </c>
      <c r="H18" s="135" t="s">
        <v>149</v>
      </c>
      <c r="I18" s="135"/>
      <c r="J18" s="135">
        <v>2080</v>
      </c>
      <c r="K18" s="135" t="s">
        <v>17</v>
      </c>
      <c r="L18" s="135">
        <v>1</v>
      </c>
      <c r="M18" s="139">
        <v>0</v>
      </c>
      <c r="N18" s="135">
        <v>0</v>
      </c>
      <c r="O18" s="135">
        <v>5</v>
      </c>
      <c r="P18" s="137" t="s">
        <v>246</v>
      </c>
    </row>
    <row r="19" spans="3:16" x14ac:dyDescent="0.2">
      <c r="C19" s="101" t="s">
        <v>255</v>
      </c>
      <c r="D19" s="101"/>
      <c r="E19" s="105" t="s">
        <v>231</v>
      </c>
      <c r="F19" s="106"/>
      <c r="G19" s="106" t="s">
        <v>149</v>
      </c>
      <c r="H19" s="106" t="s">
        <v>149</v>
      </c>
      <c r="I19" s="106"/>
      <c r="J19" s="106">
        <v>2020</v>
      </c>
      <c r="K19" s="106" t="s">
        <v>17</v>
      </c>
      <c r="L19" s="106">
        <v>1</v>
      </c>
      <c r="M19" s="102">
        <f>-'AEO20 data'!P53*0.98</f>
        <v>-2.9434175132329448E-4</v>
      </c>
      <c r="N19" s="106">
        <v>0</v>
      </c>
      <c r="O19" s="106">
        <v>5</v>
      </c>
      <c r="P19" s="103" t="s">
        <v>248</v>
      </c>
    </row>
    <row r="20" spans="3:16" x14ac:dyDescent="0.2">
      <c r="C20" s="133" t="s">
        <v>255</v>
      </c>
      <c r="D20" s="133"/>
      <c r="E20" s="134" t="s">
        <v>231</v>
      </c>
      <c r="F20" s="135"/>
      <c r="G20" s="135" t="s">
        <v>149</v>
      </c>
      <c r="H20" s="135" t="s">
        <v>149</v>
      </c>
      <c r="I20" s="135"/>
      <c r="J20" s="135">
        <v>2030</v>
      </c>
      <c r="K20" s="135" t="s">
        <v>17</v>
      </c>
      <c r="L20" s="135">
        <v>1</v>
      </c>
      <c r="M20" s="139">
        <v>0</v>
      </c>
      <c r="N20" s="135">
        <v>0</v>
      </c>
      <c r="O20" s="135">
        <v>5</v>
      </c>
      <c r="P20" s="137" t="s">
        <v>248</v>
      </c>
    </row>
    <row r="21" spans="3:16" x14ac:dyDescent="0.2">
      <c r="C21" s="133" t="s">
        <v>255</v>
      </c>
      <c r="D21" s="133"/>
      <c r="E21" s="134" t="s">
        <v>231</v>
      </c>
      <c r="F21" s="135"/>
      <c r="G21" s="135" t="s">
        <v>149</v>
      </c>
      <c r="H21" s="135" t="s">
        <v>149</v>
      </c>
      <c r="I21" s="135"/>
      <c r="J21" s="135">
        <v>2050</v>
      </c>
      <c r="K21" s="135" t="s">
        <v>17</v>
      </c>
      <c r="L21" s="135">
        <v>1</v>
      </c>
      <c r="M21" s="139">
        <v>0</v>
      </c>
      <c r="N21" s="135">
        <v>0</v>
      </c>
      <c r="O21" s="135">
        <v>5</v>
      </c>
      <c r="P21" s="137" t="s">
        <v>248</v>
      </c>
    </row>
    <row r="22" spans="3:16" x14ac:dyDescent="0.2">
      <c r="C22" s="133" t="s">
        <v>255</v>
      </c>
      <c r="D22" s="133"/>
      <c r="E22" s="134" t="s">
        <v>231</v>
      </c>
      <c r="F22" s="135"/>
      <c r="G22" s="135" t="s">
        <v>149</v>
      </c>
      <c r="H22" s="135" t="s">
        <v>149</v>
      </c>
      <c r="I22" s="135"/>
      <c r="J22" s="135">
        <v>2080</v>
      </c>
      <c r="K22" s="135" t="s">
        <v>17</v>
      </c>
      <c r="L22" s="135">
        <v>1</v>
      </c>
      <c r="M22" s="139">
        <v>0</v>
      </c>
      <c r="N22" s="135">
        <v>0</v>
      </c>
      <c r="O22" s="135">
        <v>5</v>
      </c>
      <c r="P22" s="137" t="s">
        <v>248</v>
      </c>
    </row>
    <row r="23" spans="3:16" x14ac:dyDescent="0.2">
      <c r="C23" s="101" t="s">
        <v>237</v>
      </c>
      <c r="D23" s="101"/>
      <c r="E23" s="105" t="s">
        <v>233</v>
      </c>
      <c r="F23" s="106"/>
      <c r="G23" s="106" t="s">
        <v>149</v>
      </c>
      <c r="H23" s="106" t="s">
        <v>149</v>
      </c>
      <c r="I23" s="106"/>
      <c r="J23" s="106">
        <v>2015</v>
      </c>
      <c r="K23" s="106" t="s">
        <v>17</v>
      </c>
      <c r="L23" s="106">
        <v>1</v>
      </c>
      <c r="M23" s="102">
        <f>-'AEO20 data'!O54*0.98</f>
        <v>-1.3862035941202462E-3</v>
      </c>
      <c r="N23" s="106">
        <v>0</v>
      </c>
      <c r="O23" s="106">
        <v>5</v>
      </c>
      <c r="P23" s="103" t="s">
        <v>249</v>
      </c>
    </row>
    <row r="24" spans="3:16" x14ac:dyDescent="0.2">
      <c r="C24" s="101" t="s">
        <v>237</v>
      </c>
      <c r="D24" s="101"/>
      <c r="E24" s="105" t="s">
        <v>233</v>
      </c>
      <c r="F24" s="106"/>
      <c r="G24" s="106" t="s">
        <v>149</v>
      </c>
      <c r="H24" s="106" t="s">
        <v>149</v>
      </c>
      <c r="I24" s="106"/>
      <c r="J24" s="106">
        <v>2020</v>
      </c>
      <c r="K24" s="106" t="s">
        <v>17</v>
      </c>
      <c r="L24" s="106">
        <v>1</v>
      </c>
      <c r="M24" s="102">
        <f>-'AEO20 data'!P54*0.98</f>
        <v>-8.4685763035858273E-4</v>
      </c>
      <c r="N24" s="106">
        <v>0</v>
      </c>
      <c r="O24" s="106">
        <v>5</v>
      </c>
      <c r="P24" s="103" t="s">
        <v>249</v>
      </c>
    </row>
    <row r="25" spans="3:16" x14ac:dyDescent="0.2">
      <c r="C25" s="133" t="s">
        <v>237</v>
      </c>
      <c r="D25" s="133"/>
      <c r="E25" s="134" t="s">
        <v>233</v>
      </c>
      <c r="F25" s="135"/>
      <c r="G25" s="135" t="s">
        <v>149</v>
      </c>
      <c r="H25" s="135" t="s">
        <v>149</v>
      </c>
      <c r="I25" s="135"/>
      <c r="J25" s="135">
        <v>2030</v>
      </c>
      <c r="K25" s="135" t="s">
        <v>17</v>
      </c>
      <c r="L25" s="135">
        <v>1</v>
      </c>
      <c r="M25" s="139">
        <v>0</v>
      </c>
      <c r="N25" s="135">
        <v>0</v>
      </c>
      <c r="O25" s="135">
        <v>5</v>
      </c>
      <c r="P25" s="137" t="s">
        <v>249</v>
      </c>
    </row>
    <row r="26" spans="3:16" x14ac:dyDescent="0.2">
      <c r="C26" s="133" t="s">
        <v>237</v>
      </c>
      <c r="D26" s="133"/>
      <c r="E26" s="134" t="s">
        <v>233</v>
      </c>
      <c r="F26" s="135"/>
      <c r="G26" s="135" t="s">
        <v>149</v>
      </c>
      <c r="H26" s="135" t="s">
        <v>149</v>
      </c>
      <c r="I26" s="135"/>
      <c r="J26" s="135">
        <v>2050</v>
      </c>
      <c r="K26" s="135" t="s">
        <v>17</v>
      </c>
      <c r="L26" s="135">
        <v>1</v>
      </c>
      <c r="M26" s="139">
        <v>0</v>
      </c>
      <c r="N26" s="135">
        <v>0</v>
      </c>
      <c r="O26" s="135">
        <v>5</v>
      </c>
      <c r="P26" s="137" t="s">
        <v>249</v>
      </c>
    </row>
    <row r="27" spans="3:16" x14ac:dyDescent="0.2">
      <c r="C27" s="133" t="s">
        <v>237</v>
      </c>
      <c r="D27" s="133"/>
      <c r="E27" s="134" t="s">
        <v>233</v>
      </c>
      <c r="F27" s="135"/>
      <c r="G27" s="135" t="s">
        <v>149</v>
      </c>
      <c r="H27" s="135" t="s">
        <v>149</v>
      </c>
      <c r="I27" s="135"/>
      <c r="J27" s="135">
        <v>2080</v>
      </c>
      <c r="K27" s="135" t="s">
        <v>17</v>
      </c>
      <c r="L27" s="135">
        <v>1</v>
      </c>
      <c r="M27" s="139">
        <v>0</v>
      </c>
      <c r="N27" s="135">
        <v>0</v>
      </c>
      <c r="O27" s="135">
        <v>5</v>
      </c>
      <c r="P27" s="137" t="s">
        <v>249</v>
      </c>
    </row>
    <row r="28" spans="3:16" x14ac:dyDescent="0.2">
      <c r="C28" s="101" t="s">
        <v>238</v>
      </c>
      <c r="D28" s="101"/>
      <c r="E28" s="105" t="s">
        <v>234</v>
      </c>
      <c r="F28" s="106"/>
      <c r="G28" s="106" t="s">
        <v>149</v>
      </c>
      <c r="H28" s="106" t="s">
        <v>149</v>
      </c>
      <c r="I28" s="106"/>
      <c r="J28" s="106">
        <v>2015</v>
      </c>
      <c r="K28" s="106" t="s">
        <v>17</v>
      </c>
      <c r="L28" s="106">
        <v>1</v>
      </c>
      <c r="M28" s="102">
        <f>-'AEO20 data'!O55</f>
        <v>-0.10888818021634471</v>
      </c>
      <c r="N28" s="106">
        <v>0</v>
      </c>
      <c r="O28" s="106">
        <v>5</v>
      </c>
      <c r="P28" s="103" t="s">
        <v>250</v>
      </c>
    </row>
    <row r="29" spans="3:16" x14ac:dyDescent="0.2">
      <c r="C29" s="101" t="s">
        <v>238</v>
      </c>
      <c r="D29" s="101"/>
      <c r="E29" s="105" t="s">
        <v>234</v>
      </c>
      <c r="F29" s="106"/>
      <c r="G29" s="106" t="s">
        <v>149</v>
      </c>
      <c r="H29" s="106" t="s">
        <v>149</v>
      </c>
      <c r="I29" s="106"/>
      <c r="J29" s="106">
        <v>2020</v>
      </c>
      <c r="K29" s="106" t="s">
        <v>17</v>
      </c>
      <c r="L29" s="106">
        <v>1</v>
      </c>
      <c r="M29" s="102">
        <f>-'AEO20 data'!P55</f>
        <v>-0.2467746796536063</v>
      </c>
      <c r="N29" s="106">
        <v>0</v>
      </c>
      <c r="O29" s="106">
        <v>5</v>
      </c>
      <c r="P29" s="103" t="s">
        <v>250</v>
      </c>
    </row>
    <row r="30" spans="3:16" x14ac:dyDescent="0.2">
      <c r="C30" s="133" t="s">
        <v>238</v>
      </c>
      <c r="D30" s="133"/>
      <c r="E30" s="134" t="s">
        <v>234</v>
      </c>
      <c r="F30" s="135"/>
      <c r="G30" s="135" t="s">
        <v>149</v>
      </c>
      <c r="H30" s="135" t="s">
        <v>149</v>
      </c>
      <c r="I30" s="135"/>
      <c r="J30" s="135">
        <v>2030</v>
      </c>
      <c r="K30" s="135" t="s">
        <v>17</v>
      </c>
      <c r="L30" s="135">
        <v>1</v>
      </c>
      <c r="M30" s="139">
        <v>0</v>
      </c>
      <c r="N30" s="135">
        <v>0</v>
      </c>
      <c r="O30" s="135">
        <v>5</v>
      </c>
      <c r="P30" s="137" t="s">
        <v>250</v>
      </c>
    </row>
    <row r="31" spans="3:16" x14ac:dyDescent="0.2">
      <c r="C31" s="133" t="s">
        <v>238</v>
      </c>
      <c r="D31" s="133"/>
      <c r="E31" s="134" t="s">
        <v>234</v>
      </c>
      <c r="F31" s="135"/>
      <c r="G31" s="135" t="s">
        <v>149</v>
      </c>
      <c r="H31" s="135" t="s">
        <v>149</v>
      </c>
      <c r="I31" s="135"/>
      <c r="J31" s="135">
        <v>2050</v>
      </c>
      <c r="K31" s="135" t="s">
        <v>17</v>
      </c>
      <c r="L31" s="135">
        <v>1</v>
      </c>
      <c r="M31" s="139">
        <v>0</v>
      </c>
      <c r="N31" s="135">
        <v>0</v>
      </c>
      <c r="O31" s="135">
        <v>5</v>
      </c>
      <c r="P31" s="137" t="s">
        <v>250</v>
      </c>
    </row>
    <row r="32" spans="3:16" x14ac:dyDescent="0.2">
      <c r="C32" s="133" t="s">
        <v>238</v>
      </c>
      <c r="D32" s="133"/>
      <c r="E32" s="134" t="s">
        <v>234</v>
      </c>
      <c r="F32" s="135"/>
      <c r="G32" s="135" t="s">
        <v>149</v>
      </c>
      <c r="H32" s="135" t="s">
        <v>149</v>
      </c>
      <c r="I32" s="135"/>
      <c r="J32" s="135">
        <v>2080</v>
      </c>
      <c r="K32" s="135" t="s">
        <v>17</v>
      </c>
      <c r="L32" s="135">
        <v>1</v>
      </c>
      <c r="M32" s="139">
        <v>0</v>
      </c>
      <c r="N32" s="135">
        <v>0</v>
      </c>
      <c r="O32" s="135">
        <v>5</v>
      </c>
      <c r="P32" s="137" t="s">
        <v>250</v>
      </c>
    </row>
    <row r="33" spans="3:16" x14ac:dyDescent="0.2">
      <c r="C33" s="101" t="s">
        <v>253</v>
      </c>
      <c r="D33" s="101"/>
      <c r="E33" s="105" t="s">
        <v>232</v>
      </c>
      <c r="F33" s="106"/>
      <c r="G33" s="106" t="s">
        <v>149</v>
      </c>
      <c r="H33" s="106" t="s">
        <v>149</v>
      </c>
      <c r="I33" s="106"/>
      <c r="J33" s="106">
        <v>2020</v>
      </c>
      <c r="K33" s="115" t="s">
        <v>17</v>
      </c>
      <c r="L33" s="106">
        <v>1</v>
      </c>
      <c r="M33" s="114">
        <f>-'AEO20 data'!P56</f>
        <v>-1.4272943000915916E-4</v>
      </c>
      <c r="N33" s="106">
        <v>0</v>
      </c>
      <c r="O33" s="106">
        <v>5</v>
      </c>
      <c r="P33" s="103" t="s">
        <v>251</v>
      </c>
    </row>
    <row r="34" spans="3:16" x14ac:dyDescent="0.2">
      <c r="C34" s="133" t="s">
        <v>253</v>
      </c>
      <c r="D34" s="133"/>
      <c r="E34" s="134" t="s">
        <v>232</v>
      </c>
      <c r="F34" s="135"/>
      <c r="G34" s="135" t="s">
        <v>149</v>
      </c>
      <c r="H34" s="135" t="s">
        <v>149</v>
      </c>
      <c r="I34" s="135"/>
      <c r="J34" s="135">
        <v>2030</v>
      </c>
      <c r="K34" s="138" t="s">
        <v>17</v>
      </c>
      <c r="L34" s="135">
        <v>1</v>
      </c>
      <c r="M34" s="136">
        <v>0</v>
      </c>
      <c r="N34" s="135">
        <v>0</v>
      </c>
      <c r="O34" s="135">
        <v>5</v>
      </c>
      <c r="P34" s="137" t="s">
        <v>251</v>
      </c>
    </row>
    <row r="35" spans="3:16" x14ac:dyDescent="0.2">
      <c r="C35" s="133" t="s">
        <v>253</v>
      </c>
      <c r="D35" s="133"/>
      <c r="E35" s="134" t="s">
        <v>232</v>
      </c>
      <c r="F35" s="135"/>
      <c r="G35" s="135" t="s">
        <v>149</v>
      </c>
      <c r="H35" s="135" t="s">
        <v>149</v>
      </c>
      <c r="I35" s="135"/>
      <c r="J35" s="135">
        <v>2050</v>
      </c>
      <c r="K35" s="138" t="s">
        <v>17</v>
      </c>
      <c r="L35" s="135">
        <v>1</v>
      </c>
      <c r="M35" s="136">
        <v>0</v>
      </c>
      <c r="N35" s="135">
        <v>0</v>
      </c>
      <c r="O35" s="135">
        <v>5</v>
      </c>
      <c r="P35" s="137" t="s">
        <v>251</v>
      </c>
    </row>
    <row r="36" spans="3:16" x14ac:dyDescent="0.2">
      <c r="C36" s="133" t="s">
        <v>253</v>
      </c>
      <c r="D36" s="133"/>
      <c r="E36" s="134" t="s">
        <v>232</v>
      </c>
      <c r="F36" s="135"/>
      <c r="G36" s="135" t="s">
        <v>149</v>
      </c>
      <c r="H36" s="135" t="s">
        <v>149</v>
      </c>
      <c r="I36" s="135"/>
      <c r="J36" s="135">
        <v>2080</v>
      </c>
      <c r="K36" s="138" t="s">
        <v>17</v>
      </c>
      <c r="L36" s="135">
        <v>1</v>
      </c>
      <c r="M36" s="136">
        <v>0</v>
      </c>
      <c r="N36" s="135">
        <v>0</v>
      </c>
      <c r="O36" s="135">
        <v>5</v>
      </c>
      <c r="P36" s="137" t="s">
        <v>251</v>
      </c>
    </row>
    <row r="37" spans="3:16" x14ac:dyDescent="0.2">
      <c r="C37" s="101" t="s">
        <v>239</v>
      </c>
      <c r="D37" s="101"/>
      <c r="E37" s="105" t="s">
        <v>216</v>
      </c>
      <c r="F37" s="106"/>
      <c r="G37" s="106" t="s">
        <v>149</v>
      </c>
      <c r="H37" s="106" t="s">
        <v>149</v>
      </c>
      <c r="I37" s="106"/>
      <c r="J37" s="106">
        <v>2025</v>
      </c>
      <c r="K37" s="106" t="s">
        <v>17</v>
      </c>
      <c r="L37" s="106">
        <v>1</v>
      </c>
      <c r="M37" s="114">
        <f>-'AEO20 data'!P58</f>
        <v>-1.5658278576034492E-4</v>
      </c>
      <c r="N37" s="106">
        <v>0</v>
      </c>
      <c r="O37" s="106">
        <v>5</v>
      </c>
      <c r="P37" s="103" t="s">
        <v>252</v>
      </c>
    </row>
    <row r="38" spans="3:16" x14ac:dyDescent="0.2">
      <c r="C38" s="133" t="s">
        <v>239</v>
      </c>
      <c r="D38" s="133"/>
      <c r="E38" s="134" t="s">
        <v>216</v>
      </c>
      <c r="F38" s="135"/>
      <c r="G38" s="135" t="s">
        <v>149</v>
      </c>
      <c r="H38" s="135" t="s">
        <v>149</v>
      </c>
      <c r="I38" s="135"/>
      <c r="J38" s="135">
        <v>2030</v>
      </c>
      <c r="K38" s="135" t="s">
        <v>17</v>
      </c>
      <c r="L38" s="135">
        <v>1</v>
      </c>
      <c r="M38" s="136">
        <v>0</v>
      </c>
      <c r="N38" s="135">
        <v>0</v>
      </c>
      <c r="O38" s="135">
        <v>5</v>
      </c>
      <c r="P38" s="137" t="s">
        <v>252</v>
      </c>
    </row>
    <row r="39" spans="3:16" x14ac:dyDescent="0.2">
      <c r="C39" s="133" t="s">
        <v>239</v>
      </c>
      <c r="D39" s="133"/>
      <c r="E39" s="134" t="s">
        <v>216</v>
      </c>
      <c r="F39" s="135"/>
      <c r="G39" s="135" t="s">
        <v>149</v>
      </c>
      <c r="H39" s="135" t="s">
        <v>149</v>
      </c>
      <c r="I39" s="135"/>
      <c r="J39" s="135">
        <v>2050</v>
      </c>
      <c r="K39" s="135" t="s">
        <v>17</v>
      </c>
      <c r="L39" s="135">
        <v>1</v>
      </c>
      <c r="M39" s="136">
        <v>0</v>
      </c>
      <c r="N39" s="135">
        <v>0</v>
      </c>
      <c r="O39" s="135">
        <v>5</v>
      </c>
      <c r="P39" s="137" t="s">
        <v>252</v>
      </c>
    </row>
    <row r="40" spans="3:16" x14ac:dyDescent="0.2">
      <c r="C40" s="133" t="s">
        <v>239</v>
      </c>
      <c r="D40" s="133"/>
      <c r="E40" s="134" t="s">
        <v>216</v>
      </c>
      <c r="F40" s="135"/>
      <c r="G40" s="135" t="s">
        <v>149</v>
      </c>
      <c r="H40" s="135" t="s">
        <v>149</v>
      </c>
      <c r="I40" s="135"/>
      <c r="J40" s="135">
        <v>2080</v>
      </c>
      <c r="K40" s="135" t="s">
        <v>17</v>
      </c>
      <c r="L40" s="135">
        <v>1</v>
      </c>
      <c r="M40" s="136">
        <v>0</v>
      </c>
      <c r="N40" s="135">
        <v>0</v>
      </c>
      <c r="O40" s="135">
        <v>5</v>
      </c>
      <c r="P40" s="137" t="s">
        <v>252</v>
      </c>
    </row>
    <row r="41" spans="3:16" x14ac:dyDescent="0.2">
      <c r="C41" s="7" t="s">
        <v>153</v>
      </c>
      <c r="D41" s="7"/>
      <c r="E41" s="107" t="s">
        <v>154</v>
      </c>
      <c r="F41" s="14"/>
      <c r="G41" s="14" t="s">
        <v>139</v>
      </c>
      <c r="H41" s="14" t="s">
        <v>139</v>
      </c>
      <c r="I41" s="14"/>
      <c r="J41" s="14">
        <v>2011</v>
      </c>
      <c r="K41" s="14" t="s">
        <v>17</v>
      </c>
      <c r="L41" s="14">
        <v>1</v>
      </c>
      <c r="M41" s="95">
        <f>-'AEO20 data'!N10</f>
        <v>-0.71918841269734357</v>
      </c>
      <c r="N41" s="14">
        <v>0</v>
      </c>
      <c r="O41" s="14">
        <v>5</v>
      </c>
      <c r="P41" s="96" t="s">
        <v>235</v>
      </c>
    </row>
    <row r="42" spans="3:16" x14ac:dyDescent="0.2">
      <c r="C42" s="7" t="s">
        <v>153</v>
      </c>
      <c r="D42" s="7"/>
      <c r="E42" s="107" t="s">
        <v>154</v>
      </c>
      <c r="F42" s="14"/>
      <c r="G42" s="14" t="s">
        <v>139</v>
      </c>
      <c r="H42" s="14" t="s">
        <v>139</v>
      </c>
      <c r="I42" s="14"/>
      <c r="J42" s="14">
        <v>2015</v>
      </c>
      <c r="K42" s="14" t="s">
        <v>17</v>
      </c>
      <c r="L42" s="14">
        <v>1</v>
      </c>
      <c r="M42" s="95">
        <f>-'AEO20 data'!O10</f>
        <v>-0.6821787583218667</v>
      </c>
      <c r="N42" s="14">
        <v>0</v>
      </c>
      <c r="O42" s="14">
        <v>5</v>
      </c>
      <c r="P42" s="96" t="s">
        <v>235</v>
      </c>
    </row>
    <row r="43" spans="3:16" x14ac:dyDescent="0.2">
      <c r="C43" s="7" t="s">
        <v>153</v>
      </c>
      <c r="D43" s="7"/>
      <c r="E43" s="107" t="s">
        <v>154</v>
      </c>
      <c r="F43" s="14"/>
      <c r="G43" s="14" t="s">
        <v>139</v>
      </c>
      <c r="H43" s="14" t="s">
        <v>139</v>
      </c>
      <c r="I43" s="14"/>
      <c r="J43" s="14">
        <v>2020</v>
      </c>
      <c r="K43" s="14" t="s">
        <v>17</v>
      </c>
      <c r="L43" s="14">
        <v>1</v>
      </c>
      <c r="M43" s="95">
        <f>-'AEO20 data'!P10</f>
        <v>-0.69451907818001501</v>
      </c>
      <c r="N43" s="14">
        <v>0</v>
      </c>
      <c r="O43" s="14">
        <v>5</v>
      </c>
      <c r="P43" s="96" t="s">
        <v>235</v>
      </c>
    </row>
    <row r="44" spans="3:16" x14ac:dyDescent="0.2">
      <c r="C44" s="116" t="s">
        <v>153</v>
      </c>
      <c r="D44" s="116"/>
      <c r="E44" s="117" t="s">
        <v>154</v>
      </c>
      <c r="F44" s="118"/>
      <c r="G44" s="118" t="s">
        <v>139</v>
      </c>
      <c r="H44" s="118" t="s">
        <v>139</v>
      </c>
      <c r="I44" s="118"/>
      <c r="J44" s="118">
        <v>2030</v>
      </c>
      <c r="K44" s="118" t="s">
        <v>17</v>
      </c>
      <c r="L44" s="118">
        <v>1</v>
      </c>
      <c r="M44" s="119">
        <v>-0.3</v>
      </c>
      <c r="N44" s="118">
        <v>0</v>
      </c>
      <c r="O44" s="118">
        <v>5</v>
      </c>
      <c r="P44" s="120" t="s">
        <v>235</v>
      </c>
    </row>
    <row r="45" spans="3:16" x14ac:dyDescent="0.2">
      <c r="C45" s="116" t="s">
        <v>153</v>
      </c>
      <c r="D45" s="116"/>
      <c r="E45" s="117" t="s">
        <v>154</v>
      </c>
      <c r="F45" s="118"/>
      <c r="G45" s="118" t="s">
        <v>139</v>
      </c>
      <c r="H45" s="118" t="s">
        <v>139</v>
      </c>
      <c r="I45" s="118"/>
      <c r="J45" s="118">
        <v>2035</v>
      </c>
      <c r="K45" s="118" t="s">
        <v>17</v>
      </c>
      <c r="L45" s="118">
        <v>1</v>
      </c>
      <c r="M45" s="119">
        <v>0</v>
      </c>
      <c r="N45" s="118">
        <v>0</v>
      </c>
      <c r="O45" s="118">
        <v>5</v>
      </c>
      <c r="P45" s="120" t="s">
        <v>235</v>
      </c>
    </row>
    <row r="46" spans="3:16" x14ac:dyDescent="0.2">
      <c r="C46" s="116" t="s">
        <v>153</v>
      </c>
      <c r="D46" s="116"/>
      <c r="E46" s="117" t="s">
        <v>154</v>
      </c>
      <c r="F46" s="118"/>
      <c r="G46" s="118" t="s">
        <v>139</v>
      </c>
      <c r="H46" s="118" t="s">
        <v>139</v>
      </c>
      <c r="I46" s="118"/>
      <c r="J46" s="118">
        <v>2050</v>
      </c>
      <c r="K46" s="118" t="s">
        <v>17</v>
      </c>
      <c r="L46" s="118">
        <v>1</v>
      </c>
      <c r="M46" s="119">
        <v>0</v>
      </c>
      <c r="N46" s="118">
        <v>0</v>
      </c>
      <c r="O46" s="118">
        <v>5</v>
      </c>
      <c r="P46" s="120" t="s">
        <v>235</v>
      </c>
    </row>
    <row r="47" spans="3:16" x14ac:dyDescent="0.2">
      <c r="C47" s="116" t="s">
        <v>153</v>
      </c>
      <c r="D47" s="116"/>
      <c r="E47" s="117" t="s">
        <v>154</v>
      </c>
      <c r="F47" s="118"/>
      <c r="G47" s="118" t="s">
        <v>139</v>
      </c>
      <c r="H47" s="118" t="s">
        <v>139</v>
      </c>
      <c r="I47" s="118"/>
      <c r="J47" s="118">
        <v>2080</v>
      </c>
      <c r="K47" s="118" t="s">
        <v>17</v>
      </c>
      <c r="L47" s="118">
        <v>1</v>
      </c>
      <c r="M47" s="119">
        <v>0</v>
      </c>
      <c r="N47" s="118">
        <v>0</v>
      </c>
      <c r="O47" s="118">
        <v>5</v>
      </c>
      <c r="P47" s="120" t="s">
        <v>235</v>
      </c>
    </row>
    <row r="48" spans="3:16" x14ac:dyDescent="0.2">
      <c r="C48" s="7" t="s">
        <v>142</v>
      </c>
      <c r="D48" s="7"/>
      <c r="E48" s="107" t="s">
        <v>143</v>
      </c>
      <c r="F48" s="14"/>
      <c r="G48" s="14" t="s">
        <v>139</v>
      </c>
      <c r="H48" s="14" t="s">
        <v>139</v>
      </c>
      <c r="I48" s="14"/>
      <c r="J48" s="14">
        <v>2011</v>
      </c>
      <c r="K48" s="14" t="s">
        <v>17</v>
      </c>
      <c r="L48" s="14">
        <v>1</v>
      </c>
      <c r="M48" s="95">
        <f>-'AEO20 data'!N11</f>
        <v>-0.25311530961315393</v>
      </c>
      <c r="N48" s="14">
        <v>0</v>
      </c>
      <c r="O48" s="14">
        <v>5</v>
      </c>
      <c r="P48" s="96" t="s">
        <v>240</v>
      </c>
    </row>
    <row r="49" spans="3:18" x14ac:dyDescent="0.2">
      <c r="C49" s="7" t="s">
        <v>142</v>
      </c>
      <c r="D49" s="7"/>
      <c r="E49" s="107" t="s">
        <v>143</v>
      </c>
      <c r="F49" s="14"/>
      <c r="G49" s="14" t="s">
        <v>139</v>
      </c>
      <c r="H49" s="14" t="s">
        <v>139</v>
      </c>
      <c r="I49" s="14"/>
      <c r="J49" s="14">
        <v>2015</v>
      </c>
      <c r="K49" s="14" t="s">
        <v>17</v>
      </c>
      <c r="L49" s="14">
        <v>1</v>
      </c>
      <c r="M49" s="95">
        <f>-'AEO20 data'!O11</f>
        <v>-0.26898724779561328</v>
      </c>
      <c r="N49" s="14">
        <v>0</v>
      </c>
      <c r="O49" s="14">
        <v>5</v>
      </c>
      <c r="P49" s="96" t="s">
        <v>240</v>
      </c>
    </row>
    <row r="50" spans="3:18" x14ac:dyDescent="0.2">
      <c r="C50" s="7" t="s">
        <v>142</v>
      </c>
      <c r="D50" s="7"/>
      <c r="E50" s="107" t="s">
        <v>143</v>
      </c>
      <c r="F50" s="14"/>
      <c r="G50" s="14" t="s">
        <v>139</v>
      </c>
      <c r="H50" s="14" t="s">
        <v>139</v>
      </c>
      <c r="I50" s="14"/>
      <c r="J50" s="14">
        <v>2020</v>
      </c>
      <c r="K50" s="14" t="s">
        <v>17</v>
      </c>
      <c r="L50" s="14">
        <v>1</v>
      </c>
      <c r="M50" s="95">
        <f>-'AEO20 data'!P11</f>
        <v>-0.24549130096302602</v>
      </c>
      <c r="N50" s="14">
        <v>0</v>
      </c>
      <c r="O50" s="14">
        <v>5</v>
      </c>
      <c r="P50" s="96" t="s">
        <v>240</v>
      </c>
    </row>
    <row r="51" spans="3:18" x14ac:dyDescent="0.2">
      <c r="C51" s="116" t="s">
        <v>142</v>
      </c>
      <c r="D51" s="116"/>
      <c r="E51" s="117" t="s">
        <v>143</v>
      </c>
      <c r="F51" s="118"/>
      <c r="G51" s="118" t="s">
        <v>139</v>
      </c>
      <c r="H51" s="118" t="s">
        <v>139</v>
      </c>
      <c r="I51" s="118"/>
      <c r="J51" s="118">
        <v>2030</v>
      </c>
      <c r="K51" s="118" t="s">
        <v>17</v>
      </c>
      <c r="L51" s="118">
        <v>1</v>
      </c>
      <c r="M51" s="119">
        <v>0</v>
      </c>
      <c r="N51" s="118">
        <v>0</v>
      </c>
      <c r="O51" s="118">
        <v>5</v>
      </c>
      <c r="P51" s="120" t="s">
        <v>240</v>
      </c>
    </row>
    <row r="52" spans="3:18" x14ac:dyDescent="0.2">
      <c r="C52" s="116" t="s">
        <v>142</v>
      </c>
      <c r="D52" s="116"/>
      <c r="E52" s="117" t="s">
        <v>143</v>
      </c>
      <c r="F52" s="118"/>
      <c r="G52" s="118" t="s">
        <v>139</v>
      </c>
      <c r="H52" s="118" t="s">
        <v>139</v>
      </c>
      <c r="I52" s="118"/>
      <c r="J52" s="118">
        <v>2050</v>
      </c>
      <c r="K52" s="118" t="s">
        <v>17</v>
      </c>
      <c r="L52" s="118">
        <v>1</v>
      </c>
      <c r="M52" s="119">
        <v>0</v>
      </c>
      <c r="N52" s="118">
        <v>0</v>
      </c>
      <c r="O52" s="118">
        <v>5</v>
      </c>
      <c r="P52" s="120" t="s">
        <v>240</v>
      </c>
    </row>
    <row r="53" spans="3:18" x14ac:dyDescent="0.2">
      <c r="C53" s="116" t="s">
        <v>142</v>
      </c>
      <c r="D53" s="116"/>
      <c r="E53" s="117" t="s">
        <v>143</v>
      </c>
      <c r="F53" s="118"/>
      <c r="G53" s="118" t="s">
        <v>139</v>
      </c>
      <c r="H53" s="118" t="s">
        <v>139</v>
      </c>
      <c r="I53" s="118"/>
      <c r="J53" s="118">
        <v>2080</v>
      </c>
      <c r="K53" s="118" t="s">
        <v>17</v>
      </c>
      <c r="L53" s="118">
        <v>1</v>
      </c>
      <c r="M53" s="119">
        <v>0</v>
      </c>
      <c r="N53" s="118">
        <v>0</v>
      </c>
      <c r="O53" s="118">
        <v>5</v>
      </c>
      <c r="P53" s="120" t="s">
        <v>240</v>
      </c>
    </row>
    <row r="54" spans="3:18" x14ac:dyDescent="0.2">
      <c r="C54" s="7" t="s">
        <v>140</v>
      </c>
      <c r="D54" s="7"/>
      <c r="E54" s="107" t="s">
        <v>141</v>
      </c>
      <c r="F54" s="14"/>
      <c r="G54" s="14" t="s">
        <v>139</v>
      </c>
      <c r="H54" s="14" t="s">
        <v>139</v>
      </c>
      <c r="I54" s="14"/>
      <c r="J54" s="14">
        <v>2011</v>
      </c>
      <c r="K54" s="14" t="s">
        <v>17</v>
      </c>
      <c r="L54" s="14">
        <v>1</v>
      </c>
      <c r="M54" s="95">
        <f>-'AEO20 data'!N12</f>
        <v>-3.76497708267386E-3</v>
      </c>
      <c r="N54" s="14">
        <v>0</v>
      </c>
      <c r="O54" s="14">
        <v>5</v>
      </c>
      <c r="P54" s="96" t="s">
        <v>241</v>
      </c>
    </row>
    <row r="55" spans="3:18" x14ac:dyDescent="0.2">
      <c r="C55" s="7" t="s">
        <v>140</v>
      </c>
      <c r="D55" s="7"/>
      <c r="E55" s="107" t="s">
        <v>141</v>
      </c>
      <c r="F55" s="14"/>
      <c r="G55" s="14" t="s">
        <v>139</v>
      </c>
      <c r="H55" s="14" t="s">
        <v>139</v>
      </c>
      <c r="I55" s="14"/>
      <c r="J55" s="14">
        <v>2015</v>
      </c>
      <c r="K55" s="14" t="s">
        <v>17</v>
      </c>
      <c r="L55" s="14">
        <v>1</v>
      </c>
      <c r="M55" s="95">
        <f>-'AEO20 data'!O12</f>
        <v>-1.5215497259648349E-4</v>
      </c>
      <c r="N55" s="14">
        <v>0</v>
      </c>
      <c r="O55" s="14">
        <v>5</v>
      </c>
      <c r="P55" s="96" t="s">
        <v>241</v>
      </c>
    </row>
    <row r="56" spans="3:18" x14ac:dyDescent="0.2">
      <c r="C56" s="7" t="s">
        <v>140</v>
      </c>
      <c r="D56" s="7"/>
      <c r="E56" s="107" t="s">
        <v>141</v>
      </c>
      <c r="F56" s="14"/>
      <c r="G56" s="14" t="s">
        <v>139</v>
      </c>
      <c r="H56" s="14" t="s">
        <v>139</v>
      </c>
      <c r="I56" s="14"/>
      <c r="J56" s="14">
        <v>2020</v>
      </c>
      <c r="K56" s="14" t="s">
        <v>17</v>
      </c>
      <c r="L56" s="14">
        <v>1</v>
      </c>
      <c r="M56" s="95">
        <f>-'AEO20 data'!P12</f>
        <v>-6.1544012511584539E-4</v>
      </c>
      <c r="N56" s="14">
        <v>0</v>
      </c>
      <c r="O56" s="14">
        <v>5</v>
      </c>
      <c r="P56" s="96" t="s">
        <v>241</v>
      </c>
    </row>
    <row r="57" spans="3:18" x14ac:dyDescent="0.2">
      <c r="C57" s="116" t="s">
        <v>140</v>
      </c>
      <c r="D57" s="116"/>
      <c r="E57" s="117" t="s">
        <v>141</v>
      </c>
      <c r="F57" s="118"/>
      <c r="G57" s="118" t="s">
        <v>139</v>
      </c>
      <c r="H57" s="118" t="s">
        <v>139</v>
      </c>
      <c r="I57" s="118"/>
      <c r="J57" s="118">
        <v>2030</v>
      </c>
      <c r="K57" s="118" t="s">
        <v>17</v>
      </c>
      <c r="L57" s="118">
        <v>1</v>
      </c>
      <c r="M57" s="119">
        <v>0</v>
      </c>
      <c r="N57" s="118">
        <v>0</v>
      </c>
      <c r="O57" s="118">
        <v>5</v>
      </c>
      <c r="P57" s="120" t="s">
        <v>241</v>
      </c>
    </row>
    <row r="58" spans="3:18" x14ac:dyDescent="0.2">
      <c r="C58" s="116" t="s">
        <v>140</v>
      </c>
      <c r="D58" s="116"/>
      <c r="E58" s="117" t="s">
        <v>141</v>
      </c>
      <c r="F58" s="118"/>
      <c r="G58" s="118" t="s">
        <v>139</v>
      </c>
      <c r="H58" s="118" t="s">
        <v>139</v>
      </c>
      <c r="I58" s="118"/>
      <c r="J58" s="118">
        <v>2050</v>
      </c>
      <c r="K58" s="118" t="s">
        <v>17</v>
      </c>
      <c r="L58" s="118">
        <v>1</v>
      </c>
      <c r="M58" s="119">
        <v>0</v>
      </c>
      <c r="N58" s="118">
        <v>0</v>
      </c>
      <c r="O58" s="118">
        <v>5</v>
      </c>
      <c r="P58" s="120" t="s">
        <v>241</v>
      </c>
    </row>
    <row r="59" spans="3:18" x14ac:dyDescent="0.2">
      <c r="C59" s="116" t="s">
        <v>140</v>
      </c>
      <c r="D59" s="116"/>
      <c r="E59" s="117" t="s">
        <v>141</v>
      </c>
      <c r="F59" s="118"/>
      <c r="G59" s="118" t="s">
        <v>139</v>
      </c>
      <c r="H59" s="118" t="s">
        <v>139</v>
      </c>
      <c r="I59" s="118"/>
      <c r="J59" s="118">
        <v>2080</v>
      </c>
      <c r="K59" s="118" t="s">
        <v>17</v>
      </c>
      <c r="L59" s="118">
        <v>1</v>
      </c>
      <c r="M59" s="119">
        <v>0</v>
      </c>
      <c r="N59" s="118">
        <v>0</v>
      </c>
      <c r="O59" s="118">
        <v>5</v>
      </c>
      <c r="P59" s="120" t="s">
        <v>241</v>
      </c>
    </row>
    <row r="60" spans="3:18" x14ac:dyDescent="0.2">
      <c r="C60" s="7" t="s">
        <v>137</v>
      </c>
      <c r="D60" s="7"/>
      <c r="E60" s="107" t="s">
        <v>138</v>
      </c>
      <c r="F60" s="14"/>
      <c r="G60" s="14" t="s">
        <v>139</v>
      </c>
      <c r="H60" s="14" t="s">
        <v>139</v>
      </c>
      <c r="I60" s="14"/>
      <c r="J60" s="14">
        <v>2011</v>
      </c>
      <c r="K60" s="14" t="s">
        <v>17</v>
      </c>
      <c r="L60" s="14">
        <v>1</v>
      </c>
      <c r="M60" s="95">
        <f>-'AEO20 data'!N13</f>
        <v>-4.0453834034729057E-3</v>
      </c>
      <c r="N60" s="14">
        <v>0</v>
      </c>
      <c r="O60" s="14">
        <v>5</v>
      </c>
      <c r="P60" s="96" t="s">
        <v>242</v>
      </c>
    </row>
    <row r="61" spans="3:18" x14ac:dyDescent="0.2">
      <c r="C61" s="7" t="s">
        <v>137</v>
      </c>
      <c r="D61" s="7"/>
      <c r="E61" s="107" t="s">
        <v>138</v>
      </c>
      <c r="F61" s="14"/>
      <c r="G61" s="14" t="s">
        <v>139</v>
      </c>
      <c r="H61" s="14" t="s">
        <v>139</v>
      </c>
      <c r="I61" s="14"/>
      <c r="J61" s="14">
        <v>2015</v>
      </c>
      <c r="K61" s="14" t="s">
        <v>17</v>
      </c>
      <c r="L61" s="14">
        <v>1</v>
      </c>
      <c r="M61" s="95">
        <f>-'AEO20 data'!O13</f>
        <v>-4.2285428647342334E-4</v>
      </c>
      <c r="N61" s="14">
        <v>0</v>
      </c>
      <c r="O61" s="14">
        <v>5</v>
      </c>
      <c r="P61" s="96" t="s">
        <v>242</v>
      </c>
    </row>
    <row r="62" spans="3:18" x14ac:dyDescent="0.2">
      <c r="C62" s="7" t="s">
        <v>137</v>
      </c>
      <c r="D62" s="7"/>
      <c r="E62" s="107" t="s">
        <v>138</v>
      </c>
      <c r="F62" s="14"/>
      <c r="G62" s="14" t="s">
        <v>139</v>
      </c>
      <c r="H62" s="14" t="s">
        <v>139</v>
      </c>
      <c r="I62" s="14"/>
      <c r="J62" s="14">
        <v>2020</v>
      </c>
      <c r="K62" s="14" t="s">
        <v>17</v>
      </c>
      <c r="L62" s="14">
        <v>1</v>
      </c>
      <c r="M62" s="95">
        <f>-'AEO20 data'!P13</f>
        <v>-6.1948907330739702E-4</v>
      </c>
      <c r="N62" s="14">
        <v>0</v>
      </c>
      <c r="O62" s="14">
        <v>5</v>
      </c>
      <c r="P62" s="96" t="s">
        <v>242</v>
      </c>
    </row>
    <row r="63" spans="3:18" x14ac:dyDescent="0.2">
      <c r="C63" s="116" t="s">
        <v>137</v>
      </c>
      <c r="D63" s="116"/>
      <c r="E63" s="117" t="s">
        <v>138</v>
      </c>
      <c r="F63" s="118"/>
      <c r="G63" s="118" t="s">
        <v>139</v>
      </c>
      <c r="H63" s="118" t="s">
        <v>139</v>
      </c>
      <c r="I63" s="118"/>
      <c r="J63" s="118">
        <v>2030</v>
      </c>
      <c r="K63" s="118" t="s">
        <v>17</v>
      </c>
      <c r="L63" s="118">
        <v>1</v>
      </c>
      <c r="M63" s="119">
        <v>0</v>
      </c>
      <c r="N63" s="118">
        <v>0</v>
      </c>
      <c r="O63" s="118">
        <v>5</v>
      </c>
      <c r="P63" s="120" t="s">
        <v>242</v>
      </c>
      <c r="R63" t="s">
        <v>302</v>
      </c>
    </row>
    <row r="64" spans="3:18" x14ac:dyDescent="0.2">
      <c r="C64" s="116" t="s">
        <v>137</v>
      </c>
      <c r="D64" s="116"/>
      <c r="E64" s="117" t="s">
        <v>138</v>
      </c>
      <c r="F64" s="118"/>
      <c r="G64" s="118" t="s">
        <v>139</v>
      </c>
      <c r="H64" s="118" t="s">
        <v>139</v>
      </c>
      <c r="I64" s="118"/>
      <c r="J64" s="118">
        <v>2050</v>
      </c>
      <c r="K64" s="118" t="s">
        <v>17</v>
      </c>
      <c r="L64" s="118">
        <v>1</v>
      </c>
      <c r="M64" s="119">
        <v>0</v>
      </c>
      <c r="N64" s="118">
        <v>0</v>
      </c>
      <c r="O64" s="118">
        <v>5</v>
      </c>
      <c r="P64" s="120" t="s">
        <v>242</v>
      </c>
      <c r="R64" t="s">
        <v>302</v>
      </c>
    </row>
    <row r="65" spans="3:18" x14ac:dyDescent="0.2">
      <c r="C65" s="116" t="s">
        <v>137</v>
      </c>
      <c r="D65" s="116"/>
      <c r="E65" s="117" t="s">
        <v>138</v>
      </c>
      <c r="F65" s="118"/>
      <c r="G65" s="118" t="s">
        <v>139</v>
      </c>
      <c r="H65" s="118" t="s">
        <v>139</v>
      </c>
      <c r="I65" s="118"/>
      <c r="J65" s="118">
        <v>2080</v>
      </c>
      <c r="K65" s="118" t="s">
        <v>17</v>
      </c>
      <c r="L65" s="118">
        <v>1</v>
      </c>
      <c r="M65" s="119">
        <v>0</v>
      </c>
      <c r="N65" s="118">
        <v>0</v>
      </c>
      <c r="O65" s="118">
        <v>5</v>
      </c>
      <c r="P65" s="120" t="s">
        <v>242</v>
      </c>
    </row>
    <row r="66" spans="3:18" x14ac:dyDescent="0.2">
      <c r="C66" s="124" t="s">
        <v>301</v>
      </c>
      <c r="D66" s="124"/>
      <c r="E66" s="126" t="s">
        <v>219</v>
      </c>
      <c r="F66" s="128"/>
      <c r="G66" s="128" t="s">
        <v>139</v>
      </c>
      <c r="H66" s="128" t="s">
        <v>139</v>
      </c>
      <c r="I66" s="128"/>
      <c r="J66" s="128">
        <v>2030</v>
      </c>
      <c r="K66" s="128" t="s">
        <v>17</v>
      </c>
      <c r="L66" s="128">
        <v>1</v>
      </c>
      <c r="M66" s="132">
        <f>-'AEO20 data'!P15</f>
        <v>-9.5560196677880348E-5</v>
      </c>
      <c r="N66" s="128">
        <v>0</v>
      </c>
      <c r="O66" s="128">
        <v>5</v>
      </c>
      <c r="P66" s="130" t="s">
        <v>243</v>
      </c>
      <c r="R66" t="s">
        <v>296</v>
      </c>
    </row>
    <row r="67" spans="3:18" x14ac:dyDescent="0.2">
      <c r="C67" s="124" t="s">
        <v>301</v>
      </c>
      <c r="D67" s="124"/>
      <c r="E67" s="126" t="s">
        <v>219</v>
      </c>
      <c r="F67" s="128"/>
      <c r="G67" s="128" t="s">
        <v>139</v>
      </c>
      <c r="H67" s="128" t="s">
        <v>139</v>
      </c>
      <c r="I67" s="128"/>
      <c r="J67" s="128">
        <v>2050</v>
      </c>
      <c r="K67" s="128" t="s">
        <v>17</v>
      </c>
      <c r="L67" s="128">
        <v>1</v>
      </c>
      <c r="M67" s="132">
        <f>M66</f>
        <v>-9.5560196677880348E-5</v>
      </c>
      <c r="N67" s="128">
        <v>0</v>
      </c>
      <c r="O67" s="128">
        <v>5</v>
      </c>
      <c r="P67" s="130" t="s">
        <v>243</v>
      </c>
      <c r="R67" t="s">
        <v>297</v>
      </c>
    </row>
    <row r="68" spans="3:18" x14ac:dyDescent="0.2">
      <c r="C68" s="124" t="s">
        <v>301</v>
      </c>
      <c r="D68" s="124"/>
      <c r="E68" s="126" t="s">
        <v>219</v>
      </c>
      <c r="F68" s="128"/>
      <c r="G68" s="128" t="s">
        <v>139</v>
      </c>
      <c r="H68" s="128" t="s">
        <v>139</v>
      </c>
      <c r="I68" s="128"/>
      <c r="J68" s="128">
        <v>2080</v>
      </c>
      <c r="K68" s="128" t="s">
        <v>17</v>
      </c>
      <c r="L68" s="128">
        <v>1</v>
      </c>
      <c r="M68" s="132">
        <f>M67</f>
        <v>-9.5560196677880348E-5</v>
      </c>
      <c r="N68" s="128">
        <v>0</v>
      </c>
      <c r="O68" s="128">
        <v>5</v>
      </c>
      <c r="P68" s="130" t="s">
        <v>243</v>
      </c>
    </row>
    <row r="69" spans="3:18" x14ac:dyDescent="0.2">
      <c r="C69" s="7" t="s">
        <v>236</v>
      </c>
      <c r="D69" s="7"/>
      <c r="E69" s="107" t="s">
        <v>220</v>
      </c>
      <c r="F69" s="14"/>
      <c r="G69" s="14" t="s">
        <v>139</v>
      </c>
      <c r="H69" s="14" t="s">
        <v>139</v>
      </c>
      <c r="I69" s="14"/>
      <c r="J69" s="14">
        <v>2020</v>
      </c>
      <c r="K69" s="14" t="s">
        <v>17</v>
      </c>
      <c r="L69" s="14">
        <v>1</v>
      </c>
      <c r="M69" s="95">
        <f>-'AEO20 data'!P16</f>
        <v>-9.4472669271058617E-5</v>
      </c>
      <c r="N69" s="14">
        <v>0</v>
      </c>
      <c r="O69" s="14">
        <v>5</v>
      </c>
      <c r="P69" s="96" t="s">
        <v>244</v>
      </c>
      <c r="R69" t="s">
        <v>298</v>
      </c>
    </row>
    <row r="70" spans="3:18" x14ac:dyDescent="0.2">
      <c r="C70" s="116" t="s">
        <v>236</v>
      </c>
      <c r="D70" s="116"/>
      <c r="E70" s="117" t="s">
        <v>220</v>
      </c>
      <c r="F70" s="118"/>
      <c r="G70" s="118" t="s">
        <v>139</v>
      </c>
      <c r="H70" s="118" t="s">
        <v>139</v>
      </c>
      <c r="I70" s="118"/>
      <c r="J70" s="118">
        <v>2030</v>
      </c>
      <c r="K70" s="118" t="s">
        <v>17</v>
      </c>
      <c r="L70" s="118">
        <v>1</v>
      </c>
      <c r="M70" s="119">
        <v>0</v>
      </c>
      <c r="N70" s="118">
        <v>0</v>
      </c>
      <c r="O70" s="118">
        <v>5</v>
      </c>
      <c r="P70" s="120" t="s">
        <v>244</v>
      </c>
    </row>
    <row r="71" spans="3:18" x14ac:dyDescent="0.2">
      <c r="C71" s="116" t="s">
        <v>236</v>
      </c>
      <c r="D71" s="116"/>
      <c r="E71" s="117" t="s">
        <v>220</v>
      </c>
      <c r="F71" s="118"/>
      <c r="G71" s="118" t="s">
        <v>139</v>
      </c>
      <c r="H71" s="118" t="s">
        <v>139</v>
      </c>
      <c r="I71" s="118"/>
      <c r="J71" s="118">
        <v>2050</v>
      </c>
      <c r="K71" s="118" t="s">
        <v>17</v>
      </c>
      <c r="L71" s="118">
        <v>1</v>
      </c>
      <c r="M71" s="119">
        <v>0</v>
      </c>
      <c r="N71" s="118">
        <v>0</v>
      </c>
      <c r="O71" s="118">
        <v>5</v>
      </c>
      <c r="P71" s="120" t="s">
        <v>244</v>
      </c>
    </row>
    <row r="72" spans="3:18" x14ac:dyDescent="0.2">
      <c r="C72" s="116" t="s">
        <v>236</v>
      </c>
      <c r="D72" s="116"/>
      <c r="E72" s="117" t="s">
        <v>220</v>
      </c>
      <c r="F72" s="118"/>
      <c r="G72" s="118" t="s">
        <v>139</v>
      </c>
      <c r="H72" s="118" t="s">
        <v>139</v>
      </c>
      <c r="I72" s="118"/>
      <c r="J72" s="118">
        <v>2080</v>
      </c>
      <c r="K72" s="118" t="s">
        <v>17</v>
      </c>
      <c r="L72" s="118">
        <v>1</v>
      </c>
      <c r="M72" s="119">
        <v>0</v>
      </c>
      <c r="N72" s="118">
        <v>0</v>
      </c>
      <c r="O72" s="118">
        <v>5</v>
      </c>
      <c r="P72" s="120" t="s">
        <v>244</v>
      </c>
    </row>
    <row r="73" spans="3:18" x14ac:dyDescent="0.2">
      <c r="C73" s="7" t="s">
        <v>254</v>
      </c>
      <c r="D73" s="7"/>
      <c r="E73" s="107" t="s">
        <v>222</v>
      </c>
      <c r="F73" s="14"/>
      <c r="G73" s="14" t="s">
        <v>139</v>
      </c>
      <c r="H73" s="14" t="s">
        <v>139</v>
      </c>
      <c r="I73" s="14"/>
      <c r="J73" s="14">
        <v>2020</v>
      </c>
      <c r="K73" s="14" t="s">
        <v>17</v>
      </c>
      <c r="L73" s="14">
        <v>1</v>
      </c>
      <c r="M73" s="95">
        <f>-'AEO20 data'!P18</f>
        <v>-7.0990442879146696E-5</v>
      </c>
      <c r="N73" s="14">
        <v>0</v>
      </c>
      <c r="O73" s="14">
        <v>5</v>
      </c>
      <c r="P73" s="96" t="s">
        <v>245</v>
      </c>
    </row>
    <row r="74" spans="3:18" x14ac:dyDescent="0.2">
      <c r="C74" s="7" t="s">
        <v>254</v>
      </c>
      <c r="D74" s="7"/>
      <c r="E74" s="107" t="s">
        <v>222</v>
      </c>
      <c r="F74" s="14"/>
      <c r="G74" s="14" t="s">
        <v>139</v>
      </c>
      <c r="H74" s="14" t="s">
        <v>139</v>
      </c>
      <c r="I74" s="14"/>
      <c r="J74" s="14">
        <v>2050</v>
      </c>
      <c r="K74" s="14" t="s">
        <v>17</v>
      </c>
      <c r="L74" s="14">
        <v>1</v>
      </c>
      <c r="M74" s="95">
        <f>M73*0.7</f>
        <v>-4.9693310015402686E-5</v>
      </c>
      <c r="N74" s="14">
        <v>0</v>
      </c>
      <c r="O74" s="14">
        <v>5</v>
      </c>
      <c r="P74" s="96" t="s">
        <v>245</v>
      </c>
    </row>
    <row r="75" spans="3:18" x14ac:dyDescent="0.2">
      <c r="C75" s="7" t="s">
        <v>286</v>
      </c>
      <c r="D75" s="7"/>
      <c r="E75" s="107" t="s">
        <v>260</v>
      </c>
      <c r="F75" s="14"/>
      <c r="G75" s="14" t="s">
        <v>267</v>
      </c>
      <c r="H75" s="14" t="s">
        <v>267</v>
      </c>
      <c r="I75" s="14"/>
      <c r="J75" s="14">
        <v>2011</v>
      </c>
      <c r="K75" s="14" t="s">
        <v>17</v>
      </c>
      <c r="L75" s="14">
        <v>1</v>
      </c>
      <c r="M75" s="95">
        <f>-'AEO20 data'!N32</f>
        <v>-0.95180477292650101</v>
      </c>
      <c r="N75" s="14">
        <v>0</v>
      </c>
      <c r="O75" s="14">
        <v>5</v>
      </c>
      <c r="P75" s="96" t="s">
        <v>274</v>
      </c>
    </row>
    <row r="76" spans="3:18" x14ac:dyDescent="0.2">
      <c r="C76" s="7" t="s">
        <v>286</v>
      </c>
      <c r="D76" s="7"/>
      <c r="E76" s="107" t="s">
        <v>260</v>
      </c>
      <c r="F76" s="14"/>
      <c r="G76" s="14" t="s">
        <v>267</v>
      </c>
      <c r="H76" s="14" t="s">
        <v>267</v>
      </c>
      <c r="I76" s="14"/>
      <c r="J76" s="14">
        <v>2015</v>
      </c>
      <c r="K76" s="14" t="s">
        <v>17</v>
      </c>
      <c r="L76" s="14">
        <v>1</v>
      </c>
      <c r="M76" s="95">
        <f>-'AEO20 data'!O32</f>
        <v>-0.97124416435819572</v>
      </c>
      <c r="N76" s="14">
        <v>0</v>
      </c>
      <c r="O76" s="14">
        <v>5</v>
      </c>
      <c r="P76" s="96" t="s">
        <v>274</v>
      </c>
    </row>
    <row r="77" spans="3:18" x14ac:dyDescent="0.2">
      <c r="C77" s="7" t="s">
        <v>286</v>
      </c>
      <c r="D77" s="7"/>
      <c r="E77" s="107" t="s">
        <v>260</v>
      </c>
      <c r="F77" s="14"/>
      <c r="G77" s="14" t="s">
        <v>267</v>
      </c>
      <c r="H77" s="14" t="s">
        <v>267</v>
      </c>
      <c r="I77" s="14"/>
      <c r="J77" s="14">
        <v>2020</v>
      </c>
      <c r="K77" s="14" t="s">
        <v>17</v>
      </c>
      <c r="L77" s="14">
        <v>1</v>
      </c>
      <c r="M77" s="95">
        <f>-'AEO20 data'!P32</f>
        <v>-0.96698144288720989</v>
      </c>
      <c r="N77" s="14">
        <v>0</v>
      </c>
      <c r="O77" s="14">
        <v>5</v>
      </c>
      <c r="P77" s="96" t="s">
        <v>274</v>
      </c>
    </row>
    <row r="78" spans="3:18" x14ac:dyDescent="0.2">
      <c r="C78" s="116" t="s">
        <v>286</v>
      </c>
      <c r="D78" s="116"/>
      <c r="E78" s="117" t="s">
        <v>260</v>
      </c>
      <c r="F78" s="118"/>
      <c r="G78" s="118" t="s">
        <v>267</v>
      </c>
      <c r="H78" s="118" t="s">
        <v>267</v>
      </c>
      <c r="I78" s="118"/>
      <c r="J78" s="118">
        <v>2030</v>
      </c>
      <c r="K78" s="118" t="s">
        <v>17</v>
      </c>
      <c r="L78" s="118">
        <v>1</v>
      </c>
      <c r="M78" s="119">
        <v>-0.3</v>
      </c>
      <c r="N78" s="118">
        <v>0</v>
      </c>
      <c r="O78" s="118">
        <v>5</v>
      </c>
      <c r="P78" s="120" t="s">
        <v>274</v>
      </c>
    </row>
    <row r="79" spans="3:18" x14ac:dyDescent="0.2">
      <c r="C79" s="116" t="s">
        <v>286</v>
      </c>
      <c r="D79" s="116"/>
      <c r="E79" s="117" t="s">
        <v>260</v>
      </c>
      <c r="F79" s="118"/>
      <c r="G79" s="118" t="s">
        <v>267</v>
      </c>
      <c r="H79" s="118" t="s">
        <v>267</v>
      </c>
      <c r="I79" s="118"/>
      <c r="J79" s="118">
        <v>2035</v>
      </c>
      <c r="K79" s="118" t="s">
        <v>17</v>
      </c>
      <c r="L79" s="118">
        <v>1</v>
      </c>
      <c r="M79" s="119">
        <v>0</v>
      </c>
      <c r="N79" s="118">
        <v>0</v>
      </c>
      <c r="O79" s="118">
        <v>5</v>
      </c>
      <c r="P79" s="120" t="s">
        <v>274</v>
      </c>
    </row>
    <row r="80" spans="3:18" x14ac:dyDescent="0.2">
      <c r="C80" s="116" t="s">
        <v>286</v>
      </c>
      <c r="D80" s="116"/>
      <c r="E80" s="117" t="s">
        <v>260</v>
      </c>
      <c r="F80" s="118"/>
      <c r="G80" s="118" t="s">
        <v>267</v>
      </c>
      <c r="H80" s="118" t="s">
        <v>267</v>
      </c>
      <c r="I80" s="118"/>
      <c r="J80" s="118">
        <v>2050</v>
      </c>
      <c r="K80" s="118" t="s">
        <v>17</v>
      </c>
      <c r="L80" s="118">
        <v>1</v>
      </c>
      <c r="M80" s="119">
        <v>0</v>
      </c>
      <c r="N80" s="118">
        <v>0</v>
      </c>
      <c r="O80" s="118">
        <v>5</v>
      </c>
      <c r="P80" s="120" t="s">
        <v>274</v>
      </c>
    </row>
    <row r="81" spans="3:16" x14ac:dyDescent="0.2">
      <c r="C81" s="116" t="s">
        <v>286</v>
      </c>
      <c r="D81" s="116"/>
      <c r="E81" s="117" t="s">
        <v>260</v>
      </c>
      <c r="F81" s="118"/>
      <c r="G81" s="118" t="s">
        <v>267</v>
      </c>
      <c r="H81" s="118" t="s">
        <v>267</v>
      </c>
      <c r="I81" s="118"/>
      <c r="J81" s="118">
        <v>2080</v>
      </c>
      <c r="K81" s="118" t="s">
        <v>17</v>
      </c>
      <c r="L81" s="118">
        <v>1</v>
      </c>
      <c r="M81" s="119">
        <v>0</v>
      </c>
      <c r="N81" s="118">
        <v>0</v>
      </c>
      <c r="O81" s="118">
        <v>5</v>
      </c>
      <c r="P81" s="120" t="s">
        <v>274</v>
      </c>
    </row>
    <row r="82" spans="3:16" x14ac:dyDescent="0.2">
      <c r="C82" s="7" t="s">
        <v>287</v>
      </c>
      <c r="D82" s="7"/>
      <c r="E82" s="107" t="s">
        <v>261</v>
      </c>
      <c r="F82" s="14"/>
      <c r="G82" s="14" t="s">
        <v>267</v>
      </c>
      <c r="H82" s="14" t="s">
        <v>267</v>
      </c>
      <c r="I82" s="14"/>
      <c r="J82" s="14">
        <v>2011</v>
      </c>
      <c r="K82" s="14" t="s">
        <v>17</v>
      </c>
      <c r="L82" s="14">
        <v>1</v>
      </c>
      <c r="M82" s="95">
        <f>-'AEO20 data'!N33</f>
        <v>-2.4371611940624809E-2</v>
      </c>
      <c r="N82" s="14">
        <v>0</v>
      </c>
      <c r="O82" s="14">
        <v>5</v>
      </c>
      <c r="P82" s="96" t="s">
        <v>275</v>
      </c>
    </row>
    <row r="83" spans="3:16" x14ac:dyDescent="0.2">
      <c r="C83" s="7" t="s">
        <v>287</v>
      </c>
      <c r="D83" s="7"/>
      <c r="E83" s="107" t="s">
        <v>261</v>
      </c>
      <c r="F83" s="14"/>
      <c r="G83" s="14" t="s">
        <v>267</v>
      </c>
      <c r="H83" s="14" t="s">
        <v>267</v>
      </c>
      <c r="I83" s="14"/>
      <c r="J83" s="14">
        <v>2015</v>
      </c>
      <c r="K83" s="14" t="s">
        <v>17</v>
      </c>
      <c r="L83" s="14">
        <v>1</v>
      </c>
      <c r="M83" s="95">
        <f>-'AEO20 data'!O33</f>
        <v>-1.5679693834360824E-3</v>
      </c>
      <c r="N83" s="14">
        <v>0</v>
      </c>
      <c r="O83" s="14">
        <v>5</v>
      </c>
      <c r="P83" s="96" t="s">
        <v>275</v>
      </c>
    </row>
    <row r="84" spans="3:16" x14ac:dyDescent="0.2">
      <c r="C84" s="7" t="s">
        <v>287</v>
      </c>
      <c r="D84" s="7"/>
      <c r="E84" s="107" t="s">
        <v>261</v>
      </c>
      <c r="F84" s="14"/>
      <c r="G84" s="14" t="s">
        <v>267</v>
      </c>
      <c r="H84" s="14" t="s">
        <v>267</v>
      </c>
      <c r="I84" s="14"/>
      <c r="J84" s="14">
        <v>2020</v>
      </c>
      <c r="K84" s="14" t="s">
        <v>17</v>
      </c>
      <c r="L84" s="14">
        <v>1</v>
      </c>
      <c r="M84" s="95">
        <f>-'AEO20 data'!P33</f>
        <v>-8.4778216974825825E-4</v>
      </c>
      <c r="N84" s="14">
        <v>0</v>
      </c>
      <c r="O84" s="14">
        <v>5</v>
      </c>
      <c r="P84" s="96" t="s">
        <v>275</v>
      </c>
    </row>
    <row r="85" spans="3:16" x14ac:dyDescent="0.2">
      <c r="C85" s="116" t="s">
        <v>287</v>
      </c>
      <c r="D85" s="116"/>
      <c r="E85" s="117" t="s">
        <v>261</v>
      </c>
      <c r="F85" s="118"/>
      <c r="G85" s="118" t="s">
        <v>267</v>
      </c>
      <c r="H85" s="118" t="s">
        <v>267</v>
      </c>
      <c r="I85" s="118"/>
      <c r="J85" s="118">
        <v>2030</v>
      </c>
      <c r="K85" s="118" t="s">
        <v>17</v>
      </c>
      <c r="L85" s="118">
        <v>1</v>
      </c>
      <c r="M85" s="119">
        <v>0</v>
      </c>
      <c r="N85" s="118">
        <v>0</v>
      </c>
      <c r="O85" s="118">
        <v>5</v>
      </c>
      <c r="P85" s="120" t="s">
        <v>275</v>
      </c>
    </row>
    <row r="86" spans="3:16" x14ac:dyDescent="0.2">
      <c r="C86" s="116" t="s">
        <v>287</v>
      </c>
      <c r="D86" s="116"/>
      <c r="E86" s="117" t="s">
        <v>261</v>
      </c>
      <c r="F86" s="118"/>
      <c r="G86" s="118" t="s">
        <v>267</v>
      </c>
      <c r="H86" s="118" t="s">
        <v>267</v>
      </c>
      <c r="I86" s="118"/>
      <c r="J86" s="118">
        <v>2050</v>
      </c>
      <c r="K86" s="118" t="s">
        <v>17</v>
      </c>
      <c r="L86" s="118">
        <v>1</v>
      </c>
      <c r="M86" s="119">
        <v>0</v>
      </c>
      <c r="N86" s="118">
        <v>0</v>
      </c>
      <c r="O86" s="118">
        <v>5</v>
      </c>
      <c r="P86" s="120" t="s">
        <v>275</v>
      </c>
    </row>
    <row r="87" spans="3:16" x14ac:dyDescent="0.2">
      <c r="C87" s="116" t="s">
        <v>287</v>
      </c>
      <c r="D87" s="116"/>
      <c r="E87" s="117" t="s">
        <v>261</v>
      </c>
      <c r="F87" s="118"/>
      <c r="G87" s="118" t="s">
        <v>267</v>
      </c>
      <c r="H87" s="118" t="s">
        <v>267</v>
      </c>
      <c r="I87" s="118"/>
      <c r="J87" s="118">
        <v>2080</v>
      </c>
      <c r="K87" s="118" t="s">
        <v>17</v>
      </c>
      <c r="L87" s="118">
        <v>1</v>
      </c>
      <c r="M87" s="119">
        <v>0</v>
      </c>
      <c r="N87" s="118">
        <v>0</v>
      </c>
      <c r="O87" s="118">
        <v>5</v>
      </c>
      <c r="P87" s="120" t="s">
        <v>275</v>
      </c>
    </row>
    <row r="88" spans="3:16" x14ac:dyDescent="0.2">
      <c r="C88" s="7" t="s">
        <v>288</v>
      </c>
      <c r="D88" s="7"/>
      <c r="E88" s="107" t="s">
        <v>262</v>
      </c>
      <c r="F88" s="14"/>
      <c r="G88" s="14" t="s">
        <v>267</v>
      </c>
      <c r="H88" s="14" t="s">
        <v>267</v>
      </c>
      <c r="I88" s="14"/>
      <c r="J88" s="14">
        <v>2011</v>
      </c>
      <c r="K88" s="14" t="s">
        <v>17</v>
      </c>
      <c r="L88" s="14">
        <v>1</v>
      </c>
      <c r="M88" s="95">
        <f>-'AEO20 data'!N34</f>
        <v>-3.2273021754789782E-3</v>
      </c>
      <c r="N88" s="14">
        <v>0</v>
      </c>
      <c r="O88" s="14">
        <v>5</v>
      </c>
      <c r="P88" s="96" t="s">
        <v>276</v>
      </c>
    </row>
    <row r="89" spans="3:16" x14ac:dyDescent="0.2">
      <c r="C89" s="7" t="s">
        <v>288</v>
      </c>
      <c r="D89" s="7"/>
      <c r="E89" s="107" t="s">
        <v>262</v>
      </c>
      <c r="F89" s="14"/>
      <c r="G89" s="14" t="s">
        <v>267</v>
      </c>
      <c r="H89" s="14" t="s">
        <v>267</v>
      </c>
      <c r="I89" s="14"/>
      <c r="J89" s="14">
        <v>2015</v>
      </c>
      <c r="K89" s="14" t="s">
        <v>17</v>
      </c>
      <c r="L89" s="14">
        <v>1</v>
      </c>
      <c r="M89" s="95">
        <f>-'AEO20 data'!O34</f>
        <v>-6.4842046447660077E-5</v>
      </c>
      <c r="N89" s="14">
        <v>0</v>
      </c>
      <c r="O89" s="14">
        <v>5</v>
      </c>
      <c r="P89" s="96" t="s">
        <v>276</v>
      </c>
    </row>
    <row r="90" spans="3:16" x14ac:dyDescent="0.2">
      <c r="C90" s="7" t="s">
        <v>288</v>
      </c>
      <c r="D90" s="7"/>
      <c r="E90" s="107" t="s">
        <v>262</v>
      </c>
      <c r="F90" s="14"/>
      <c r="G90" s="14" t="s">
        <v>267</v>
      </c>
      <c r="H90" s="14" t="s">
        <v>267</v>
      </c>
      <c r="I90" s="14"/>
      <c r="J90" s="14">
        <v>2020</v>
      </c>
      <c r="K90" s="14" t="s">
        <v>17</v>
      </c>
      <c r="L90" s="14">
        <v>1</v>
      </c>
      <c r="M90" s="95">
        <f>-'AEO20 data'!P34</f>
        <v>-2.1778837952322284E-4</v>
      </c>
      <c r="N90" s="14">
        <v>0</v>
      </c>
      <c r="O90" s="14">
        <v>5</v>
      </c>
      <c r="P90" s="96" t="s">
        <v>276</v>
      </c>
    </row>
    <row r="91" spans="3:16" x14ac:dyDescent="0.2">
      <c r="C91" s="116" t="s">
        <v>288</v>
      </c>
      <c r="D91" s="116"/>
      <c r="E91" s="117" t="s">
        <v>262</v>
      </c>
      <c r="F91" s="118"/>
      <c r="G91" s="118" t="s">
        <v>267</v>
      </c>
      <c r="H91" s="118" t="s">
        <v>267</v>
      </c>
      <c r="I91" s="118"/>
      <c r="J91" s="118">
        <v>2030</v>
      </c>
      <c r="K91" s="118" t="s">
        <v>17</v>
      </c>
      <c r="L91" s="118">
        <v>1</v>
      </c>
      <c r="M91" s="119">
        <v>0</v>
      </c>
      <c r="N91" s="118">
        <v>0</v>
      </c>
      <c r="O91" s="118">
        <v>5</v>
      </c>
      <c r="P91" s="120" t="s">
        <v>276</v>
      </c>
    </row>
    <row r="92" spans="3:16" x14ac:dyDescent="0.2">
      <c r="C92" s="116" t="s">
        <v>288</v>
      </c>
      <c r="D92" s="116"/>
      <c r="E92" s="117" t="s">
        <v>262</v>
      </c>
      <c r="F92" s="118"/>
      <c r="G92" s="118" t="s">
        <v>267</v>
      </c>
      <c r="H92" s="118" t="s">
        <v>267</v>
      </c>
      <c r="I92" s="118"/>
      <c r="J92" s="118">
        <v>2050</v>
      </c>
      <c r="K92" s="118" t="s">
        <v>17</v>
      </c>
      <c r="L92" s="118">
        <v>1</v>
      </c>
      <c r="M92" s="119">
        <v>0</v>
      </c>
      <c r="N92" s="118">
        <v>0</v>
      </c>
      <c r="O92" s="118">
        <v>5</v>
      </c>
      <c r="P92" s="120" t="s">
        <v>276</v>
      </c>
    </row>
    <row r="93" spans="3:16" x14ac:dyDescent="0.2">
      <c r="C93" s="116" t="s">
        <v>288</v>
      </c>
      <c r="D93" s="116"/>
      <c r="E93" s="117" t="s">
        <v>262</v>
      </c>
      <c r="F93" s="118"/>
      <c r="G93" s="118" t="s">
        <v>267</v>
      </c>
      <c r="H93" s="118" t="s">
        <v>267</v>
      </c>
      <c r="I93" s="118"/>
      <c r="J93" s="118">
        <v>2080</v>
      </c>
      <c r="K93" s="118" t="s">
        <v>17</v>
      </c>
      <c r="L93" s="118">
        <v>1</v>
      </c>
      <c r="M93" s="119">
        <v>0</v>
      </c>
      <c r="N93" s="118">
        <v>0</v>
      </c>
      <c r="O93" s="118">
        <v>5</v>
      </c>
      <c r="P93" s="120" t="s">
        <v>276</v>
      </c>
    </row>
    <row r="94" spans="3:16" x14ac:dyDescent="0.2">
      <c r="C94" s="7" t="s">
        <v>289</v>
      </c>
      <c r="D94" s="97"/>
      <c r="E94" s="107" t="s">
        <v>263</v>
      </c>
      <c r="F94" s="108"/>
      <c r="G94" s="14" t="s">
        <v>267</v>
      </c>
      <c r="H94" s="14" t="s">
        <v>267</v>
      </c>
      <c r="I94" s="108"/>
      <c r="J94" s="14">
        <v>2011</v>
      </c>
      <c r="K94" s="14" t="s">
        <v>17</v>
      </c>
      <c r="L94" s="14">
        <v>1</v>
      </c>
      <c r="M94" s="95">
        <f>-'AEO20 data'!N35</f>
        <v>-5.9651133713205782E-4</v>
      </c>
      <c r="N94" s="14">
        <v>0</v>
      </c>
      <c r="O94" s="14">
        <v>5</v>
      </c>
      <c r="P94" s="96" t="s">
        <v>277</v>
      </c>
    </row>
    <row r="95" spans="3:16" x14ac:dyDescent="0.2">
      <c r="C95" s="7" t="s">
        <v>289</v>
      </c>
      <c r="D95" s="97"/>
      <c r="E95" s="107" t="s">
        <v>263</v>
      </c>
      <c r="F95" s="108"/>
      <c r="G95" s="14" t="s">
        <v>267</v>
      </c>
      <c r="H95" s="14" t="s">
        <v>267</v>
      </c>
      <c r="I95" s="108"/>
      <c r="J95" s="14">
        <v>2015</v>
      </c>
      <c r="K95" s="14" t="s">
        <v>17</v>
      </c>
      <c r="L95" s="14">
        <v>1</v>
      </c>
      <c r="M95" s="95">
        <f>-'AEO20 data'!O35</f>
        <v>-7.1253662993294598E-3</v>
      </c>
      <c r="N95" s="14">
        <v>0</v>
      </c>
      <c r="O95" s="14">
        <v>5</v>
      </c>
      <c r="P95" s="96" t="s">
        <v>277</v>
      </c>
    </row>
    <row r="96" spans="3:16" x14ac:dyDescent="0.2">
      <c r="C96" s="7" t="s">
        <v>289</v>
      </c>
      <c r="D96" s="97"/>
      <c r="E96" s="107" t="s">
        <v>263</v>
      </c>
      <c r="F96" s="108"/>
      <c r="G96" s="14" t="s">
        <v>267</v>
      </c>
      <c r="H96" s="14" t="s">
        <v>267</v>
      </c>
      <c r="I96" s="108"/>
      <c r="J96" s="14">
        <v>2020</v>
      </c>
      <c r="K96" s="14" t="s">
        <v>17</v>
      </c>
      <c r="L96" s="14">
        <v>1</v>
      </c>
      <c r="M96" s="95">
        <f>-'AEO20 data'!P35</f>
        <v>-1.1904090423320609E-2</v>
      </c>
      <c r="N96" s="14">
        <v>0</v>
      </c>
      <c r="O96" s="14">
        <v>5</v>
      </c>
      <c r="P96" s="96" t="s">
        <v>277</v>
      </c>
    </row>
    <row r="97" spans="3:16" x14ac:dyDescent="0.2">
      <c r="C97" s="116" t="s">
        <v>289</v>
      </c>
      <c r="D97" s="121"/>
      <c r="E97" s="117" t="s">
        <v>263</v>
      </c>
      <c r="F97" s="122"/>
      <c r="G97" s="118" t="s">
        <v>267</v>
      </c>
      <c r="H97" s="118" t="s">
        <v>267</v>
      </c>
      <c r="I97" s="122"/>
      <c r="J97" s="118">
        <v>2030</v>
      </c>
      <c r="K97" s="118" t="s">
        <v>17</v>
      </c>
      <c r="L97" s="118">
        <v>1</v>
      </c>
      <c r="M97" s="119">
        <v>0</v>
      </c>
      <c r="N97" s="118">
        <v>0</v>
      </c>
      <c r="O97" s="118">
        <v>5</v>
      </c>
      <c r="P97" s="120" t="s">
        <v>277</v>
      </c>
    </row>
    <row r="98" spans="3:16" x14ac:dyDescent="0.2">
      <c r="C98" s="116" t="s">
        <v>289</v>
      </c>
      <c r="D98" s="121"/>
      <c r="E98" s="117" t="s">
        <v>263</v>
      </c>
      <c r="F98" s="122"/>
      <c r="G98" s="118" t="s">
        <v>267</v>
      </c>
      <c r="H98" s="118" t="s">
        <v>267</v>
      </c>
      <c r="I98" s="122"/>
      <c r="J98" s="118">
        <v>2050</v>
      </c>
      <c r="K98" s="118" t="s">
        <v>17</v>
      </c>
      <c r="L98" s="118">
        <v>1</v>
      </c>
      <c r="M98" s="119">
        <v>0</v>
      </c>
      <c r="N98" s="118">
        <v>0</v>
      </c>
      <c r="O98" s="118">
        <v>5</v>
      </c>
      <c r="P98" s="120" t="s">
        <v>277</v>
      </c>
    </row>
    <row r="99" spans="3:16" x14ac:dyDescent="0.2">
      <c r="C99" s="116" t="s">
        <v>289</v>
      </c>
      <c r="D99" s="121"/>
      <c r="E99" s="117" t="s">
        <v>263</v>
      </c>
      <c r="F99" s="122"/>
      <c r="G99" s="118" t="s">
        <v>267</v>
      </c>
      <c r="H99" s="118" t="s">
        <v>267</v>
      </c>
      <c r="I99" s="122"/>
      <c r="J99" s="118">
        <v>2080</v>
      </c>
      <c r="K99" s="118" t="s">
        <v>17</v>
      </c>
      <c r="L99" s="118">
        <v>1</v>
      </c>
      <c r="M99" s="119">
        <v>0</v>
      </c>
      <c r="N99" s="118">
        <v>0</v>
      </c>
      <c r="O99" s="118">
        <v>5</v>
      </c>
      <c r="P99" s="120" t="s">
        <v>277</v>
      </c>
    </row>
    <row r="100" spans="3:16" x14ac:dyDescent="0.2">
      <c r="C100" s="124" t="s">
        <v>300</v>
      </c>
      <c r="D100" s="125"/>
      <c r="E100" s="126" t="s">
        <v>264</v>
      </c>
      <c r="F100" s="127"/>
      <c r="G100" s="128" t="s">
        <v>267</v>
      </c>
      <c r="H100" s="128" t="s">
        <v>267</v>
      </c>
      <c r="I100" s="127"/>
      <c r="J100" s="128">
        <v>2030</v>
      </c>
      <c r="K100" s="128" t="s">
        <v>17</v>
      </c>
      <c r="L100" s="128">
        <v>1</v>
      </c>
      <c r="M100" s="129">
        <f>-'AEO20 data'!Q37</f>
        <v>-3.2009042683005145E-5</v>
      </c>
      <c r="N100" s="128">
        <v>0</v>
      </c>
      <c r="O100" s="128">
        <v>5</v>
      </c>
      <c r="P100" s="130" t="s">
        <v>278</v>
      </c>
    </row>
    <row r="101" spans="3:16" x14ac:dyDescent="0.2">
      <c r="C101" s="124" t="s">
        <v>300</v>
      </c>
      <c r="D101" s="125"/>
      <c r="E101" s="126" t="s">
        <v>264</v>
      </c>
      <c r="F101" s="127"/>
      <c r="G101" s="128" t="s">
        <v>267</v>
      </c>
      <c r="H101" s="128" t="s">
        <v>267</v>
      </c>
      <c r="I101" s="127"/>
      <c r="J101" s="128">
        <v>2050</v>
      </c>
      <c r="K101" s="128" t="s">
        <v>17</v>
      </c>
      <c r="L101" s="128">
        <v>1</v>
      </c>
      <c r="M101" s="131">
        <f>M100*0.7</f>
        <v>-2.2406329878103602E-5</v>
      </c>
      <c r="N101" s="128">
        <v>0</v>
      </c>
      <c r="O101" s="128">
        <v>5</v>
      </c>
      <c r="P101" s="130" t="s">
        <v>278</v>
      </c>
    </row>
    <row r="102" spans="3:16" x14ac:dyDescent="0.2">
      <c r="C102" s="124" t="s">
        <v>300</v>
      </c>
      <c r="D102" s="125"/>
      <c r="E102" s="126" t="s">
        <v>264</v>
      </c>
      <c r="F102" s="127"/>
      <c r="G102" s="128" t="s">
        <v>267</v>
      </c>
      <c r="H102" s="128" t="s">
        <v>267</v>
      </c>
      <c r="I102" s="127"/>
      <c r="J102" s="128">
        <v>2080</v>
      </c>
      <c r="K102" s="128" t="s">
        <v>17</v>
      </c>
      <c r="L102" s="128">
        <v>1</v>
      </c>
      <c r="M102" s="131">
        <f>M101*0.7</f>
        <v>-1.568443091467252E-5</v>
      </c>
      <c r="N102" s="128">
        <v>0</v>
      </c>
      <c r="O102" s="128">
        <v>5</v>
      </c>
      <c r="P102" s="130" t="s">
        <v>278</v>
      </c>
    </row>
    <row r="103" spans="3:16" x14ac:dyDescent="0.2">
      <c r="C103" s="7" t="s">
        <v>290</v>
      </c>
      <c r="D103" s="97"/>
      <c r="E103" s="107" t="s">
        <v>265</v>
      </c>
      <c r="F103" s="108"/>
      <c r="G103" s="14" t="s">
        <v>267</v>
      </c>
      <c r="H103" s="14" t="s">
        <v>267</v>
      </c>
      <c r="I103" s="108"/>
      <c r="J103" s="14">
        <v>2020</v>
      </c>
      <c r="K103" s="14" t="s">
        <v>17</v>
      </c>
      <c r="L103" s="14">
        <v>1</v>
      </c>
      <c r="M103" s="98">
        <f>-'AEO20 data'!P38</f>
        <v>-1.288433790846447E-5</v>
      </c>
      <c r="N103" s="14">
        <v>0</v>
      </c>
      <c r="O103" s="14">
        <v>5</v>
      </c>
      <c r="P103" s="96" t="s">
        <v>279</v>
      </c>
    </row>
    <row r="104" spans="3:16" x14ac:dyDescent="0.2">
      <c r="C104" s="116" t="s">
        <v>290</v>
      </c>
      <c r="D104" s="121"/>
      <c r="E104" s="117" t="s">
        <v>265</v>
      </c>
      <c r="F104" s="122"/>
      <c r="G104" s="118" t="s">
        <v>267</v>
      </c>
      <c r="H104" s="118" t="s">
        <v>267</v>
      </c>
      <c r="I104" s="122"/>
      <c r="J104" s="118">
        <v>2030</v>
      </c>
      <c r="K104" s="118" t="s">
        <v>17</v>
      </c>
      <c r="L104" s="118">
        <v>1</v>
      </c>
      <c r="M104" s="123">
        <v>0</v>
      </c>
      <c r="N104" s="118">
        <v>0</v>
      </c>
      <c r="O104" s="118">
        <v>5</v>
      </c>
      <c r="P104" s="120" t="s">
        <v>279</v>
      </c>
    </row>
    <row r="105" spans="3:16" x14ac:dyDescent="0.2">
      <c r="C105" s="116" t="s">
        <v>290</v>
      </c>
      <c r="D105" s="121"/>
      <c r="E105" s="117" t="s">
        <v>265</v>
      </c>
      <c r="F105" s="122"/>
      <c r="G105" s="118" t="s">
        <v>267</v>
      </c>
      <c r="H105" s="118" t="s">
        <v>267</v>
      </c>
      <c r="I105" s="122"/>
      <c r="J105" s="118">
        <v>2050</v>
      </c>
      <c r="K105" s="118" t="s">
        <v>17</v>
      </c>
      <c r="L105" s="118">
        <v>1</v>
      </c>
      <c r="M105" s="123">
        <v>0</v>
      </c>
      <c r="N105" s="118">
        <v>0</v>
      </c>
      <c r="O105" s="118">
        <v>5</v>
      </c>
      <c r="P105" s="120" t="s">
        <v>279</v>
      </c>
    </row>
    <row r="106" spans="3:16" x14ac:dyDescent="0.2">
      <c r="C106" s="116" t="s">
        <v>290</v>
      </c>
      <c r="D106" s="121"/>
      <c r="E106" s="117" t="s">
        <v>265</v>
      </c>
      <c r="F106" s="122"/>
      <c r="G106" s="118" t="s">
        <v>267</v>
      </c>
      <c r="H106" s="118" t="s">
        <v>267</v>
      </c>
      <c r="I106" s="122"/>
      <c r="J106" s="118">
        <v>2080</v>
      </c>
      <c r="K106" s="118" t="s">
        <v>17</v>
      </c>
      <c r="L106" s="118">
        <v>1</v>
      </c>
      <c r="M106" s="123">
        <v>0</v>
      </c>
      <c r="N106" s="118">
        <v>0</v>
      </c>
      <c r="O106" s="118">
        <v>5</v>
      </c>
      <c r="P106" s="120" t="s">
        <v>279</v>
      </c>
    </row>
    <row r="107" spans="3:16" x14ac:dyDescent="0.2">
      <c r="C107" s="7" t="s">
        <v>295</v>
      </c>
      <c r="D107" s="7"/>
      <c r="E107" s="107" t="s">
        <v>266</v>
      </c>
      <c r="F107" s="14"/>
      <c r="G107" s="14" t="s">
        <v>267</v>
      </c>
      <c r="H107" s="14" t="s">
        <v>267</v>
      </c>
      <c r="I107" s="14"/>
      <c r="J107" s="14">
        <v>2020</v>
      </c>
      <c r="K107" s="14" t="s">
        <v>17</v>
      </c>
      <c r="L107" s="14">
        <v>1</v>
      </c>
      <c r="M107" s="98">
        <f>-'AEO20 data'!P40</f>
        <v>-1.7004420187691531E-5</v>
      </c>
      <c r="N107" s="14">
        <v>0</v>
      </c>
      <c r="O107" s="14">
        <v>5</v>
      </c>
      <c r="P107" s="96" t="s">
        <v>280</v>
      </c>
    </row>
    <row r="108" spans="3:16" x14ac:dyDescent="0.2">
      <c r="C108" s="7" t="s">
        <v>295</v>
      </c>
      <c r="D108" s="7"/>
      <c r="E108" s="107" t="s">
        <v>266</v>
      </c>
      <c r="F108" s="14"/>
      <c r="G108" s="14" t="s">
        <v>267</v>
      </c>
      <c r="H108" s="14" t="s">
        <v>267</v>
      </c>
      <c r="I108" s="14"/>
      <c r="J108" s="14">
        <v>2050</v>
      </c>
      <c r="K108" s="14" t="s">
        <v>17</v>
      </c>
      <c r="L108" s="14">
        <v>1</v>
      </c>
      <c r="M108" s="98">
        <f>M129*0.7</f>
        <v>-1.1903094131384071E-5</v>
      </c>
      <c r="N108" s="14">
        <v>0</v>
      </c>
      <c r="O108" s="14">
        <v>5</v>
      </c>
      <c r="P108" s="96" t="s">
        <v>280</v>
      </c>
    </row>
    <row r="109" spans="3:16" x14ac:dyDescent="0.2">
      <c r="C109" s="7" t="s">
        <v>291</v>
      </c>
      <c r="D109" s="7"/>
      <c r="E109" s="107" t="s">
        <v>269</v>
      </c>
      <c r="F109" s="14"/>
      <c r="G109" s="14" t="s">
        <v>268</v>
      </c>
      <c r="H109" s="14" t="s">
        <v>268</v>
      </c>
      <c r="I109" s="14"/>
      <c r="J109" s="14">
        <v>2011</v>
      </c>
      <c r="K109" s="14" t="s">
        <v>17</v>
      </c>
      <c r="L109" s="14">
        <v>1</v>
      </c>
      <c r="M109" s="95">
        <f>-'AEO20 data'!N32</f>
        <v>-0.95180477292650101</v>
      </c>
      <c r="N109" s="14">
        <v>0</v>
      </c>
      <c r="O109" s="14">
        <v>5</v>
      </c>
      <c r="P109" s="96" t="s">
        <v>281</v>
      </c>
    </row>
    <row r="110" spans="3:16" x14ac:dyDescent="0.2">
      <c r="C110" s="7" t="s">
        <v>291</v>
      </c>
      <c r="D110" s="7"/>
      <c r="E110" s="107" t="s">
        <v>269</v>
      </c>
      <c r="F110" s="14"/>
      <c r="G110" s="14" t="s">
        <v>268</v>
      </c>
      <c r="H110" s="14" t="s">
        <v>268</v>
      </c>
      <c r="I110" s="14"/>
      <c r="J110" s="14">
        <v>2015</v>
      </c>
      <c r="K110" s="14" t="s">
        <v>17</v>
      </c>
      <c r="L110" s="14">
        <v>1</v>
      </c>
      <c r="M110" s="95">
        <f>-'AEO20 data'!O32</f>
        <v>-0.97124416435819572</v>
      </c>
      <c r="N110" s="14">
        <v>0</v>
      </c>
      <c r="O110" s="14">
        <v>5</v>
      </c>
      <c r="P110" s="96" t="s">
        <v>281</v>
      </c>
    </row>
    <row r="111" spans="3:16" x14ac:dyDescent="0.2">
      <c r="C111" s="7" t="s">
        <v>291</v>
      </c>
      <c r="D111" s="7"/>
      <c r="E111" s="107" t="s">
        <v>269</v>
      </c>
      <c r="F111" s="14"/>
      <c r="G111" s="14" t="s">
        <v>268</v>
      </c>
      <c r="H111" s="14" t="s">
        <v>268</v>
      </c>
      <c r="I111" s="14"/>
      <c r="J111" s="14">
        <v>2020</v>
      </c>
      <c r="K111" s="14" t="s">
        <v>17</v>
      </c>
      <c r="L111" s="14">
        <v>1</v>
      </c>
      <c r="M111" s="95">
        <f>-'AEO20 data'!P32</f>
        <v>-0.96698144288720989</v>
      </c>
      <c r="N111" s="14">
        <v>0</v>
      </c>
      <c r="O111" s="14">
        <v>5</v>
      </c>
      <c r="P111" s="96" t="s">
        <v>281</v>
      </c>
    </row>
    <row r="112" spans="3:16" x14ac:dyDescent="0.2">
      <c r="C112" s="116" t="s">
        <v>291</v>
      </c>
      <c r="D112" s="116"/>
      <c r="E112" s="117" t="s">
        <v>269</v>
      </c>
      <c r="F112" s="118"/>
      <c r="G112" s="118" t="s">
        <v>268</v>
      </c>
      <c r="H112" s="118" t="s">
        <v>268</v>
      </c>
      <c r="I112" s="118"/>
      <c r="J112" s="118">
        <v>2030</v>
      </c>
      <c r="K112" s="118" t="s">
        <v>17</v>
      </c>
      <c r="L112" s="118">
        <v>1</v>
      </c>
      <c r="M112" s="119">
        <v>-0.3</v>
      </c>
      <c r="N112" s="118">
        <v>0</v>
      </c>
      <c r="O112" s="118">
        <v>5</v>
      </c>
      <c r="P112" s="120" t="s">
        <v>281</v>
      </c>
    </row>
    <row r="113" spans="3:16" x14ac:dyDescent="0.2">
      <c r="C113" s="116" t="s">
        <v>291</v>
      </c>
      <c r="D113" s="116"/>
      <c r="E113" s="117" t="s">
        <v>269</v>
      </c>
      <c r="F113" s="118"/>
      <c r="G113" s="118" t="s">
        <v>268</v>
      </c>
      <c r="H113" s="118" t="s">
        <v>268</v>
      </c>
      <c r="I113" s="118"/>
      <c r="J113" s="118">
        <v>2035</v>
      </c>
      <c r="K113" s="118" t="s">
        <v>17</v>
      </c>
      <c r="L113" s="118">
        <v>1</v>
      </c>
      <c r="M113" s="119">
        <v>0</v>
      </c>
      <c r="N113" s="118">
        <v>0</v>
      </c>
      <c r="O113" s="118">
        <v>5</v>
      </c>
      <c r="P113" s="120" t="s">
        <v>281</v>
      </c>
    </row>
    <row r="114" spans="3:16" x14ac:dyDescent="0.2">
      <c r="C114" s="116" t="s">
        <v>291</v>
      </c>
      <c r="D114" s="116"/>
      <c r="E114" s="117" t="s">
        <v>269</v>
      </c>
      <c r="F114" s="118"/>
      <c r="G114" s="118" t="s">
        <v>268</v>
      </c>
      <c r="H114" s="118" t="s">
        <v>268</v>
      </c>
      <c r="I114" s="118"/>
      <c r="J114" s="118">
        <v>2050</v>
      </c>
      <c r="K114" s="118" t="s">
        <v>17</v>
      </c>
      <c r="L114" s="118">
        <v>1</v>
      </c>
      <c r="M114" s="119">
        <v>0</v>
      </c>
      <c r="N114" s="118">
        <v>0</v>
      </c>
      <c r="O114" s="118">
        <v>5</v>
      </c>
      <c r="P114" s="120" t="s">
        <v>281</v>
      </c>
    </row>
    <row r="115" spans="3:16" x14ac:dyDescent="0.2">
      <c r="C115" s="116" t="s">
        <v>291</v>
      </c>
      <c r="D115" s="116"/>
      <c r="E115" s="117" t="s">
        <v>269</v>
      </c>
      <c r="F115" s="118"/>
      <c r="G115" s="118" t="s">
        <v>268</v>
      </c>
      <c r="H115" s="118" t="s">
        <v>268</v>
      </c>
      <c r="I115" s="118"/>
      <c r="J115" s="118">
        <v>2080</v>
      </c>
      <c r="K115" s="118" t="s">
        <v>17</v>
      </c>
      <c r="L115" s="118">
        <v>1</v>
      </c>
      <c r="M115" s="119">
        <v>0</v>
      </c>
      <c r="N115" s="118">
        <v>0</v>
      </c>
      <c r="O115" s="118">
        <v>5</v>
      </c>
      <c r="P115" s="120" t="s">
        <v>281</v>
      </c>
    </row>
    <row r="116" spans="3:16" x14ac:dyDescent="0.2">
      <c r="C116" s="7" t="s">
        <v>292</v>
      </c>
      <c r="D116" s="7"/>
      <c r="E116" s="107" t="s">
        <v>270</v>
      </c>
      <c r="F116" s="14"/>
      <c r="G116" s="14" t="s">
        <v>268</v>
      </c>
      <c r="H116" s="14" t="s">
        <v>268</v>
      </c>
      <c r="I116" s="14"/>
      <c r="J116" s="14">
        <v>2011</v>
      </c>
      <c r="K116" s="14" t="s">
        <v>17</v>
      </c>
      <c r="L116" s="14">
        <v>1</v>
      </c>
      <c r="M116" s="95">
        <f>-'AEO20 data'!N33</f>
        <v>-2.4371611940624809E-2</v>
      </c>
      <c r="N116" s="14">
        <v>0</v>
      </c>
      <c r="O116" s="14">
        <v>5</v>
      </c>
      <c r="P116" s="96" t="s">
        <v>282</v>
      </c>
    </row>
    <row r="117" spans="3:16" x14ac:dyDescent="0.2">
      <c r="C117" s="7" t="s">
        <v>292</v>
      </c>
      <c r="D117" s="7"/>
      <c r="E117" s="107" t="s">
        <v>270</v>
      </c>
      <c r="F117" s="14"/>
      <c r="G117" s="14" t="s">
        <v>268</v>
      </c>
      <c r="H117" s="14" t="s">
        <v>268</v>
      </c>
      <c r="I117" s="14"/>
      <c r="J117" s="14">
        <v>2015</v>
      </c>
      <c r="K117" s="14" t="s">
        <v>17</v>
      </c>
      <c r="L117" s="14">
        <v>1</v>
      </c>
      <c r="M117" s="95">
        <f>-'AEO20 data'!O33</f>
        <v>-1.5679693834360824E-3</v>
      </c>
      <c r="N117" s="14">
        <v>0</v>
      </c>
      <c r="O117" s="14">
        <v>5</v>
      </c>
      <c r="P117" s="96" t="s">
        <v>282</v>
      </c>
    </row>
    <row r="118" spans="3:16" x14ac:dyDescent="0.2">
      <c r="C118" s="7" t="s">
        <v>292</v>
      </c>
      <c r="D118" s="7"/>
      <c r="E118" s="107" t="s">
        <v>270</v>
      </c>
      <c r="F118" s="14"/>
      <c r="G118" s="14" t="s">
        <v>268</v>
      </c>
      <c r="H118" s="14" t="s">
        <v>268</v>
      </c>
      <c r="I118" s="14"/>
      <c r="J118" s="14">
        <v>2020</v>
      </c>
      <c r="K118" s="14" t="s">
        <v>17</v>
      </c>
      <c r="L118" s="14">
        <v>1</v>
      </c>
      <c r="M118" s="95">
        <f>-'AEO20 data'!P33</f>
        <v>-8.4778216974825825E-4</v>
      </c>
      <c r="N118" s="14">
        <v>0</v>
      </c>
      <c r="O118" s="14">
        <v>5</v>
      </c>
      <c r="P118" s="96" t="s">
        <v>282</v>
      </c>
    </row>
    <row r="119" spans="3:16" x14ac:dyDescent="0.2">
      <c r="C119" s="116" t="s">
        <v>292</v>
      </c>
      <c r="D119" s="116"/>
      <c r="E119" s="117" t="s">
        <v>270</v>
      </c>
      <c r="F119" s="118"/>
      <c r="G119" s="118" t="s">
        <v>268</v>
      </c>
      <c r="H119" s="118" t="s">
        <v>268</v>
      </c>
      <c r="I119" s="118"/>
      <c r="J119" s="118">
        <v>2030</v>
      </c>
      <c r="K119" s="118" t="s">
        <v>17</v>
      </c>
      <c r="L119" s="118">
        <v>1</v>
      </c>
      <c r="M119" s="119">
        <v>0</v>
      </c>
      <c r="N119" s="118">
        <v>0</v>
      </c>
      <c r="O119" s="118">
        <v>5</v>
      </c>
      <c r="P119" s="120" t="s">
        <v>282</v>
      </c>
    </row>
    <row r="120" spans="3:16" x14ac:dyDescent="0.2">
      <c r="C120" s="116" t="s">
        <v>292</v>
      </c>
      <c r="D120" s="116"/>
      <c r="E120" s="117" t="s">
        <v>270</v>
      </c>
      <c r="F120" s="118"/>
      <c r="G120" s="118" t="s">
        <v>268</v>
      </c>
      <c r="H120" s="118" t="s">
        <v>268</v>
      </c>
      <c r="I120" s="118"/>
      <c r="J120" s="118">
        <v>2050</v>
      </c>
      <c r="K120" s="118" t="s">
        <v>17</v>
      </c>
      <c r="L120" s="118">
        <v>1</v>
      </c>
      <c r="M120" s="119">
        <v>0</v>
      </c>
      <c r="N120" s="118">
        <v>0</v>
      </c>
      <c r="O120" s="118">
        <v>5</v>
      </c>
      <c r="P120" s="120" t="s">
        <v>282</v>
      </c>
    </row>
    <row r="121" spans="3:16" x14ac:dyDescent="0.2">
      <c r="C121" s="116" t="s">
        <v>292</v>
      </c>
      <c r="D121" s="116"/>
      <c r="E121" s="117" t="s">
        <v>270</v>
      </c>
      <c r="F121" s="118"/>
      <c r="G121" s="118" t="s">
        <v>268</v>
      </c>
      <c r="H121" s="118" t="s">
        <v>268</v>
      </c>
      <c r="I121" s="118"/>
      <c r="J121" s="118">
        <v>2080</v>
      </c>
      <c r="K121" s="118" t="s">
        <v>17</v>
      </c>
      <c r="L121" s="118">
        <v>1</v>
      </c>
      <c r="M121" s="119">
        <v>0</v>
      </c>
      <c r="N121" s="118">
        <v>0</v>
      </c>
      <c r="O121" s="118">
        <v>5</v>
      </c>
      <c r="P121" s="120" t="s">
        <v>282</v>
      </c>
    </row>
    <row r="122" spans="3:16" x14ac:dyDescent="0.2">
      <c r="C122" s="124" t="s">
        <v>299</v>
      </c>
      <c r="D122" s="125"/>
      <c r="E122" s="126" t="s">
        <v>271</v>
      </c>
      <c r="F122" s="127"/>
      <c r="G122" s="128" t="s">
        <v>268</v>
      </c>
      <c r="H122" s="128" t="s">
        <v>268</v>
      </c>
      <c r="I122" s="127"/>
      <c r="J122" s="128">
        <v>2030</v>
      </c>
      <c r="K122" s="128" t="s">
        <v>17</v>
      </c>
      <c r="L122" s="128">
        <v>1</v>
      </c>
      <c r="M122" s="129">
        <f>-'AEO20 data'!Q37</f>
        <v>-3.2009042683005145E-5</v>
      </c>
      <c r="N122" s="128">
        <v>0</v>
      </c>
      <c r="O122" s="128">
        <v>5</v>
      </c>
      <c r="P122" s="130" t="s">
        <v>283</v>
      </c>
    </row>
    <row r="123" spans="3:16" x14ac:dyDescent="0.2">
      <c r="C123" s="124" t="s">
        <v>299</v>
      </c>
      <c r="D123" s="125"/>
      <c r="E123" s="126" t="s">
        <v>271</v>
      </c>
      <c r="F123" s="127"/>
      <c r="G123" s="128" t="s">
        <v>268</v>
      </c>
      <c r="H123" s="128" t="s">
        <v>268</v>
      </c>
      <c r="I123" s="127"/>
      <c r="J123" s="128">
        <v>2050</v>
      </c>
      <c r="K123" s="128" t="s">
        <v>17</v>
      </c>
      <c r="L123" s="128">
        <v>1</v>
      </c>
      <c r="M123" s="131">
        <f>M122*0.7</f>
        <v>-2.2406329878103602E-5</v>
      </c>
      <c r="N123" s="128">
        <v>0</v>
      </c>
      <c r="O123" s="128">
        <v>5</v>
      </c>
      <c r="P123" s="130" t="s">
        <v>283</v>
      </c>
    </row>
    <row r="124" spans="3:16" x14ac:dyDescent="0.2">
      <c r="C124" s="124" t="s">
        <v>299</v>
      </c>
      <c r="D124" s="125"/>
      <c r="E124" s="126" t="s">
        <v>271</v>
      </c>
      <c r="F124" s="127"/>
      <c r="G124" s="128" t="s">
        <v>268</v>
      </c>
      <c r="H124" s="128" t="s">
        <v>268</v>
      </c>
      <c r="I124" s="127"/>
      <c r="J124" s="128">
        <v>2080</v>
      </c>
      <c r="K124" s="128" t="s">
        <v>17</v>
      </c>
      <c r="L124" s="128">
        <v>1</v>
      </c>
      <c r="M124" s="131">
        <f>M123*0.7</f>
        <v>-1.568443091467252E-5</v>
      </c>
      <c r="N124" s="128">
        <v>0</v>
      </c>
      <c r="O124" s="128">
        <v>5</v>
      </c>
      <c r="P124" s="130" t="s">
        <v>283</v>
      </c>
    </row>
    <row r="125" spans="3:16" x14ac:dyDescent="0.2">
      <c r="C125" s="7" t="s">
        <v>293</v>
      </c>
      <c r="D125" s="97"/>
      <c r="E125" s="107" t="s">
        <v>272</v>
      </c>
      <c r="F125" s="108"/>
      <c r="G125" s="14" t="s">
        <v>268</v>
      </c>
      <c r="H125" s="14" t="s">
        <v>268</v>
      </c>
      <c r="I125" s="108"/>
      <c r="J125" s="14">
        <v>2020</v>
      </c>
      <c r="K125" s="14" t="s">
        <v>17</v>
      </c>
      <c r="L125" s="14">
        <v>1</v>
      </c>
      <c r="M125" s="98">
        <f>-'AEO20 data'!P38</f>
        <v>-1.288433790846447E-5</v>
      </c>
      <c r="N125" s="14">
        <v>0</v>
      </c>
      <c r="O125" s="14">
        <v>5</v>
      </c>
      <c r="P125" s="96" t="s">
        <v>284</v>
      </c>
    </row>
    <row r="126" spans="3:16" x14ac:dyDescent="0.2">
      <c r="C126" s="116" t="s">
        <v>293</v>
      </c>
      <c r="D126" s="121"/>
      <c r="E126" s="117" t="s">
        <v>272</v>
      </c>
      <c r="F126" s="122"/>
      <c r="G126" s="118" t="s">
        <v>268</v>
      </c>
      <c r="H126" s="118" t="s">
        <v>268</v>
      </c>
      <c r="I126" s="122"/>
      <c r="J126" s="118">
        <v>2030</v>
      </c>
      <c r="K126" s="118" t="s">
        <v>17</v>
      </c>
      <c r="L126" s="118">
        <v>1</v>
      </c>
      <c r="M126" s="123">
        <v>0</v>
      </c>
      <c r="N126" s="118">
        <v>0</v>
      </c>
      <c r="O126" s="118">
        <v>5</v>
      </c>
      <c r="P126" s="120" t="s">
        <v>284</v>
      </c>
    </row>
    <row r="127" spans="3:16" x14ac:dyDescent="0.2">
      <c r="C127" s="116" t="s">
        <v>293</v>
      </c>
      <c r="D127" s="121"/>
      <c r="E127" s="117" t="s">
        <v>272</v>
      </c>
      <c r="F127" s="122"/>
      <c r="G127" s="118" t="s">
        <v>268</v>
      </c>
      <c r="H127" s="118" t="s">
        <v>268</v>
      </c>
      <c r="I127" s="122"/>
      <c r="J127" s="118">
        <v>2050</v>
      </c>
      <c r="K127" s="118" t="s">
        <v>17</v>
      </c>
      <c r="L127" s="118">
        <v>1</v>
      </c>
      <c r="M127" s="123">
        <v>0</v>
      </c>
      <c r="N127" s="118">
        <v>0</v>
      </c>
      <c r="O127" s="118">
        <v>5</v>
      </c>
      <c r="P127" s="120" t="s">
        <v>284</v>
      </c>
    </row>
    <row r="128" spans="3:16" x14ac:dyDescent="0.2">
      <c r="C128" s="116" t="s">
        <v>293</v>
      </c>
      <c r="D128" s="121"/>
      <c r="E128" s="117" t="s">
        <v>272</v>
      </c>
      <c r="F128" s="122"/>
      <c r="G128" s="118" t="s">
        <v>268</v>
      </c>
      <c r="H128" s="118" t="s">
        <v>268</v>
      </c>
      <c r="I128" s="122"/>
      <c r="J128" s="118">
        <v>2080</v>
      </c>
      <c r="K128" s="118" t="s">
        <v>17</v>
      </c>
      <c r="L128" s="118">
        <v>1</v>
      </c>
      <c r="M128" s="123">
        <v>0</v>
      </c>
      <c r="N128" s="118">
        <v>0</v>
      </c>
      <c r="O128" s="118">
        <v>5</v>
      </c>
      <c r="P128" s="120" t="s">
        <v>284</v>
      </c>
    </row>
    <row r="129" spans="3:17" x14ac:dyDescent="0.2">
      <c r="C129" s="7" t="s">
        <v>294</v>
      </c>
      <c r="D129" s="7"/>
      <c r="E129" s="107" t="s">
        <v>273</v>
      </c>
      <c r="F129" s="14"/>
      <c r="G129" s="14" t="s">
        <v>268</v>
      </c>
      <c r="H129" s="14" t="s">
        <v>268</v>
      </c>
      <c r="I129" s="14"/>
      <c r="J129" s="14">
        <v>2020</v>
      </c>
      <c r="K129" s="14" t="s">
        <v>17</v>
      </c>
      <c r="L129" s="14">
        <v>1</v>
      </c>
      <c r="M129" s="98">
        <f>-'AEO20 data'!P40</f>
        <v>-1.7004420187691531E-5</v>
      </c>
      <c r="N129" s="14">
        <v>0</v>
      </c>
      <c r="O129" s="14">
        <v>5</v>
      </c>
      <c r="P129" s="96" t="s">
        <v>285</v>
      </c>
    </row>
    <row r="130" spans="3:17" x14ac:dyDescent="0.2">
      <c r="C130" s="7" t="s">
        <v>294</v>
      </c>
      <c r="D130" s="7"/>
      <c r="E130" s="107" t="s">
        <v>273</v>
      </c>
      <c r="F130" s="14"/>
      <c r="G130" s="14" t="s">
        <v>268</v>
      </c>
      <c r="H130" s="14" t="s">
        <v>268</v>
      </c>
      <c r="I130" s="14"/>
      <c r="J130" s="14">
        <v>2050</v>
      </c>
      <c r="K130" s="14" t="s">
        <v>17</v>
      </c>
      <c r="L130" s="14">
        <v>1</v>
      </c>
      <c r="M130" s="98">
        <f>M129*0.7</f>
        <v>-1.1903094131384071E-5</v>
      </c>
      <c r="N130" s="14">
        <v>0</v>
      </c>
      <c r="O130" s="14">
        <v>5</v>
      </c>
      <c r="P130" s="96" t="s">
        <v>285</v>
      </c>
    </row>
    <row r="131" spans="3:17" x14ac:dyDescent="0.2">
      <c r="C131" s="2" t="s">
        <v>125</v>
      </c>
      <c r="D131" s="2"/>
      <c r="E131" s="109" t="s">
        <v>126</v>
      </c>
      <c r="F131" s="109"/>
      <c r="G131" s="17" t="s">
        <v>127</v>
      </c>
      <c r="H131" s="17" t="str">
        <f t="shared" ref="H131:H141" si="0">G$131</f>
        <v>TA</v>
      </c>
      <c r="J131" s="17">
        <v>2015</v>
      </c>
      <c r="K131" s="109" t="s">
        <v>20</v>
      </c>
      <c r="L131" s="17">
        <v>1</v>
      </c>
      <c r="M131" s="4">
        <f>ConstrData!I9</f>
        <v>-1.2111144235710788E-2</v>
      </c>
      <c r="N131" s="17">
        <v>0</v>
      </c>
      <c r="O131" s="14">
        <v>5</v>
      </c>
      <c r="P131" s="18" t="str">
        <f>ConstrData!C9</f>
        <v>Transportation Air - GSL</v>
      </c>
      <c r="Q131" s="18"/>
    </row>
    <row r="132" spans="3:17" x14ac:dyDescent="0.2">
      <c r="C132" s="2" t="s">
        <v>125</v>
      </c>
      <c r="D132" s="2"/>
      <c r="E132" s="109" t="str">
        <f>E$131</f>
        <v>TAP10,TAPE</v>
      </c>
      <c r="F132" s="109"/>
      <c r="G132" s="17" t="str">
        <f>G$131</f>
        <v>TA</v>
      </c>
      <c r="H132" s="17" t="str">
        <f t="shared" si="0"/>
        <v>TA</v>
      </c>
      <c r="J132" s="17">
        <v>2020</v>
      </c>
      <c r="K132" s="109" t="s">
        <v>20</v>
      </c>
      <c r="L132" s="17">
        <v>1</v>
      </c>
      <c r="M132" s="4">
        <f>ConstrData!J9</f>
        <v>-1.1747809908639464E-2</v>
      </c>
      <c r="N132" s="17">
        <v>0</v>
      </c>
      <c r="O132" s="14">
        <v>5</v>
      </c>
      <c r="P132" s="18" t="str">
        <f>P131</f>
        <v>Transportation Air - GSL</v>
      </c>
      <c r="Q132" s="18"/>
    </row>
    <row r="133" spans="3:17" x14ac:dyDescent="0.2">
      <c r="C133" s="2" t="s">
        <v>125</v>
      </c>
      <c r="D133" s="2"/>
      <c r="E133" s="109" t="str">
        <f t="shared" ref="E133:E139" si="1">E$131</f>
        <v>TAP10,TAPE</v>
      </c>
      <c r="F133" s="109"/>
      <c r="G133" s="17" t="str">
        <f t="shared" ref="G133:G139" si="2">G$131</f>
        <v>TA</v>
      </c>
      <c r="H133" s="17" t="str">
        <f t="shared" si="0"/>
        <v>TA</v>
      </c>
      <c r="J133" s="17">
        <v>2025</v>
      </c>
      <c r="K133" s="109" t="s">
        <v>20</v>
      </c>
      <c r="L133" s="17">
        <v>1</v>
      </c>
      <c r="M133" s="4">
        <f>ConstrData!K9</f>
        <v>-1.1395375611380279E-2</v>
      </c>
      <c r="N133" s="17">
        <v>0</v>
      </c>
      <c r="O133" s="14">
        <v>5</v>
      </c>
      <c r="P133" s="18" t="str">
        <f t="shared" ref="P133:P139" si="3">P132</f>
        <v>Transportation Air - GSL</v>
      </c>
      <c r="Q133" s="18"/>
    </row>
    <row r="134" spans="3:17" x14ac:dyDescent="0.2">
      <c r="C134" s="2" t="s">
        <v>125</v>
      </c>
      <c r="D134" s="2"/>
      <c r="E134" s="109" t="str">
        <f t="shared" si="1"/>
        <v>TAP10,TAPE</v>
      </c>
      <c r="F134" s="109"/>
      <c r="G134" s="17" t="str">
        <f t="shared" si="2"/>
        <v>TA</v>
      </c>
      <c r="H134" s="17" t="str">
        <f t="shared" si="0"/>
        <v>TA</v>
      </c>
      <c r="J134" s="17">
        <v>2030</v>
      </c>
      <c r="K134" s="109" t="s">
        <v>20</v>
      </c>
      <c r="L134" s="17">
        <v>1</v>
      </c>
      <c r="M134" s="4">
        <f>ConstrData!L9</f>
        <v>-1.105351434303887E-2</v>
      </c>
      <c r="N134" s="17">
        <v>0</v>
      </c>
      <c r="O134" s="14">
        <v>5</v>
      </c>
      <c r="P134" s="18" t="str">
        <f t="shared" si="3"/>
        <v>Transportation Air - GSL</v>
      </c>
      <c r="Q134" s="18"/>
    </row>
    <row r="135" spans="3:17" x14ac:dyDescent="0.2">
      <c r="C135" s="2" t="s">
        <v>125</v>
      </c>
      <c r="D135" s="2"/>
      <c r="E135" s="109" t="str">
        <f t="shared" si="1"/>
        <v>TAP10,TAPE</v>
      </c>
      <c r="F135" s="109"/>
      <c r="G135" s="17" t="str">
        <f t="shared" si="2"/>
        <v>TA</v>
      </c>
      <c r="H135" s="17" t="str">
        <f t="shared" si="0"/>
        <v>TA</v>
      </c>
      <c r="J135" s="17">
        <v>2035</v>
      </c>
      <c r="K135" s="109" t="s">
        <v>20</v>
      </c>
      <c r="L135" s="17">
        <v>1</v>
      </c>
      <c r="M135" s="4">
        <f>ConstrData!M9</f>
        <v>-1.0721908912747704E-2</v>
      </c>
      <c r="N135" s="17">
        <v>0</v>
      </c>
      <c r="O135" s="14">
        <v>5</v>
      </c>
      <c r="P135" s="18" t="str">
        <f t="shared" si="3"/>
        <v>Transportation Air - GSL</v>
      </c>
      <c r="Q135" s="18"/>
    </row>
    <row r="136" spans="3:17" x14ac:dyDescent="0.2">
      <c r="C136" s="2" t="s">
        <v>125</v>
      </c>
      <c r="D136" s="2"/>
      <c r="E136" s="109" t="str">
        <f t="shared" si="1"/>
        <v>TAP10,TAPE</v>
      </c>
      <c r="F136" s="109"/>
      <c r="G136" s="17" t="str">
        <f t="shared" si="2"/>
        <v>TA</v>
      </c>
      <c r="H136" s="17" t="str">
        <f t="shared" si="0"/>
        <v>TA</v>
      </c>
      <c r="J136" s="17">
        <v>2040</v>
      </c>
      <c r="K136" s="109" t="s">
        <v>20</v>
      </c>
      <c r="L136" s="17">
        <v>1</v>
      </c>
      <c r="M136" s="4">
        <f>ConstrData!N9</f>
        <v>-1.0400251645365273E-2</v>
      </c>
      <c r="N136" s="17">
        <v>0</v>
      </c>
      <c r="O136" s="14">
        <v>5</v>
      </c>
      <c r="P136" s="18" t="str">
        <f t="shared" si="3"/>
        <v>Transportation Air - GSL</v>
      </c>
      <c r="Q136" s="18"/>
    </row>
    <row r="137" spans="3:17" x14ac:dyDescent="0.2">
      <c r="C137" s="2" t="s">
        <v>125</v>
      </c>
      <c r="D137" s="2"/>
      <c r="E137" s="109" t="str">
        <f t="shared" si="1"/>
        <v>TAP10,TAPE</v>
      </c>
      <c r="F137" s="109"/>
      <c r="G137" s="17" t="str">
        <f t="shared" si="2"/>
        <v>TA</v>
      </c>
      <c r="H137" s="17" t="str">
        <f t="shared" si="0"/>
        <v>TA</v>
      </c>
      <c r="J137" s="17">
        <v>2045</v>
      </c>
      <c r="K137" s="109" t="s">
        <v>20</v>
      </c>
      <c r="L137" s="17">
        <v>1</v>
      </c>
      <c r="M137" s="4">
        <f>ConstrData!O9</f>
        <v>-1.0088244096004314E-2</v>
      </c>
      <c r="N137" s="17">
        <v>0</v>
      </c>
      <c r="O137" s="14">
        <v>5</v>
      </c>
      <c r="P137" s="18" t="str">
        <f t="shared" si="3"/>
        <v>Transportation Air - GSL</v>
      </c>
      <c r="Q137" s="18"/>
    </row>
    <row r="138" spans="3:17" x14ac:dyDescent="0.2">
      <c r="C138" s="2" t="s">
        <v>125</v>
      </c>
      <c r="D138" s="2"/>
      <c r="E138" s="109" t="str">
        <f t="shared" si="1"/>
        <v>TAP10,TAPE</v>
      </c>
      <c r="F138" s="109"/>
      <c r="G138" s="17" t="str">
        <f t="shared" si="2"/>
        <v>TA</v>
      </c>
      <c r="H138" s="17" t="str">
        <f t="shared" si="0"/>
        <v>TA</v>
      </c>
      <c r="J138" s="17">
        <v>2050</v>
      </c>
      <c r="K138" s="109" t="s">
        <v>20</v>
      </c>
      <c r="L138" s="17">
        <v>1</v>
      </c>
      <c r="M138" s="4">
        <f>ConstrData!P9</f>
        <v>-9.7855967731241833E-3</v>
      </c>
      <c r="N138" s="17">
        <v>0</v>
      </c>
      <c r="O138" s="14">
        <v>5</v>
      </c>
      <c r="P138" s="18" t="str">
        <f t="shared" si="3"/>
        <v>Transportation Air - GSL</v>
      </c>
      <c r="Q138" s="18"/>
    </row>
    <row r="139" spans="3:17" x14ac:dyDescent="0.2">
      <c r="C139" s="2" t="s">
        <v>125</v>
      </c>
      <c r="D139" s="2"/>
      <c r="E139" s="109" t="str">
        <f t="shared" si="1"/>
        <v>TAP10,TAPE</v>
      </c>
      <c r="F139" s="109"/>
      <c r="G139" s="17" t="str">
        <f t="shared" si="2"/>
        <v>TA</v>
      </c>
      <c r="H139" s="17" t="str">
        <f t="shared" si="0"/>
        <v>TA</v>
      </c>
      <c r="J139" s="17">
        <v>2055</v>
      </c>
      <c r="K139" s="109" t="s">
        <v>20</v>
      </c>
      <c r="L139" s="17">
        <v>1</v>
      </c>
      <c r="M139" s="4">
        <f>ConstrData!Q9</f>
        <v>-9.4920288699304571E-3</v>
      </c>
      <c r="N139" s="17">
        <v>0</v>
      </c>
      <c r="O139" s="14">
        <v>5</v>
      </c>
      <c r="P139" s="18" t="str">
        <f t="shared" si="3"/>
        <v>Transportation Air - GSL</v>
      </c>
    </row>
    <row r="140" spans="3:17" x14ac:dyDescent="0.2">
      <c r="C140" s="2" t="s">
        <v>128</v>
      </c>
      <c r="D140" s="2"/>
      <c r="E140" s="110" t="s">
        <v>131</v>
      </c>
      <c r="F140" s="109"/>
      <c r="G140" s="17" t="s">
        <v>127</v>
      </c>
      <c r="H140" s="17" t="str">
        <f t="shared" si="0"/>
        <v>TA</v>
      </c>
      <c r="J140" s="17">
        <v>2015</v>
      </c>
      <c r="K140" s="109" t="s">
        <v>17</v>
      </c>
      <c r="L140" s="17">
        <v>1</v>
      </c>
      <c r="M140" s="4">
        <f>ConstrData!I11</f>
        <v>-0.98709292324265363</v>
      </c>
      <c r="N140" s="17">
        <v>0</v>
      </c>
      <c r="O140" s="14">
        <v>5</v>
      </c>
      <c r="P140" s="18" t="str">
        <f>ConstrData!C11</f>
        <v>Transportation Air - JTF</v>
      </c>
      <c r="Q140" s="18"/>
    </row>
    <row r="141" spans="3:17" x14ac:dyDescent="0.2">
      <c r="C141" s="2" t="s">
        <v>128</v>
      </c>
      <c r="D141" s="2"/>
      <c r="E141" s="110" t="s">
        <v>131</v>
      </c>
      <c r="F141" s="109"/>
      <c r="G141" s="17" t="s">
        <v>127</v>
      </c>
      <c r="H141" s="17" t="str">
        <f t="shared" si="0"/>
        <v>TA</v>
      </c>
      <c r="J141" s="17">
        <v>2055</v>
      </c>
      <c r="K141" s="109" t="s">
        <v>17</v>
      </c>
      <c r="L141" s="17">
        <v>1</v>
      </c>
      <c r="M141" s="4">
        <f>ConstrData!Q11</f>
        <v>-0.98709292324265363</v>
      </c>
      <c r="N141" s="17">
        <v>0</v>
      </c>
      <c r="O141" s="14">
        <v>5</v>
      </c>
      <c r="P141" s="18" t="str">
        <f>P140</f>
        <v>Transportation Air - JTF</v>
      </c>
    </row>
    <row r="142" spans="3:17" x14ac:dyDescent="0.2">
      <c r="C142" s="37" t="s">
        <v>129</v>
      </c>
      <c r="D142" s="37"/>
      <c r="E142" s="74" t="s">
        <v>256</v>
      </c>
      <c r="F142" s="74"/>
      <c r="G142" s="74" t="s">
        <v>259</v>
      </c>
      <c r="H142" s="74" t="str">
        <f>G$142</f>
        <v>TBT,TBS</v>
      </c>
      <c r="I142" s="74"/>
      <c r="J142" s="74">
        <v>2015</v>
      </c>
      <c r="K142" s="74" t="s">
        <v>17</v>
      </c>
      <c r="L142" s="74">
        <v>1</v>
      </c>
      <c r="M142" s="38">
        <f>ConstrData!I13</f>
        <v>-3.6749043308517283E-2</v>
      </c>
      <c r="N142" s="74">
        <v>0</v>
      </c>
      <c r="O142" s="14">
        <v>5</v>
      </c>
      <c r="P142" s="39" t="str">
        <f>ConstrData!C13</f>
        <v>Transportation Bus - GSL</v>
      </c>
    </row>
    <row r="143" spans="3:17" x14ac:dyDescent="0.2">
      <c r="C143" s="37" t="s">
        <v>129</v>
      </c>
      <c r="D143" s="37"/>
      <c r="E143" s="74" t="str">
        <f>E$142</f>
        <v>TBTGSLE,TBTGSLC,TBSGSLE,TBGSLC</v>
      </c>
      <c r="F143" s="74"/>
      <c r="G143" s="74" t="str">
        <f>G$142</f>
        <v>TBT,TBS</v>
      </c>
      <c r="H143" s="74" t="str">
        <f t="shared" ref="H143:H153" si="4">G$142</f>
        <v>TBT,TBS</v>
      </c>
      <c r="I143" s="74"/>
      <c r="J143" s="74">
        <v>2020</v>
      </c>
      <c r="K143" s="74" t="s">
        <v>17</v>
      </c>
      <c r="L143" s="74">
        <v>1</v>
      </c>
      <c r="M143" s="38">
        <f>ConstrData!J13</f>
        <v>-3.5646572009261766E-2</v>
      </c>
      <c r="N143" s="74">
        <v>0</v>
      </c>
      <c r="O143" s="14">
        <v>5</v>
      </c>
      <c r="P143" s="39" t="str">
        <f>P142</f>
        <v>Transportation Bus - GSL</v>
      </c>
    </row>
    <row r="144" spans="3:17" x14ac:dyDescent="0.2">
      <c r="C144" s="140" t="s">
        <v>129</v>
      </c>
      <c r="D144" s="140"/>
      <c r="E144" s="141" t="str">
        <f t="shared" ref="E144:E150" si="5">E$142</f>
        <v>TBTGSLE,TBTGSLC,TBSGSLE,TBGSLC</v>
      </c>
      <c r="F144" s="141"/>
      <c r="G144" s="141" t="str">
        <f t="shared" ref="G144:G150" si="6">G$142</f>
        <v>TBT,TBS</v>
      </c>
      <c r="H144" s="141" t="str">
        <f t="shared" si="4"/>
        <v>TBT,TBS</v>
      </c>
      <c r="I144" s="141"/>
      <c r="J144" s="141">
        <v>2025</v>
      </c>
      <c r="K144" s="141" t="s">
        <v>17</v>
      </c>
      <c r="L144" s="141">
        <v>1</v>
      </c>
      <c r="M144" s="142">
        <v>0</v>
      </c>
      <c r="N144" s="141">
        <v>0</v>
      </c>
      <c r="O144" s="143">
        <v>5</v>
      </c>
      <c r="P144" s="39" t="str">
        <f t="shared" ref="P144:P150" si="7">P143</f>
        <v>Transportation Bus - GSL</v>
      </c>
    </row>
    <row r="145" spans="3:17" x14ac:dyDescent="0.2">
      <c r="C145" s="140" t="s">
        <v>129</v>
      </c>
      <c r="D145" s="140"/>
      <c r="E145" s="141" t="str">
        <f t="shared" si="5"/>
        <v>TBTGSLE,TBTGSLC,TBSGSLE,TBGSLC</v>
      </c>
      <c r="F145" s="141"/>
      <c r="G145" s="141" t="str">
        <f t="shared" si="6"/>
        <v>TBT,TBS</v>
      </c>
      <c r="H145" s="141" t="str">
        <f t="shared" si="4"/>
        <v>TBT,TBS</v>
      </c>
      <c r="I145" s="141"/>
      <c r="J145" s="141">
        <v>2030</v>
      </c>
      <c r="K145" s="141" t="s">
        <v>17</v>
      </c>
      <c r="L145" s="141">
        <v>1</v>
      </c>
      <c r="M145" s="142">
        <v>0</v>
      </c>
      <c r="N145" s="141">
        <v>0</v>
      </c>
      <c r="O145" s="143">
        <v>5</v>
      </c>
      <c r="P145" s="39" t="str">
        <f t="shared" si="7"/>
        <v>Transportation Bus - GSL</v>
      </c>
    </row>
    <row r="146" spans="3:17" x14ac:dyDescent="0.2">
      <c r="C146" s="140" t="s">
        <v>129</v>
      </c>
      <c r="D146" s="140"/>
      <c r="E146" s="141" t="str">
        <f t="shared" si="5"/>
        <v>TBTGSLE,TBTGSLC,TBSGSLE,TBGSLC</v>
      </c>
      <c r="F146" s="141"/>
      <c r="G146" s="141" t="str">
        <f t="shared" si="6"/>
        <v>TBT,TBS</v>
      </c>
      <c r="H146" s="141" t="str">
        <f t="shared" si="4"/>
        <v>TBT,TBS</v>
      </c>
      <c r="I146" s="141"/>
      <c r="J146" s="141">
        <v>2035</v>
      </c>
      <c r="K146" s="141" t="s">
        <v>17</v>
      </c>
      <c r="L146" s="141">
        <v>1</v>
      </c>
      <c r="M146" s="142">
        <v>0</v>
      </c>
      <c r="N146" s="141">
        <v>0</v>
      </c>
      <c r="O146" s="143">
        <v>5</v>
      </c>
      <c r="P146" s="39" t="str">
        <f t="shared" si="7"/>
        <v>Transportation Bus - GSL</v>
      </c>
    </row>
    <row r="147" spans="3:17" x14ac:dyDescent="0.2">
      <c r="C147" s="140" t="s">
        <v>129</v>
      </c>
      <c r="D147" s="140"/>
      <c r="E147" s="141" t="str">
        <f t="shared" si="5"/>
        <v>TBTGSLE,TBTGSLC,TBSGSLE,TBGSLC</v>
      </c>
      <c r="F147" s="141"/>
      <c r="G147" s="141" t="str">
        <f t="shared" si="6"/>
        <v>TBT,TBS</v>
      </c>
      <c r="H147" s="141" t="str">
        <f t="shared" si="4"/>
        <v>TBT,TBS</v>
      </c>
      <c r="I147" s="141"/>
      <c r="J147" s="141">
        <v>2040</v>
      </c>
      <c r="K147" s="141" t="s">
        <v>17</v>
      </c>
      <c r="L147" s="141">
        <v>1</v>
      </c>
      <c r="M147" s="142">
        <v>0</v>
      </c>
      <c r="N147" s="141">
        <v>0</v>
      </c>
      <c r="O147" s="143">
        <v>5</v>
      </c>
      <c r="P147" s="39" t="str">
        <f t="shared" si="7"/>
        <v>Transportation Bus - GSL</v>
      </c>
    </row>
    <row r="148" spans="3:17" x14ac:dyDescent="0.2">
      <c r="C148" s="140" t="s">
        <v>129</v>
      </c>
      <c r="D148" s="140"/>
      <c r="E148" s="141" t="str">
        <f t="shared" si="5"/>
        <v>TBTGSLE,TBTGSLC,TBSGSLE,TBGSLC</v>
      </c>
      <c r="F148" s="141"/>
      <c r="G148" s="141" t="str">
        <f t="shared" si="6"/>
        <v>TBT,TBS</v>
      </c>
      <c r="H148" s="141" t="str">
        <f t="shared" si="4"/>
        <v>TBT,TBS</v>
      </c>
      <c r="I148" s="141"/>
      <c r="J148" s="141">
        <v>2045</v>
      </c>
      <c r="K148" s="141" t="s">
        <v>17</v>
      </c>
      <c r="L148" s="141">
        <v>1</v>
      </c>
      <c r="M148" s="142">
        <v>0</v>
      </c>
      <c r="N148" s="141">
        <v>0</v>
      </c>
      <c r="O148" s="143">
        <v>5</v>
      </c>
      <c r="P148" s="39" t="str">
        <f t="shared" si="7"/>
        <v>Transportation Bus - GSL</v>
      </c>
    </row>
    <row r="149" spans="3:17" x14ac:dyDescent="0.2">
      <c r="C149" s="140" t="s">
        <v>129</v>
      </c>
      <c r="D149" s="140"/>
      <c r="E149" s="141" t="str">
        <f t="shared" si="5"/>
        <v>TBTGSLE,TBTGSLC,TBSGSLE,TBGSLC</v>
      </c>
      <c r="F149" s="141"/>
      <c r="G149" s="141" t="str">
        <f t="shared" si="6"/>
        <v>TBT,TBS</v>
      </c>
      <c r="H149" s="141" t="str">
        <f t="shared" si="4"/>
        <v>TBT,TBS</v>
      </c>
      <c r="I149" s="141"/>
      <c r="J149" s="141">
        <v>2050</v>
      </c>
      <c r="K149" s="141" t="s">
        <v>17</v>
      </c>
      <c r="L149" s="141">
        <v>1</v>
      </c>
      <c r="M149" s="142">
        <v>0</v>
      </c>
      <c r="N149" s="141">
        <v>0</v>
      </c>
      <c r="O149" s="143">
        <v>5</v>
      </c>
      <c r="P149" s="39" t="str">
        <f t="shared" si="7"/>
        <v>Transportation Bus - GSL</v>
      </c>
    </row>
    <row r="150" spans="3:17" x14ac:dyDescent="0.2">
      <c r="C150" s="140" t="s">
        <v>129</v>
      </c>
      <c r="D150" s="140"/>
      <c r="E150" s="141" t="str">
        <f t="shared" si="5"/>
        <v>TBTGSLE,TBTGSLC,TBSGSLE,TBGSLC</v>
      </c>
      <c r="F150" s="141"/>
      <c r="G150" s="141" t="str">
        <f t="shared" si="6"/>
        <v>TBT,TBS</v>
      </c>
      <c r="H150" s="141" t="str">
        <f t="shared" si="4"/>
        <v>TBT,TBS</v>
      </c>
      <c r="I150" s="141"/>
      <c r="J150" s="141">
        <v>2080</v>
      </c>
      <c r="K150" s="141" t="s">
        <v>17</v>
      </c>
      <c r="L150" s="141">
        <v>1</v>
      </c>
      <c r="M150" s="142">
        <v>0</v>
      </c>
      <c r="N150" s="141">
        <v>0</v>
      </c>
      <c r="O150" s="143">
        <v>5</v>
      </c>
      <c r="P150" s="39" t="str">
        <f t="shared" si="7"/>
        <v>Transportation Bus - GSL</v>
      </c>
    </row>
    <row r="151" spans="3:17" x14ac:dyDescent="0.2">
      <c r="C151" s="2" t="s">
        <v>130</v>
      </c>
      <c r="D151" s="2"/>
      <c r="E151" s="109" t="s">
        <v>257</v>
      </c>
      <c r="F151" s="109"/>
      <c r="G151" s="109" t="s">
        <v>259</v>
      </c>
      <c r="H151" s="109" t="str">
        <f>G$142</f>
        <v>TBT,TBS</v>
      </c>
      <c r="I151" s="109"/>
      <c r="J151" s="109">
        <v>2015</v>
      </c>
      <c r="K151" s="109" t="s">
        <v>17</v>
      </c>
      <c r="L151" s="109">
        <v>1</v>
      </c>
      <c r="M151" s="40">
        <f>ConstrData!H15+(ConstrData!M15-ConstrData!H15)/5</f>
        <v>-0.1155239809178932</v>
      </c>
      <c r="N151" s="109">
        <v>0</v>
      </c>
      <c r="O151" s="14">
        <v>5</v>
      </c>
      <c r="P151" s="42" t="str">
        <f>ConstrData!C15</f>
        <v>Transportation Bus- CNG</v>
      </c>
    </row>
    <row r="152" spans="3:17" s="2" customFormat="1" x14ac:dyDescent="0.2">
      <c r="C152" s="144" t="s">
        <v>130</v>
      </c>
      <c r="D152" s="144"/>
      <c r="E152" s="145" t="str">
        <f>E151</f>
        <v>TBTCNGE,TBTCNGC,TBSCNGE,TBSCNGC</v>
      </c>
      <c r="F152" s="145"/>
      <c r="G152" s="145" t="str">
        <f>G151</f>
        <v>TBT,TBS</v>
      </c>
      <c r="H152" s="145" t="str">
        <f t="shared" si="4"/>
        <v>TBT,TBS</v>
      </c>
      <c r="I152" s="145"/>
      <c r="J152" s="145">
        <v>2035</v>
      </c>
      <c r="K152" s="145" t="s">
        <v>17</v>
      </c>
      <c r="L152" s="145">
        <v>1</v>
      </c>
      <c r="M152" s="146">
        <v>0</v>
      </c>
      <c r="N152" s="145">
        <v>0</v>
      </c>
      <c r="O152" s="143">
        <v>5</v>
      </c>
      <c r="P152" s="42" t="str">
        <f>P151</f>
        <v>Transportation Bus- CNG</v>
      </c>
    </row>
    <row r="153" spans="3:17" s="2" customFormat="1" x14ac:dyDescent="0.2">
      <c r="C153" s="144" t="s">
        <v>130</v>
      </c>
      <c r="D153" s="144"/>
      <c r="E153" s="145" t="str">
        <f>E152</f>
        <v>TBTCNGE,TBTCNGC,TBSCNGE,TBSCNGC</v>
      </c>
      <c r="F153" s="145"/>
      <c r="G153" s="145" t="str">
        <f>G152</f>
        <v>TBT,TBS</v>
      </c>
      <c r="H153" s="145" t="str">
        <f t="shared" si="4"/>
        <v>TBT,TBS</v>
      </c>
      <c r="I153" s="145"/>
      <c r="J153" s="145">
        <v>2080</v>
      </c>
      <c r="K153" s="145" t="s">
        <v>17</v>
      </c>
      <c r="L153" s="145">
        <v>1</v>
      </c>
      <c r="M153" s="146">
        <v>0</v>
      </c>
      <c r="N153" s="145">
        <v>0</v>
      </c>
      <c r="O153" s="143">
        <v>5</v>
      </c>
      <c r="P153" s="42" t="str">
        <f>P152</f>
        <v>Transportation Bus- CNG</v>
      </c>
    </row>
    <row r="154" spans="3:17" x14ac:dyDescent="0.2">
      <c r="C154" s="2" t="s">
        <v>147</v>
      </c>
      <c r="D154" s="2"/>
      <c r="E154" s="109" t="s">
        <v>258</v>
      </c>
      <c r="G154" s="109" t="str">
        <f t="shared" ref="G154:G159" si="8">G153</f>
        <v>TBT,TBS</v>
      </c>
      <c r="H154" s="109" t="str">
        <f t="shared" ref="H154:H159" si="9">G$142</f>
        <v>TBT,TBS</v>
      </c>
      <c r="J154" s="17">
        <v>2015</v>
      </c>
      <c r="K154" s="109" t="s">
        <v>17</v>
      </c>
      <c r="L154" s="17">
        <v>1</v>
      </c>
      <c r="M154" s="4">
        <f>ConstrData!H44+(ConstrData!M44-ConstrData!H44)/5</f>
        <v>-0.8285758818077017</v>
      </c>
      <c r="N154" s="17">
        <v>0</v>
      </c>
      <c r="O154" s="14">
        <v>5</v>
      </c>
      <c r="P154" s="18" t="str">
        <f>ConstrData!C44</f>
        <v>Transportation Bus - DSL</v>
      </c>
    </row>
    <row r="155" spans="3:17" x14ac:dyDescent="0.2">
      <c r="C155" s="144" t="s">
        <v>147</v>
      </c>
      <c r="D155" s="144"/>
      <c r="E155" s="145" t="str">
        <f>E154</f>
        <v>TBTDSL*,TBSDSL*</v>
      </c>
      <c r="F155" s="147"/>
      <c r="G155" s="145" t="str">
        <f t="shared" si="8"/>
        <v>TBT,TBS</v>
      </c>
      <c r="H155" s="145" t="str">
        <f t="shared" si="9"/>
        <v>TBT,TBS</v>
      </c>
      <c r="I155" s="147"/>
      <c r="J155" s="147">
        <v>2035</v>
      </c>
      <c r="K155" s="145" t="s">
        <v>17</v>
      </c>
      <c r="L155" s="147">
        <v>1</v>
      </c>
      <c r="M155" s="148">
        <v>0</v>
      </c>
      <c r="N155" s="147">
        <v>0</v>
      </c>
      <c r="O155" s="143">
        <v>5</v>
      </c>
      <c r="P155" s="18" t="str">
        <f>P154</f>
        <v>Transportation Bus - DSL</v>
      </c>
    </row>
    <row r="156" spans="3:17" x14ac:dyDescent="0.2">
      <c r="C156" s="144" t="s">
        <v>147</v>
      </c>
      <c r="D156" s="144"/>
      <c r="E156" s="145" t="str">
        <f t="shared" ref="E156:E159" si="10">E155</f>
        <v>TBTDSL*,TBSDSL*</v>
      </c>
      <c r="F156" s="147"/>
      <c r="G156" s="145" t="str">
        <f t="shared" si="8"/>
        <v>TBT,TBS</v>
      </c>
      <c r="H156" s="145" t="str">
        <f t="shared" si="9"/>
        <v>TBT,TBS</v>
      </c>
      <c r="I156" s="147"/>
      <c r="J156" s="147">
        <v>2040</v>
      </c>
      <c r="K156" s="145" t="s">
        <v>17</v>
      </c>
      <c r="L156" s="147">
        <v>1</v>
      </c>
      <c r="M156" s="148">
        <v>0</v>
      </c>
      <c r="N156" s="147">
        <v>0</v>
      </c>
      <c r="O156" s="143">
        <v>5</v>
      </c>
      <c r="P156" s="18" t="str">
        <f>P155</f>
        <v>Transportation Bus - DSL</v>
      </c>
      <c r="Q156" s="18"/>
    </row>
    <row r="157" spans="3:17" x14ac:dyDescent="0.2">
      <c r="C157" s="144" t="s">
        <v>147</v>
      </c>
      <c r="D157" s="144"/>
      <c r="E157" s="145" t="str">
        <f t="shared" si="10"/>
        <v>TBTDSL*,TBSDSL*</v>
      </c>
      <c r="F157" s="147"/>
      <c r="G157" s="145" t="str">
        <f t="shared" si="8"/>
        <v>TBT,TBS</v>
      </c>
      <c r="H157" s="145" t="str">
        <f t="shared" si="9"/>
        <v>TBT,TBS</v>
      </c>
      <c r="I157" s="147"/>
      <c r="J157" s="147">
        <v>2045</v>
      </c>
      <c r="K157" s="145" t="s">
        <v>17</v>
      </c>
      <c r="L157" s="147">
        <v>1</v>
      </c>
      <c r="M157" s="148">
        <v>0</v>
      </c>
      <c r="N157" s="147">
        <v>0</v>
      </c>
      <c r="O157" s="143">
        <v>5</v>
      </c>
      <c r="P157" s="18" t="str">
        <f>P156</f>
        <v>Transportation Bus - DSL</v>
      </c>
    </row>
    <row r="158" spans="3:17" x14ac:dyDescent="0.2">
      <c r="C158" s="144" t="s">
        <v>147</v>
      </c>
      <c r="D158" s="144"/>
      <c r="E158" s="145" t="str">
        <f t="shared" si="10"/>
        <v>TBTDSL*,TBSDSL*</v>
      </c>
      <c r="F158" s="147"/>
      <c r="G158" s="145" t="str">
        <f t="shared" si="8"/>
        <v>TBT,TBS</v>
      </c>
      <c r="H158" s="145" t="str">
        <f t="shared" si="9"/>
        <v>TBT,TBS</v>
      </c>
      <c r="I158" s="147"/>
      <c r="J158" s="147">
        <v>2050</v>
      </c>
      <c r="K158" s="145" t="s">
        <v>17</v>
      </c>
      <c r="L158" s="147">
        <v>1</v>
      </c>
      <c r="M158" s="148">
        <v>0</v>
      </c>
      <c r="N158" s="147">
        <v>0</v>
      </c>
      <c r="O158" s="143">
        <v>5</v>
      </c>
      <c r="P158" s="18" t="str">
        <f>P157</f>
        <v>Transportation Bus - DSL</v>
      </c>
    </row>
    <row r="159" spans="3:17" x14ac:dyDescent="0.2">
      <c r="C159" s="144" t="s">
        <v>147</v>
      </c>
      <c r="D159" s="144"/>
      <c r="E159" s="145" t="str">
        <f t="shared" si="10"/>
        <v>TBTDSL*,TBSDSL*</v>
      </c>
      <c r="F159" s="147"/>
      <c r="G159" s="145" t="str">
        <f t="shared" si="8"/>
        <v>TBT,TBS</v>
      </c>
      <c r="H159" s="145" t="str">
        <f t="shared" si="9"/>
        <v>TBT,TBS</v>
      </c>
      <c r="I159" s="147"/>
      <c r="J159" s="147">
        <v>2080</v>
      </c>
      <c r="K159" s="145" t="s">
        <v>17</v>
      </c>
      <c r="L159" s="147">
        <v>1</v>
      </c>
      <c r="M159" s="148">
        <v>0</v>
      </c>
      <c r="N159" s="147">
        <v>0</v>
      </c>
      <c r="O159" s="143">
        <v>5</v>
      </c>
      <c r="P159" s="18" t="str">
        <f>P158</f>
        <v>Transportation Bus - DSL</v>
      </c>
    </row>
    <row r="160" spans="3:17" s="2" customFormat="1" x14ac:dyDescent="0.2">
      <c r="C160" s="2" t="s">
        <v>132</v>
      </c>
      <c r="E160" s="109" t="s">
        <v>134</v>
      </c>
      <c r="F160" s="109"/>
      <c r="G160" s="109" t="s">
        <v>133</v>
      </c>
      <c r="H160" s="109" t="str">
        <f>G$160</f>
        <v>TS</v>
      </c>
      <c r="I160" s="109"/>
      <c r="J160" s="109">
        <v>2015</v>
      </c>
      <c r="K160" s="109" t="s">
        <v>17</v>
      </c>
      <c r="L160" s="109">
        <v>1</v>
      </c>
      <c r="M160" s="40">
        <f>ConstrData!I27</f>
        <v>-0.64985749078233346</v>
      </c>
      <c r="N160" s="109">
        <v>0</v>
      </c>
      <c r="O160" s="14">
        <v>5</v>
      </c>
      <c r="P160" s="42" t="str">
        <f>ConstrData!C27</f>
        <v>Transportation Shipping - DSL</v>
      </c>
    </row>
    <row r="161" spans="3:16" s="2" customFormat="1" x14ac:dyDescent="0.2">
      <c r="C161" s="2" t="s">
        <v>132</v>
      </c>
      <c r="E161" s="109" t="str">
        <f>E$160</f>
        <v>TSDSL*</v>
      </c>
      <c r="F161" s="109"/>
      <c r="G161" s="109" t="str">
        <f>G$160</f>
        <v>TS</v>
      </c>
      <c r="H161" s="109" t="str">
        <f t="shared" ref="H161:H177" si="11">G$160</f>
        <v>TS</v>
      </c>
      <c r="I161" s="109"/>
      <c r="J161" s="109">
        <v>2020</v>
      </c>
      <c r="K161" s="109" t="s">
        <v>17</v>
      </c>
      <c r="L161" s="109">
        <v>1</v>
      </c>
      <c r="M161" s="40">
        <f>ConstrData!J27</f>
        <v>-0.64855777580076879</v>
      </c>
      <c r="N161" s="109">
        <v>0</v>
      </c>
      <c r="O161" s="14">
        <v>5</v>
      </c>
      <c r="P161" s="42" t="str">
        <f>P160</f>
        <v>Transportation Shipping - DSL</v>
      </c>
    </row>
    <row r="162" spans="3:16" s="2" customFormat="1" x14ac:dyDescent="0.2">
      <c r="C162" s="2" t="s">
        <v>132</v>
      </c>
      <c r="E162" s="109" t="str">
        <f t="shared" ref="E162:E168" si="12">E$160</f>
        <v>TSDSL*</v>
      </c>
      <c r="F162" s="109"/>
      <c r="G162" s="109" t="str">
        <f t="shared" ref="G162:G168" si="13">G$160</f>
        <v>TS</v>
      </c>
      <c r="H162" s="109" t="str">
        <f t="shared" si="11"/>
        <v>TS</v>
      </c>
      <c r="I162" s="109"/>
      <c r="J162" s="109">
        <v>2025</v>
      </c>
      <c r="K162" s="109" t="s">
        <v>17</v>
      </c>
      <c r="L162" s="109">
        <v>1</v>
      </c>
      <c r="M162" s="40">
        <f>ConstrData!K27</f>
        <v>-0.64726066024916729</v>
      </c>
      <c r="N162" s="109">
        <v>0</v>
      </c>
      <c r="O162" s="14">
        <v>5</v>
      </c>
      <c r="P162" s="42" t="str">
        <f t="shared" ref="P162:P168" si="14">P161</f>
        <v>Transportation Shipping - DSL</v>
      </c>
    </row>
    <row r="163" spans="3:16" s="2" customFormat="1" x14ac:dyDescent="0.2">
      <c r="C163" s="2" t="s">
        <v>132</v>
      </c>
      <c r="E163" s="109" t="str">
        <f t="shared" si="12"/>
        <v>TSDSL*</v>
      </c>
      <c r="F163" s="109"/>
      <c r="G163" s="109" t="str">
        <f t="shared" si="13"/>
        <v>TS</v>
      </c>
      <c r="H163" s="109" t="str">
        <f t="shared" si="11"/>
        <v>TS</v>
      </c>
      <c r="I163" s="109"/>
      <c r="J163" s="109">
        <v>2030</v>
      </c>
      <c r="K163" s="109" t="s">
        <v>17</v>
      </c>
      <c r="L163" s="109">
        <v>1</v>
      </c>
      <c r="M163" s="40">
        <f>ConstrData!L27</f>
        <v>-0.64596613892866894</v>
      </c>
      <c r="N163" s="109">
        <v>0</v>
      </c>
      <c r="O163" s="14">
        <v>5</v>
      </c>
      <c r="P163" s="42" t="str">
        <f t="shared" si="14"/>
        <v>Transportation Shipping - DSL</v>
      </c>
    </row>
    <row r="164" spans="3:16" s="2" customFormat="1" x14ac:dyDescent="0.2">
      <c r="C164" s="2" t="s">
        <v>132</v>
      </c>
      <c r="E164" s="109" t="str">
        <f t="shared" si="12"/>
        <v>TSDSL*</v>
      </c>
      <c r="F164" s="109"/>
      <c r="G164" s="109" t="str">
        <f t="shared" si="13"/>
        <v>TS</v>
      </c>
      <c r="H164" s="109" t="str">
        <f t="shared" si="11"/>
        <v>TS</v>
      </c>
      <c r="I164" s="109"/>
      <c r="J164" s="109">
        <v>2035</v>
      </c>
      <c r="K164" s="109" t="s">
        <v>17</v>
      </c>
      <c r="L164" s="109">
        <v>1</v>
      </c>
      <c r="M164" s="40">
        <f>ConstrData!M27</f>
        <v>-0.64467420665081165</v>
      </c>
      <c r="N164" s="109">
        <v>0</v>
      </c>
      <c r="O164" s="14">
        <v>5</v>
      </c>
      <c r="P164" s="42" t="str">
        <f t="shared" si="14"/>
        <v>Transportation Shipping - DSL</v>
      </c>
    </row>
    <row r="165" spans="3:16" s="2" customFormat="1" x14ac:dyDescent="0.2">
      <c r="C165" s="2" t="s">
        <v>132</v>
      </c>
      <c r="E165" s="109" t="str">
        <f t="shared" si="12"/>
        <v>TSDSL*</v>
      </c>
      <c r="F165" s="109"/>
      <c r="G165" s="109" t="str">
        <f t="shared" si="13"/>
        <v>TS</v>
      </c>
      <c r="H165" s="109" t="str">
        <f t="shared" si="11"/>
        <v>TS</v>
      </c>
      <c r="I165" s="109"/>
      <c r="J165" s="109">
        <v>2040</v>
      </c>
      <c r="K165" s="109" t="s">
        <v>17</v>
      </c>
      <c r="L165" s="109">
        <v>1</v>
      </c>
      <c r="M165" s="40">
        <f>ConstrData!N27</f>
        <v>-0.64338485823751002</v>
      </c>
      <c r="N165" s="109">
        <v>0</v>
      </c>
      <c r="O165" s="14">
        <v>5</v>
      </c>
      <c r="P165" s="42" t="str">
        <f t="shared" si="14"/>
        <v>Transportation Shipping - DSL</v>
      </c>
    </row>
    <row r="166" spans="3:16" s="2" customFormat="1" x14ac:dyDescent="0.2">
      <c r="C166" s="2" t="s">
        <v>132</v>
      </c>
      <c r="E166" s="109" t="str">
        <f t="shared" si="12"/>
        <v>TSDSL*</v>
      </c>
      <c r="F166" s="109"/>
      <c r="G166" s="109" t="str">
        <f t="shared" si="13"/>
        <v>TS</v>
      </c>
      <c r="H166" s="109" t="str">
        <f t="shared" si="11"/>
        <v>TS</v>
      </c>
      <c r="I166" s="109"/>
      <c r="J166" s="109">
        <v>2045</v>
      </c>
      <c r="K166" s="109" t="s">
        <v>17</v>
      </c>
      <c r="L166" s="109">
        <v>1</v>
      </c>
      <c r="M166" s="40">
        <f>ConstrData!O27</f>
        <v>-0.642098088521035</v>
      </c>
      <c r="N166" s="109">
        <v>0</v>
      </c>
      <c r="O166" s="14">
        <v>5</v>
      </c>
      <c r="P166" s="42" t="str">
        <f t="shared" si="14"/>
        <v>Transportation Shipping - DSL</v>
      </c>
    </row>
    <row r="167" spans="3:16" s="2" customFormat="1" x14ac:dyDescent="0.2">
      <c r="C167" s="2" t="s">
        <v>132</v>
      </c>
      <c r="E167" s="109" t="str">
        <f t="shared" si="12"/>
        <v>TSDSL*</v>
      </c>
      <c r="F167" s="109"/>
      <c r="G167" s="109" t="str">
        <f t="shared" si="13"/>
        <v>TS</v>
      </c>
      <c r="H167" s="109" t="str">
        <f t="shared" si="11"/>
        <v>TS</v>
      </c>
      <c r="I167" s="109"/>
      <c r="J167" s="109">
        <v>2050</v>
      </c>
      <c r="K167" s="109" t="s">
        <v>17</v>
      </c>
      <c r="L167" s="109">
        <v>1</v>
      </c>
      <c r="M167" s="40">
        <f>ConstrData!P27</f>
        <v>-0.64081389234399289</v>
      </c>
      <c r="N167" s="109">
        <v>0</v>
      </c>
      <c r="O167" s="14">
        <v>5</v>
      </c>
      <c r="P167" s="42" t="str">
        <f t="shared" si="14"/>
        <v>Transportation Shipping - DSL</v>
      </c>
    </row>
    <row r="168" spans="3:16" s="2" customFormat="1" x14ac:dyDescent="0.2">
      <c r="C168" s="2" t="s">
        <v>132</v>
      </c>
      <c r="E168" s="109" t="str">
        <f t="shared" si="12"/>
        <v>TSDSL*</v>
      </c>
      <c r="F168" s="109"/>
      <c r="G168" s="109" t="str">
        <f t="shared" si="13"/>
        <v>TS</v>
      </c>
      <c r="H168" s="109" t="str">
        <f t="shared" si="11"/>
        <v>TS</v>
      </c>
      <c r="I168" s="109"/>
      <c r="J168" s="109">
        <v>2055</v>
      </c>
      <c r="K168" s="109" t="s">
        <v>17</v>
      </c>
      <c r="L168" s="109">
        <v>1</v>
      </c>
      <c r="M168" s="40">
        <f>ConstrData!Q27</f>
        <v>-0.6395322645593049</v>
      </c>
      <c r="N168" s="109">
        <v>0</v>
      </c>
      <c r="O168" s="14">
        <v>5</v>
      </c>
      <c r="P168" s="42" t="str">
        <f t="shared" si="14"/>
        <v>Transportation Shipping - DSL</v>
      </c>
    </row>
    <row r="169" spans="3:16" s="2" customFormat="1" x14ac:dyDescent="0.2">
      <c r="C169" s="2" t="s">
        <v>135</v>
      </c>
      <c r="E169" s="109" t="s">
        <v>136</v>
      </c>
      <c r="F169" s="109"/>
      <c r="G169" s="109" t="s">
        <v>133</v>
      </c>
      <c r="H169" s="109" t="str">
        <f>G$160</f>
        <v>TS</v>
      </c>
      <c r="I169" s="109"/>
      <c r="J169" s="109">
        <v>2015</v>
      </c>
      <c r="K169" s="109" t="s">
        <v>17</v>
      </c>
      <c r="L169" s="109">
        <v>1</v>
      </c>
      <c r="M169" s="40">
        <f>ConstrData!I29</f>
        <v>-0.34614650921766654</v>
      </c>
      <c r="N169" s="109">
        <v>0</v>
      </c>
      <c r="O169" s="14">
        <v>5</v>
      </c>
      <c r="P169" s="42" t="str">
        <f>ConstrData!C29</f>
        <v>Transportation Shipping - DSH</v>
      </c>
    </row>
    <row r="170" spans="3:16" s="2" customFormat="1" x14ac:dyDescent="0.2">
      <c r="C170" s="2" t="s">
        <v>135</v>
      </c>
      <c r="E170" s="109" t="str">
        <f>E$169</f>
        <v>TSDSH*</v>
      </c>
      <c r="F170" s="109"/>
      <c r="G170" s="109" t="str">
        <f>G$169</f>
        <v>TS</v>
      </c>
      <c r="H170" s="109" t="str">
        <f t="shared" si="11"/>
        <v>TS</v>
      </c>
      <c r="I170" s="109"/>
      <c r="J170" s="109">
        <v>2020</v>
      </c>
      <c r="K170" s="109" t="s">
        <v>17</v>
      </c>
      <c r="L170" s="109">
        <v>1</v>
      </c>
      <c r="M170" s="40">
        <f>ConstrData!J29</f>
        <v>-0.34545421619923122</v>
      </c>
      <c r="N170" s="109">
        <v>0</v>
      </c>
      <c r="O170" s="14">
        <v>5</v>
      </c>
      <c r="P170" s="42" t="str">
        <f>P169</f>
        <v>Transportation Shipping - DSH</v>
      </c>
    </row>
    <row r="171" spans="3:16" s="2" customFormat="1" x14ac:dyDescent="0.2">
      <c r="C171" s="2" t="s">
        <v>135</v>
      </c>
      <c r="E171" s="109" t="str">
        <f t="shared" ref="E171:E177" si="15">E$169</f>
        <v>TSDSH*</v>
      </c>
      <c r="F171" s="109"/>
      <c r="G171" s="109" t="str">
        <f t="shared" ref="G171:G177" si="16">G$169</f>
        <v>TS</v>
      </c>
      <c r="H171" s="109" t="str">
        <f t="shared" si="11"/>
        <v>TS</v>
      </c>
      <c r="I171" s="109"/>
      <c r="J171" s="109">
        <v>2025</v>
      </c>
      <c r="K171" s="109" t="s">
        <v>17</v>
      </c>
      <c r="L171" s="109">
        <v>1</v>
      </c>
      <c r="M171" s="40">
        <f>ConstrData!K29</f>
        <v>-0.34476330776683278</v>
      </c>
      <c r="N171" s="109">
        <v>0</v>
      </c>
      <c r="O171" s="14">
        <v>5</v>
      </c>
      <c r="P171" s="42" t="str">
        <f t="shared" ref="P171:P177" si="17">P170</f>
        <v>Transportation Shipping - DSH</v>
      </c>
    </row>
    <row r="172" spans="3:16" s="2" customFormat="1" x14ac:dyDescent="0.2">
      <c r="C172" s="2" t="s">
        <v>135</v>
      </c>
      <c r="E172" s="109" t="str">
        <f t="shared" si="15"/>
        <v>TSDSH*</v>
      </c>
      <c r="F172" s="109"/>
      <c r="G172" s="109" t="str">
        <f t="shared" si="16"/>
        <v>TS</v>
      </c>
      <c r="H172" s="109" t="str">
        <f t="shared" si="11"/>
        <v>TS</v>
      </c>
      <c r="I172" s="109"/>
      <c r="J172" s="109">
        <v>2030</v>
      </c>
      <c r="K172" s="109" t="s">
        <v>17</v>
      </c>
      <c r="L172" s="109">
        <v>1</v>
      </c>
      <c r="M172" s="40">
        <f>ConstrData!L29</f>
        <v>-0.34407378115129911</v>
      </c>
      <c r="N172" s="109">
        <v>0</v>
      </c>
      <c r="O172" s="14">
        <v>5</v>
      </c>
      <c r="P172" s="42" t="str">
        <f t="shared" si="17"/>
        <v>Transportation Shipping - DSH</v>
      </c>
    </row>
    <row r="173" spans="3:16" s="2" customFormat="1" x14ac:dyDescent="0.2">
      <c r="C173" s="2" t="s">
        <v>135</v>
      </c>
      <c r="E173" s="109" t="str">
        <f t="shared" si="15"/>
        <v>TSDSH*</v>
      </c>
      <c r="F173" s="109"/>
      <c r="G173" s="109" t="str">
        <f t="shared" si="16"/>
        <v>TS</v>
      </c>
      <c r="H173" s="109" t="str">
        <f t="shared" si="11"/>
        <v>TS</v>
      </c>
      <c r="I173" s="109"/>
      <c r="J173" s="109">
        <v>2035</v>
      </c>
      <c r="K173" s="109" t="s">
        <v>17</v>
      </c>
      <c r="L173" s="109">
        <v>1</v>
      </c>
      <c r="M173" s="40">
        <f>ConstrData!M29</f>
        <v>-0.34338563358899649</v>
      </c>
      <c r="N173" s="109">
        <v>0</v>
      </c>
      <c r="O173" s="14">
        <v>5</v>
      </c>
      <c r="P173" s="42" t="str">
        <f t="shared" si="17"/>
        <v>Transportation Shipping - DSH</v>
      </c>
    </row>
    <row r="174" spans="3:16" s="2" customFormat="1" x14ac:dyDescent="0.2">
      <c r="C174" s="2" t="s">
        <v>135</v>
      </c>
      <c r="E174" s="109" t="str">
        <f t="shared" si="15"/>
        <v>TSDSH*</v>
      </c>
      <c r="F174" s="109"/>
      <c r="G174" s="109" t="str">
        <f t="shared" si="16"/>
        <v>TS</v>
      </c>
      <c r="H174" s="109" t="str">
        <f t="shared" si="11"/>
        <v>TS</v>
      </c>
      <c r="I174" s="109"/>
      <c r="J174" s="109">
        <v>2040</v>
      </c>
      <c r="K174" s="109" t="s">
        <v>17</v>
      </c>
      <c r="L174" s="109">
        <v>1</v>
      </c>
      <c r="M174" s="40">
        <f>ConstrData!N29</f>
        <v>-0.34269886232181851</v>
      </c>
      <c r="N174" s="109">
        <v>0</v>
      </c>
      <c r="O174" s="14">
        <v>5</v>
      </c>
      <c r="P174" s="42" t="str">
        <f t="shared" si="17"/>
        <v>Transportation Shipping - DSH</v>
      </c>
    </row>
    <row r="175" spans="3:16" s="2" customFormat="1" x14ac:dyDescent="0.2">
      <c r="C175" s="2" t="s">
        <v>135</v>
      </c>
      <c r="E175" s="109" t="str">
        <f t="shared" si="15"/>
        <v>TSDSH*</v>
      </c>
      <c r="F175" s="109"/>
      <c r="G175" s="109" t="str">
        <f t="shared" si="16"/>
        <v>TS</v>
      </c>
      <c r="H175" s="109" t="str">
        <f t="shared" si="11"/>
        <v>TS</v>
      </c>
      <c r="I175" s="109"/>
      <c r="J175" s="109">
        <v>2045</v>
      </c>
      <c r="K175" s="109" t="s">
        <v>17</v>
      </c>
      <c r="L175" s="109">
        <v>1</v>
      </c>
      <c r="M175" s="40">
        <f>ConstrData!O29</f>
        <v>-0.34201346459717485</v>
      </c>
      <c r="N175" s="109">
        <v>0</v>
      </c>
      <c r="O175" s="14">
        <v>5</v>
      </c>
      <c r="P175" s="42" t="str">
        <f t="shared" si="17"/>
        <v>Transportation Shipping - DSH</v>
      </c>
    </row>
    <row r="176" spans="3:16" s="2" customFormat="1" x14ac:dyDescent="0.2">
      <c r="C176" s="2" t="s">
        <v>135</v>
      </c>
      <c r="E176" s="109" t="str">
        <f t="shared" si="15"/>
        <v>TSDSH*</v>
      </c>
      <c r="F176" s="109"/>
      <c r="G176" s="109" t="str">
        <f t="shared" si="16"/>
        <v>TS</v>
      </c>
      <c r="H176" s="109" t="str">
        <f t="shared" si="11"/>
        <v>TS</v>
      </c>
      <c r="I176" s="109"/>
      <c r="J176" s="109">
        <v>2050</v>
      </c>
      <c r="K176" s="109" t="s">
        <v>17</v>
      </c>
      <c r="L176" s="109">
        <v>1</v>
      </c>
      <c r="M176" s="40">
        <f>ConstrData!P29</f>
        <v>-0.34132943766798052</v>
      </c>
      <c r="N176" s="109">
        <v>0</v>
      </c>
      <c r="O176" s="14">
        <v>5</v>
      </c>
      <c r="P176" s="42" t="str">
        <f t="shared" si="17"/>
        <v>Transportation Shipping - DSH</v>
      </c>
    </row>
    <row r="177" spans="3:16" s="2" customFormat="1" x14ac:dyDescent="0.2">
      <c r="C177" s="2" t="s">
        <v>135</v>
      </c>
      <c r="E177" s="109" t="str">
        <f t="shared" si="15"/>
        <v>TSDSH*</v>
      </c>
      <c r="F177" s="109"/>
      <c r="G177" s="109" t="str">
        <f t="shared" si="16"/>
        <v>TS</v>
      </c>
      <c r="H177" s="109" t="str">
        <f t="shared" si="11"/>
        <v>TS</v>
      </c>
      <c r="I177" s="109"/>
      <c r="J177" s="109">
        <v>2055</v>
      </c>
      <c r="K177" s="109" t="s">
        <v>17</v>
      </c>
      <c r="L177" s="109">
        <v>1</v>
      </c>
      <c r="M177" s="40">
        <f>ConstrData!Q29</f>
        <v>-0.34064677879264454</v>
      </c>
      <c r="N177" s="109">
        <v>0</v>
      </c>
      <c r="O177" s="14">
        <v>5</v>
      </c>
      <c r="P177" s="42" t="str">
        <f t="shared" si="17"/>
        <v>Transportation Shipping - DSH</v>
      </c>
    </row>
    <row r="178" spans="3:16" x14ac:dyDescent="0.2">
      <c r="C178" s="2" t="s">
        <v>144</v>
      </c>
      <c r="D178" s="2"/>
      <c r="E178" s="109" t="s">
        <v>145</v>
      </c>
      <c r="G178" s="17" t="s">
        <v>146</v>
      </c>
      <c r="H178" s="17" t="str">
        <f>G$178</f>
        <v>TRF</v>
      </c>
      <c r="J178" s="17">
        <v>2015</v>
      </c>
      <c r="K178" s="109" t="s">
        <v>20</v>
      </c>
      <c r="L178" s="17">
        <v>1</v>
      </c>
      <c r="M178" s="4">
        <f>ConstrData!H41+(ConstrData!M41-ConstrData!H41)/5</f>
        <v>-0.03</v>
      </c>
      <c r="N178" s="17">
        <v>0</v>
      </c>
      <c r="O178" s="14">
        <v>5</v>
      </c>
      <c r="P178" s="18" t="str">
        <f>ConstrData!C41</f>
        <v>Transportation - Rail Freight B20</v>
      </c>
    </row>
    <row r="179" spans="3:16" x14ac:dyDescent="0.2">
      <c r="C179" s="2" t="s">
        <v>162</v>
      </c>
      <c r="D179" s="2"/>
      <c r="E179" s="109" t="s">
        <v>145</v>
      </c>
      <c r="G179" s="17" t="s">
        <v>146</v>
      </c>
      <c r="H179" s="17" t="str">
        <f>G$178</f>
        <v>TRF</v>
      </c>
      <c r="J179" s="17">
        <v>2035</v>
      </c>
      <c r="K179" s="109" t="s">
        <v>20</v>
      </c>
      <c r="L179" s="17">
        <v>1</v>
      </c>
      <c r="M179" s="4">
        <f>ConstrData!M41</f>
        <v>-0.15</v>
      </c>
      <c r="N179" s="17">
        <v>0</v>
      </c>
      <c r="O179" s="14">
        <v>5</v>
      </c>
      <c r="P179" s="18" t="str">
        <f>P178</f>
        <v>Transportation - Rail Freight B20</v>
      </c>
    </row>
    <row r="180" spans="3:16" x14ac:dyDescent="0.2">
      <c r="C180" s="2" t="s">
        <v>163</v>
      </c>
      <c r="D180" s="2"/>
      <c r="E180" s="109" t="s">
        <v>145</v>
      </c>
      <c r="G180" s="17" t="s">
        <v>146</v>
      </c>
      <c r="H180" s="17" t="str">
        <f>G$178</f>
        <v>TRF</v>
      </c>
      <c r="J180" s="17">
        <v>2055</v>
      </c>
      <c r="K180" s="109" t="s">
        <v>20</v>
      </c>
      <c r="L180" s="17">
        <v>1</v>
      </c>
      <c r="M180" s="4">
        <f>ConstrData!Q41</f>
        <v>-0.3</v>
      </c>
      <c r="N180" s="17">
        <v>0</v>
      </c>
      <c r="O180" s="14">
        <v>5</v>
      </c>
      <c r="P180" s="18" t="str">
        <f>P179</f>
        <v>Transportation - Rail Freight B20</v>
      </c>
    </row>
    <row r="181" spans="3:16" x14ac:dyDescent="0.2">
      <c r="C181" s="2"/>
      <c r="D181" s="2"/>
      <c r="E181" s="109"/>
      <c r="F181" s="109"/>
      <c r="K181" s="109"/>
      <c r="M181" s="95"/>
      <c r="O181" s="14"/>
      <c r="P181" s="18"/>
    </row>
    <row r="182" spans="3:16" x14ac:dyDescent="0.2">
      <c r="C182" s="2"/>
      <c r="D182" s="2"/>
      <c r="E182" s="109"/>
      <c r="F182" s="109"/>
      <c r="K182" s="109"/>
      <c r="M182" s="95"/>
      <c r="P182" s="18"/>
    </row>
    <row r="183" spans="3:16" x14ac:dyDescent="0.2">
      <c r="C183" s="2"/>
      <c r="D183" s="2"/>
      <c r="E183" s="109"/>
      <c r="F183" s="109"/>
      <c r="K183" s="109"/>
      <c r="M183" s="95"/>
      <c r="P183" s="18"/>
    </row>
    <row r="184" spans="3:16" x14ac:dyDescent="0.2">
      <c r="C184" s="2"/>
      <c r="D184" s="2"/>
      <c r="E184" s="109"/>
      <c r="F184" s="109"/>
      <c r="K184" s="109"/>
      <c r="M184" s="95"/>
      <c r="P184" s="18"/>
    </row>
    <row r="185" spans="3:16" x14ac:dyDescent="0.2">
      <c r="C185" s="2"/>
      <c r="D185" s="2"/>
      <c r="E185" s="109"/>
      <c r="F185" s="109"/>
      <c r="K185" s="109"/>
      <c r="M185" s="95"/>
      <c r="P185" s="18"/>
    </row>
    <row r="186" spans="3:16" x14ac:dyDescent="0.2">
      <c r="C186" s="2"/>
      <c r="D186" s="2"/>
      <c r="E186" s="109"/>
      <c r="F186" s="109"/>
      <c r="K186" s="109"/>
      <c r="M186" s="95"/>
      <c r="P186" s="18"/>
    </row>
    <row r="187" spans="3:16" x14ac:dyDescent="0.2">
      <c r="C187" s="2"/>
      <c r="D187" s="2"/>
      <c r="E187" s="109"/>
      <c r="F187" s="109"/>
      <c r="K187" s="109"/>
      <c r="M187" s="95"/>
      <c r="P187" s="18"/>
    </row>
    <row r="188" spans="3:16" x14ac:dyDescent="0.2">
      <c r="C188" s="2"/>
      <c r="D188" s="2"/>
      <c r="E188" s="109"/>
      <c r="F188" s="109"/>
      <c r="K188" s="109"/>
      <c r="M188" s="95"/>
      <c r="P188" s="18"/>
    </row>
    <row r="189" spans="3:16" x14ac:dyDescent="0.2">
      <c r="C189" s="2"/>
      <c r="D189" s="2"/>
      <c r="E189" s="109"/>
      <c r="K189" s="109"/>
      <c r="M189" s="4"/>
      <c r="P189" s="18"/>
    </row>
    <row r="190" spans="3:16" x14ac:dyDescent="0.2">
      <c r="C190" s="2"/>
      <c r="D190" s="2"/>
      <c r="E190" s="109"/>
      <c r="K190" s="109"/>
      <c r="M190" s="4"/>
      <c r="P190" s="18"/>
    </row>
    <row r="191" spans="3:16" x14ac:dyDescent="0.2">
      <c r="C191" s="2"/>
      <c r="D191" s="2"/>
      <c r="E191" s="109"/>
      <c r="K191" s="109"/>
      <c r="M191" s="4"/>
      <c r="P191" s="18"/>
    </row>
    <row r="192" spans="3:16" x14ac:dyDescent="0.2">
      <c r="C192" s="2"/>
      <c r="D192" s="2"/>
      <c r="E192" s="109"/>
      <c r="F192" s="109"/>
      <c r="K192" s="109"/>
      <c r="M192" s="4"/>
      <c r="P192" s="18"/>
    </row>
    <row r="193" spans="3:16" x14ac:dyDescent="0.2">
      <c r="C193" s="2"/>
      <c r="D193" s="2"/>
      <c r="E193" s="109"/>
      <c r="F193" s="109"/>
      <c r="K193" s="109"/>
      <c r="M193" s="4"/>
      <c r="P193" s="18"/>
    </row>
    <row r="194" spans="3:16" x14ac:dyDescent="0.2">
      <c r="C194" s="2"/>
      <c r="D194" s="2"/>
      <c r="E194" s="109"/>
      <c r="F194" s="109"/>
      <c r="K194" s="109"/>
      <c r="M194" s="4"/>
      <c r="P194" s="18"/>
    </row>
    <row r="195" spans="3:16" x14ac:dyDescent="0.2">
      <c r="C195" s="2"/>
      <c r="D195" s="2"/>
      <c r="E195" s="109"/>
      <c r="F195" s="109"/>
      <c r="K195" s="109"/>
      <c r="M195" s="4"/>
      <c r="P195" s="18"/>
    </row>
    <row r="196" spans="3:16" x14ac:dyDescent="0.2">
      <c r="C196" s="2"/>
      <c r="D196" s="2"/>
      <c r="E196" s="109"/>
      <c r="F196" s="109"/>
      <c r="K196" s="109"/>
      <c r="M196" s="4"/>
      <c r="P196" s="18"/>
    </row>
    <row r="197" spans="3:16" x14ac:dyDescent="0.2">
      <c r="C197" s="2"/>
      <c r="D197" s="2"/>
      <c r="E197" s="109"/>
      <c r="F197" s="109"/>
      <c r="K197" s="109"/>
      <c r="M197" s="4"/>
      <c r="P197" s="18"/>
    </row>
    <row r="198" spans="3:16" x14ac:dyDescent="0.2">
      <c r="C198" s="2"/>
      <c r="D198" s="2"/>
      <c r="E198" s="109"/>
      <c r="F198" s="109"/>
      <c r="K198" s="109"/>
      <c r="M198" s="4"/>
      <c r="P198" s="18"/>
    </row>
    <row r="199" spans="3:16" x14ac:dyDescent="0.2">
      <c r="C199" s="2"/>
      <c r="D199" s="2"/>
      <c r="E199" s="109"/>
      <c r="F199" s="109"/>
      <c r="K199" s="109"/>
      <c r="M199" s="4"/>
      <c r="P199" s="18"/>
    </row>
    <row r="200" spans="3:16" x14ac:dyDescent="0.2">
      <c r="C200" s="2"/>
      <c r="D200" s="2"/>
      <c r="E200" s="109"/>
      <c r="F200" s="109"/>
      <c r="K200" s="109"/>
      <c r="M200" s="4"/>
      <c r="P200" s="18"/>
    </row>
    <row r="201" spans="3:16" x14ac:dyDescent="0.2">
      <c r="C201" s="2"/>
      <c r="D201" s="2"/>
      <c r="E201" s="109"/>
      <c r="M201" s="4"/>
    </row>
    <row r="202" spans="3:16" x14ac:dyDescent="0.2">
      <c r="C202" s="2"/>
      <c r="D202" s="2"/>
      <c r="E202" s="111"/>
      <c r="K202" s="109"/>
      <c r="M202" s="4"/>
    </row>
    <row r="203" spans="3:16" x14ac:dyDescent="0.2">
      <c r="C203" s="2"/>
      <c r="D203" s="2"/>
      <c r="E203" s="112"/>
      <c r="K203" s="109"/>
      <c r="M203" s="4"/>
    </row>
    <row r="204" spans="3:16" x14ac:dyDescent="0.2">
      <c r="C204" s="2"/>
      <c r="D204" s="2"/>
      <c r="E204" s="112"/>
      <c r="M204" s="4"/>
    </row>
    <row r="205" spans="3:16" x14ac:dyDescent="0.2">
      <c r="C205" s="2"/>
      <c r="D205" s="2"/>
      <c r="E205" s="112"/>
      <c r="K205" s="109"/>
      <c r="M205" s="4"/>
    </row>
    <row r="206" spans="3:16" x14ac:dyDescent="0.2">
      <c r="C206" s="2"/>
      <c r="D206" s="2"/>
      <c r="E206" s="112"/>
      <c r="K206" s="109"/>
      <c r="M206" s="4"/>
    </row>
    <row r="207" spans="3:16" x14ac:dyDescent="0.2">
      <c r="C207" s="2"/>
      <c r="D207" s="2"/>
      <c r="E207" s="112"/>
      <c r="K207" s="109"/>
      <c r="M207" s="4"/>
    </row>
    <row r="208" spans="3:16" x14ac:dyDescent="0.2">
      <c r="C208" s="2"/>
      <c r="D208" s="2"/>
      <c r="E208" s="112"/>
      <c r="K208" s="109"/>
      <c r="M208" s="4"/>
    </row>
    <row r="209" spans="3:13" x14ac:dyDescent="0.2">
      <c r="C209" s="2"/>
      <c r="D209" s="2"/>
      <c r="E209" s="109"/>
      <c r="K209" s="109"/>
      <c r="M209" s="4"/>
    </row>
    <row r="210" spans="3:13" x14ac:dyDescent="0.2">
      <c r="C210" s="2"/>
      <c r="D210" s="2"/>
      <c r="E210" s="109"/>
      <c r="M210" s="4"/>
    </row>
    <row r="211" spans="3:13" x14ac:dyDescent="0.2">
      <c r="C211" s="2"/>
      <c r="D211" s="2"/>
      <c r="E211" s="109"/>
      <c r="K211" s="109"/>
      <c r="M211" s="4"/>
    </row>
    <row r="212" spans="3:13" x14ac:dyDescent="0.2">
      <c r="C212" s="2"/>
      <c r="D212" s="2"/>
      <c r="E212" s="109"/>
      <c r="K212" s="109"/>
      <c r="M212" s="4"/>
    </row>
    <row r="213" spans="3:13" x14ac:dyDescent="0.2">
      <c r="C213" s="2"/>
      <c r="D213" s="2"/>
      <c r="E213" s="109"/>
      <c r="K213" s="109"/>
      <c r="M213" s="4"/>
    </row>
    <row r="214" spans="3:13" x14ac:dyDescent="0.2">
      <c r="C214" s="2"/>
      <c r="D214" s="2"/>
      <c r="E214" s="109"/>
      <c r="K214" s="109"/>
      <c r="M214" s="4"/>
    </row>
    <row r="215" spans="3:13" x14ac:dyDescent="0.2">
      <c r="C215" s="2"/>
      <c r="D215" s="2"/>
      <c r="E215" s="109"/>
      <c r="K215" s="109"/>
      <c r="M215" s="4"/>
    </row>
    <row r="216" spans="3:13" x14ac:dyDescent="0.2">
      <c r="C216" s="2"/>
      <c r="D216" s="2"/>
      <c r="E216" s="109"/>
      <c r="M216" s="4"/>
    </row>
    <row r="217" spans="3:13" x14ac:dyDescent="0.2">
      <c r="C217" s="2"/>
      <c r="D217" s="2"/>
      <c r="E217" s="109"/>
      <c r="K217" s="109"/>
      <c r="M217" s="4"/>
    </row>
    <row r="218" spans="3:13" x14ac:dyDescent="0.2">
      <c r="C218" s="2"/>
      <c r="D218" s="2"/>
      <c r="E218" s="109"/>
      <c r="K218" s="109"/>
      <c r="M218" s="4"/>
    </row>
    <row r="219" spans="3:13" x14ac:dyDescent="0.2">
      <c r="C219" s="2"/>
      <c r="D219" s="2"/>
      <c r="E219" s="109"/>
      <c r="K219" s="109"/>
      <c r="M219" s="4"/>
    </row>
    <row r="220" spans="3:13" x14ac:dyDescent="0.2">
      <c r="C220" s="2"/>
      <c r="D220" s="2"/>
      <c r="E220" s="109"/>
      <c r="K220" s="109"/>
      <c r="M220" s="4"/>
    </row>
    <row r="221" spans="3:13" x14ac:dyDescent="0.2">
      <c r="C221" s="2"/>
      <c r="D221" s="2"/>
      <c r="E221" s="109"/>
      <c r="K221" s="109"/>
      <c r="M221" s="4"/>
    </row>
    <row r="222" spans="3:13" x14ac:dyDescent="0.2">
      <c r="C222" s="2"/>
      <c r="D222" s="2"/>
      <c r="E222" s="109"/>
      <c r="M222" s="4"/>
    </row>
    <row r="223" spans="3:13" x14ac:dyDescent="0.2">
      <c r="C223" s="2"/>
      <c r="D223" s="2"/>
      <c r="E223" s="109"/>
      <c r="K223" s="109"/>
      <c r="M223" s="4"/>
    </row>
    <row r="224" spans="3:13" x14ac:dyDescent="0.2">
      <c r="C224" s="2"/>
      <c r="D224" s="2"/>
      <c r="E224" s="109"/>
      <c r="K224" s="109"/>
      <c r="M224" s="4"/>
    </row>
    <row r="225" spans="3:17" x14ac:dyDescent="0.2">
      <c r="C225" s="2"/>
      <c r="D225" s="2"/>
      <c r="E225" s="109"/>
      <c r="K225" s="109"/>
      <c r="M225" s="4"/>
    </row>
    <row r="226" spans="3:17" x14ac:dyDescent="0.2">
      <c r="C226" s="2"/>
      <c r="D226" s="2"/>
      <c r="E226" s="109"/>
      <c r="K226" s="109"/>
      <c r="M226" s="4"/>
    </row>
    <row r="227" spans="3:17" x14ac:dyDescent="0.2">
      <c r="C227" s="2"/>
      <c r="D227" s="2"/>
      <c r="E227" s="109"/>
      <c r="K227" s="109"/>
      <c r="M227" s="4"/>
    </row>
    <row r="228" spans="3:17" x14ac:dyDescent="0.2">
      <c r="C228" s="2"/>
      <c r="D228" s="2"/>
      <c r="E228" s="109"/>
      <c r="M228" s="4"/>
    </row>
    <row r="229" spans="3:17" x14ac:dyDescent="0.2">
      <c r="C229" s="2"/>
      <c r="D229" s="2"/>
      <c r="E229" s="109"/>
      <c r="F229" s="109"/>
      <c r="K229" s="109"/>
      <c r="M229" s="4"/>
      <c r="P229" s="18"/>
      <c r="Q229" s="18"/>
    </row>
    <row r="230" spans="3:17" x14ac:dyDescent="0.2">
      <c r="C230" s="2"/>
      <c r="D230" s="2"/>
      <c r="E230" s="109"/>
      <c r="F230" s="109"/>
      <c r="K230" s="109"/>
      <c r="M230" s="4"/>
    </row>
    <row r="231" spans="3:17" x14ac:dyDescent="0.2">
      <c r="C231" s="2"/>
      <c r="D231" s="2"/>
      <c r="E231" s="109"/>
      <c r="F231" s="109"/>
      <c r="K231" s="109"/>
      <c r="M231" s="4"/>
    </row>
    <row r="232" spans="3:17" x14ac:dyDescent="0.2">
      <c r="C232" s="2"/>
      <c r="D232" s="2"/>
      <c r="E232" s="109"/>
      <c r="F232" s="109"/>
      <c r="K232" s="109"/>
      <c r="M232" s="4"/>
    </row>
    <row r="233" spans="3:17" x14ac:dyDescent="0.2">
      <c r="C233" s="2"/>
      <c r="D233" s="2"/>
      <c r="E233" s="109"/>
      <c r="F233" s="109"/>
      <c r="K233" s="109"/>
      <c r="M233" s="4"/>
    </row>
    <row r="234" spans="3:17" x14ac:dyDescent="0.2">
      <c r="C234" s="2"/>
      <c r="D234" s="2"/>
      <c r="E234" s="109"/>
      <c r="M234" s="4"/>
    </row>
    <row r="235" spans="3:17" x14ac:dyDescent="0.2">
      <c r="C235" s="2"/>
      <c r="D235" s="2"/>
      <c r="E235" s="109"/>
      <c r="K235" s="109"/>
      <c r="M235" s="4"/>
    </row>
    <row r="236" spans="3:17" x14ac:dyDescent="0.2">
      <c r="C236" s="2"/>
      <c r="D236" s="2"/>
      <c r="E236" s="109"/>
      <c r="K236" s="109"/>
      <c r="M236" s="4"/>
    </row>
    <row r="237" spans="3:17" x14ac:dyDescent="0.2">
      <c r="C237" s="2"/>
      <c r="D237" s="2"/>
      <c r="E237" s="109"/>
      <c r="K237" s="109"/>
      <c r="M237" s="4"/>
    </row>
    <row r="238" spans="3:17" x14ac:dyDescent="0.2">
      <c r="C238" s="2"/>
      <c r="D238" s="2"/>
      <c r="E238" s="109"/>
      <c r="K238" s="109"/>
      <c r="M238" s="4"/>
    </row>
    <row r="239" spans="3:17" x14ac:dyDescent="0.2">
      <c r="C239" s="2"/>
      <c r="D239" s="2"/>
      <c r="E239" s="109"/>
      <c r="K239" s="109"/>
      <c r="M239" s="4"/>
    </row>
    <row r="240" spans="3:17" x14ac:dyDescent="0.2">
      <c r="C240" s="2"/>
      <c r="D240" s="2"/>
      <c r="E240" s="109"/>
      <c r="M240" s="4"/>
    </row>
    <row r="241" spans="3:13" x14ac:dyDescent="0.2">
      <c r="C241" s="2"/>
      <c r="D241" s="2"/>
      <c r="E241" s="109"/>
      <c r="K241" s="109"/>
      <c r="M241" s="4"/>
    </row>
    <row r="242" spans="3:13" x14ac:dyDescent="0.2">
      <c r="C242" s="2"/>
      <c r="D242" s="2"/>
      <c r="E242" s="109"/>
      <c r="K242" s="109"/>
      <c r="M242" s="4"/>
    </row>
    <row r="243" spans="3:13" x14ac:dyDescent="0.2">
      <c r="C243" s="2"/>
      <c r="D243" s="2"/>
      <c r="E243" s="109"/>
      <c r="K243" s="109"/>
      <c r="M243" s="4"/>
    </row>
    <row r="244" spans="3:13" x14ac:dyDescent="0.2">
      <c r="C244" s="2"/>
      <c r="D244" s="2"/>
      <c r="E244" s="109"/>
      <c r="K244" s="109"/>
      <c r="M244" s="4"/>
    </row>
    <row r="245" spans="3:13" x14ac:dyDescent="0.2">
      <c r="C245" s="2"/>
      <c r="D245" s="2"/>
      <c r="E245" s="109"/>
      <c r="K245" s="109"/>
      <c r="M245" s="4"/>
    </row>
    <row r="246" spans="3:13" x14ac:dyDescent="0.2">
      <c r="C246" s="2"/>
      <c r="D246" s="2"/>
      <c r="E246" s="109"/>
      <c r="M246" s="4"/>
    </row>
    <row r="247" spans="3:13" x14ac:dyDescent="0.2">
      <c r="C247" s="2"/>
      <c r="D247" s="2"/>
      <c r="E247" s="109"/>
      <c r="K247" s="109"/>
      <c r="M247" s="4"/>
    </row>
    <row r="248" spans="3:13" x14ac:dyDescent="0.2">
      <c r="C248" s="2"/>
      <c r="D248" s="2"/>
      <c r="E248" s="109"/>
      <c r="K248" s="109"/>
      <c r="M248" s="4"/>
    </row>
    <row r="249" spans="3:13" x14ac:dyDescent="0.2">
      <c r="C249" s="2"/>
      <c r="D249" s="2"/>
      <c r="E249" s="109"/>
      <c r="K249" s="109"/>
      <c r="M249" s="4"/>
    </row>
    <row r="250" spans="3:13" x14ac:dyDescent="0.2">
      <c r="C250" s="2"/>
      <c r="D250" s="2"/>
      <c r="E250" s="109"/>
      <c r="K250" s="109"/>
      <c r="M250" s="4"/>
    </row>
    <row r="251" spans="3:13" x14ac:dyDescent="0.2">
      <c r="C251" s="2"/>
      <c r="D251" s="2"/>
      <c r="E251" s="109"/>
      <c r="K251" s="109"/>
      <c r="M251" s="4"/>
    </row>
    <row r="252" spans="3:13" x14ac:dyDescent="0.2">
      <c r="C252" s="2"/>
      <c r="D252" s="2"/>
      <c r="E252" s="109"/>
      <c r="M252" s="4"/>
    </row>
    <row r="253" spans="3:13" x14ac:dyDescent="0.2">
      <c r="C253" s="2"/>
      <c r="D253" s="2"/>
      <c r="E253" s="109"/>
      <c r="K253" s="109"/>
      <c r="M253" s="4"/>
    </row>
    <row r="254" spans="3:13" x14ac:dyDescent="0.2">
      <c r="C254" s="2"/>
      <c r="D254" s="2"/>
      <c r="E254" s="109"/>
      <c r="K254" s="109"/>
      <c r="M254" s="4"/>
    </row>
    <row r="255" spans="3:13" x14ac:dyDescent="0.2">
      <c r="C255" s="2"/>
      <c r="D255" s="2"/>
      <c r="E255" s="109"/>
      <c r="K255" s="109"/>
      <c r="M255" s="4"/>
    </row>
    <row r="256" spans="3:13" x14ac:dyDescent="0.2">
      <c r="C256" s="2"/>
      <c r="D256" s="2"/>
      <c r="E256" s="109"/>
      <c r="K256" s="109"/>
      <c r="M256" s="4"/>
    </row>
    <row r="257" spans="3:13" x14ac:dyDescent="0.2">
      <c r="C257" s="2"/>
      <c r="D257" s="2"/>
      <c r="E257" s="109"/>
      <c r="K257" s="109"/>
      <c r="M257" s="4"/>
    </row>
    <row r="258" spans="3:13" x14ac:dyDescent="0.2">
      <c r="C258" s="2"/>
      <c r="D258" s="2"/>
      <c r="E258" s="109"/>
      <c r="M258" s="4"/>
    </row>
    <row r="259" spans="3:13" x14ac:dyDescent="0.2">
      <c r="C259" s="2"/>
      <c r="D259" s="2"/>
      <c r="E259" s="109"/>
      <c r="K259" s="109"/>
      <c r="M259" s="4"/>
    </row>
    <row r="260" spans="3:13" x14ac:dyDescent="0.2">
      <c r="C260" s="2"/>
      <c r="D260" s="2"/>
      <c r="E260" s="109"/>
      <c r="K260" s="109"/>
      <c r="M260" s="4"/>
    </row>
    <row r="261" spans="3:13" x14ac:dyDescent="0.2">
      <c r="C261" s="2"/>
      <c r="D261" s="2"/>
      <c r="E261" s="109"/>
      <c r="K261" s="109"/>
      <c r="M261" s="4"/>
    </row>
    <row r="262" spans="3:13" x14ac:dyDescent="0.2">
      <c r="C262" s="2"/>
      <c r="D262" s="2"/>
      <c r="E262" s="109"/>
      <c r="K262" s="109"/>
      <c r="M262" s="4"/>
    </row>
    <row r="263" spans="3:13" x14ac:dyDescent="0.2">
      <c r="C263" s="2"/>
      <c r="D263" s="2"/>
      <c r="E263" s="109"/>
      <c r="K263" s="109"/>
      <c r="M263" s="4"/>
    </row>
    <row r="264" spans="3:13" x14ac:dyDescent="0.2">
      <c r="C264" s="2"/>
      <c r="D264" s="2"/>
      <c r="E264" s="109"/>
      <c r="M264" s="4"/>
    </row>
    <row r="265" spans="3:13" x14ac:dyDescent="0.2">
      <c r="C265" s="2"/>
      <c r="D265" s="2"/>
      <c r="E265" s="109"/>
      <c r="K265" s="109"/>
      <c r="M265" s="4"/>
    </row>
    <row r="266" spans="3:13" x14ac:dyDescent="0.2">
      <c r="C266" s="2"/>
      <c r="D266" s="2"/>
      <c r="E266" s="109"/>
      <c r="K266" s="109"/>
      <c r="M266" s="4"/>
    </row>
    <row r="267" spans="3:13" x14ac:dyDescent="0.2">
      <c r="C267" s="2"/>
      <c r="D267" s="2"/>
      <c r="E267" s="109"/>
      <c r="K267" s="109"/>
      <c r="M267" s="4"/>
    </row>
    <row r="268" spans="3:13" x14ac:dyDescent="0.2">
      <c r="C268" s="2"/>
      <c r="D268" s="2"/>
      <c r="E268" s="109"/>
      <c r="K268" s="109"/>
      <c r="M268" s="4"/>
    </row>
    <row r="269" spans="3:13" x14ac:dyDescent="0.2">
      <c r="C269" s="2"/>
      <c r="D269" s="2"/>
      <c r="E269" s="109"/>
      <c r="K269" s="109"/>
      <c r="M269" s="4"/>
    </row>
    <row r="270" spans="3:13" x14ac:dyDescent="0.2">
      <c r="C270" s="2"/>
      <c r="D270" s="2"/>
      <c r="E270" s="109"/>
      <c r="M270" s="4"/>
    </row>
    <row r="271" spans="3:13" x14ac:dyDescent="0.2">
      <c r="C271" s="2"/>
      <c r="D271" s="2"/>
      <c r="E271" s="109"/>
      <c r="K271" s="109"/>
      <c r="M271" s="4"/>
    </row>
    <row r="272" spans="3:13" x14ac:dyDescent="0.2">
      <c r="C272" s="2"/>
      <c r="D272" s="2"/>
      <c r="E272" s="109"/>
      <c r="K272" s="109"/>
      <c r="M272" s="4"/>
    </row>
    <row r="273" spans="3:17" x14ac:dyDescent="0.2">
      <c r="C273" s="2"/>
      <c r="D273" s="2"/>
      <c r="E273" s="109"/>
      <c r="K273" s="109"/>
      <c r="M273" s="4"/>
    </row>
    <row r="274" spans="3:17" x14ac:dyDescent="0.2">
      <c r="C274" s="2"/>
      <c r="D274" s="2"/>
      <c r="E274" s="109"/>
      <c r="K274" s="109"/>
      <c r="M274" s="4"/>
    </row>
    <row r="275" spans="3:17" x14ac:dyDescent="0.2">
      <c r="C275" s="2"/>
      <c r="D275" s="2"/>
      <c r="E275" s="109"/>
      <c r="K275" s="109"/>
      <c r="M275" s="4"/>
    </row>
    <row r="276" spans="3:17" x14ac:dyDescent="0.2">
      <c r="C276" s="2"/>
      <c r="D276" s="2"/>
      <c r="E276" s="109"/>
      <c r="M276" s="4"/>
    </row>
    <row r="277" spans="3:17" x14ac:dyDescent="0.2">
      <c r="C277" s="2"/>
      <c r="D277" s="2"/>
      <c r="E277" s="109"/>
      <c r="K277" s="109"/>
      <c r="M277" s="4"/>
    </row>
    <row r="278" spans="3:17" x14ac:dyDescent="0.2">
      <c r="C278" s="2"/>
      <c r="D278" s="2"/>
      <c r="E278" s="109"/>
      <c r="K278" s="109"/>
      <c r="M278" s="4"/>
    </row>
    <row r="279" spans="3:17" x14ac:dyDescent="0.2">
      <c r="C279" s="2"/>
      <c r="D279" s="2"/>
      <c r="E279" s="109"/>
      <c r="K279" s="109"/>
      <c r="M279" s="4"/>
    </row>
    <row r="280" spans="3:17" x14ac:dyDescent="0.2">
      <c r="C280" s="2"/>
      <c r="D280" s="2"/>
      <c r="E280" s="109"/>
      <c r="K280" s="109"/>
      <c r="M280" s="4"/>
    </row>
    <row r="281" spans="3:17" x14ac:dyDescent="0.2">
      <c r="C281" s="2"/>
      <c r="D281" s="2"/>
      <c r="E281" s="109"/>
      <c r="K281" s="109"/>
      <c r="M281" s="4"/>
    </row>
    <row r="282" spans="3:17" x14ac:dyDescent="0.2">
      <c r="C282" s="2"/>
      <c r="D282" s="2"/>
      <c r="E282" s="109"/>
      <c r="M282" s="4"/>
    </row>
    <row r="283" spans="3:17" x14ac:dyDescent="0.2">
      <c r="C283" s="2"/>
      <c r="D283" s="2"/>
      <c r="E283" s="109"/>
      <c r="F283" s="109"/>
      <c r="K283" s="109"/>
      <c r="M283" s="4"/>
      <c r="P283" s="18"/>
      <c r="Q283" s="18"/>
    </row>
    <row r="284" spans="3:17" x14ac:dyDescent="0.2">
      <c r="C284" s="2"/>
      <c r="D284" s="2"/>
      <c r="E284" s="109"/>
      <c r="F284" s="109"/>
      <c r="K284" s="109"/>
      <c r="M284" s="4"/>
      <c r="P284" s="18"/>
      <c r="Q284" s="18"/>
    </row>
    <row r="285" spans="3:17" x14ac:dyDescent="0.2">
      <c r="C285" s="2"/>
      <c r="D285" s="2"/>
      <c r="E285" s="109"/>
      <c r="F285" s="109"/>
      <c r="K285" s="109"/>
      <c r="M285" s="4"/>
      <c r="P285" s="18"/>
      <c r="Q285" s="18"/>
    </row>
    <row r="286" spans="3:17" x14ac:dyDescent="0.2">
      <c r="C286" s="2"/>
      <c r="D286" s="2"/>
      <c r="E286" s="109"/>
      <c r="F286" s="109"/>
      <c r="K286" s="109"/>
      <c r="M286" s="4"/>
      <c r="P286" s="18"/>
      <c r="Q286" s="18"/>
    </row>
    <row r="287" spans="3:17" x14ac:dyDescent="0.2">
      <c r="C287" s="2"/>
      <c r="D287" s="2"/>
      <c r="E287" s="109"/>
      <c r="F287" s="109"/>
      <c r="K287" s="109"/>
      <c r="M287" s="4"/>
      <c r="P287" s="18"/>
      <c r="Q287" s="18"/>
    </row>
    <row r="288" spans="3:17" x14ac:dyDescent="0.2">
      <c r="C288" s="2"/>
      <c r="D288" s="2"/>
      <c r="E288" s="109"/>
      <c r="M288" s="4"/>
    </row>
    <row r="289" spans="3:13" x14ac:dyDescent="0.2">
      <c r="C289" s="2"/>
      <c r="D289" s="2"/>
      <c r="E289" s="109"/>
      <c r="K289" s="109"/>
      <c r="M289" s="4"/>
    </row>
    <row r="290" spans="3:13" x14ac:dyDescent="0.2">
      <c r="C290" s="2"/>
      <c r="D290" s="2"/>
      <c r="E290" s="109"/>
      <c r="K290" s="109"/>
      <c r="M290" s="4"/>
    </row>
    <row r="291" spans="3:13" x14ac:dyDescent="0.2">
      <c r="C291" s="2"/>
      <c r="D291" s="2"/>
      <c r="E291" s="109"/>
      <c r="K291" s="109"/>
      <c r="M291" s="4"/>
    </row>
    <row r="292" spans="3:13" x14ac:dyDescent="0.2">
      <c r="C292" s="2"/>
      <c r="D292" s="2"/>
      <c r="E292" s="109"/>
      <c r="K292" s="109"/>
      <c r="M292" s="4"/>
    </row>
    <row r="293" spans="3:13" x14ac:dyDescent="0.2">
      <c r="C293" s="2"/>
      <c r="D293" s="2"/>
      <c r="E293" s="109"/>
      <c r="K293" s="109"/>
      <c r="M293" s="4"/>
    </row>
    <row r="294" spans="3:13" x14ac:dyDescent="0.2">
      <c r="C294" s="2"/>
      <c r="D294" s="2"/>
      <c r="E294" s="109"/>
      <c r="M294" s="4"/>
    </row>
    <row r="295" spans="3:13" x14ac:dyDescent="0.2">
      <c r="C295" s="2"/>
      <c r="D295" s="2"/>
      <c r="E295" s="109"/>
      <c r="K295" s="109"/>
      <c r="M295" s="4"/>
    </row>
    <row r="296" spans="3:13" x14ac:dyDescent="0.2">
      <c r="C296" s="2"/>
      <c r="D296" s="2"/>
      <c r="E296" s="109"/>
      <c r="K296" s="109"/>
      <c r="M296" s="4"/>
    </row>
    <row r="297" spans="3:13" x14ac:dyDescent="0.2">
      <c r="C297" s="2"/>
      <c r="D297" s="2"/>
      <c r="E297" s="109"/>
      <c r="K297" s="109"/>
      <c r="M297" s="4"/>
    </row>
    <row r="298" spans="3:13" x14ac:dyDescent="0.2">
      <c r="C298" s="2"/>
      <c r="D298" s="2"/>
      <c r="E298" s="109"/>
      <c r="K298" s="109"/>
      <c r="M298" s="4"/>
    </row>
    <row r="299" spans="3:13" x14ac:dyDescent="0.2">
      <c r="C299" s="2"/>
      <c r="D299" s="2"/>
      <c r="E299" s="109"/>
      <c r="K299" s="109"/>
      <c r="M299" s="4"/>
    </row>
    <row r="300" spans="3:13" x14ac:dyDescent="0.2">
      <c r="C300" s="2"/>
      <c r="D300" s="2"/>
      <c r="E300" s="109"/>
      <c r="M300" s="4"/>
    </row>
    <row r="301" spans="3:13" x14ac:dyDescent="0.2">
      <c r="C301" s="2"/>
      <c r="D301" s="2"/>
      <c r="E301" s="109"/>
      <c r="K301" s="109"/>
      <c r="M301" s="4"/>
    </row>
    <row r="302" spans="3:13" x14ac:dyDescent="0.2">
      <c r="C302" s="2"/>
      <c r="D302" s="2"/>
      <c r="E302" s="109"/>
      <c r="K302" s="109"/>
      <c r="M302" s="4"/>
    </row>
    <row r="303" spans="3:13" x14ac:dyDescent="0.2">
      <c r="C303" s="2"/>
      <c r="D303" s="2"/>
      <c r="E303" s="109"/>
      <c r="K303" s="109"/>
      <c r="M303" s="4"/>
    </row>
    <row r="304" spans="3:13" x14ac:dyDescent="0.2">
      <c r="C304" s="2"/>
      <c r="D304" s="2"/>
      <c r="E304" s="109"/>
      <c r="K304" s="109"/>
      <c r="M304" s="4"/>
    </row>
    <row r="305" spans="3:13" x14ac:dyDescent="0.2">
      <c r="C305" s="2"/>
      <c r="D305" s="2"/>
      <c r="E305" s="109"/>
      <c r="K305" s="109"/>
      <c r="M305" s="4"/>
    </row>
    <row r="306" spans="3:13" x14ac:dyDescent="0.2">
      <c r="C306" s="2"/>
      <c r="D306" s="2"/>
      <c r="E306" s="109"/>
      <c r="M306" s="4"/>
    </row>
    <row r="307" spans="3:13" x14ac:dyDescent="0.2">
      <c r="C307" s="2"/>
      <c r="D307" s="2"/>
      <c r="E307" s="109"/>
      <c r="K307" s="109"/>
      <c r="M307" s="4"/>
    </row>
    <row r="308" spans="3:13" x14ac:dyDescent="0.2">
      <c r="C308" s="2"/>
      <c r="D308" s="2"/>
      <c r="E308" s="109"/>
      <c r="K308" s="109"/>
      <c r="M308" s="4"/>
    </row>
    <row r="309" spans="3:13" x14ac:dyDescent="0.2">
      <c r="C309" s="2"/>
      <c r="D309" s="2"/>
      <c r="E309" s="109"/>
      <c r="K309" s="109"/>
      <c r="M309" s="4"/>
    </row>
    <row r="310" spans="3:13" x14ac:dyDescent="0.2">
      <c r="C310" s="2"/>
      <c r="D310" s="2"/>
      <c r="E310" s="109"/>
      <c r="K310" s="109"/>
      <c r="M310" s="4"/>
    </row>
    <row r="311" spans="3:13" x14ac:dyDescent="0.2">
      <c r="C311" s="2"/>
      <c r="D311" s="2"/>
      <c r="E311" s="109"/>
      <c r="K311" s="109"/>
      <c r="M311" s="4"/>
    </row>
    <row r="312" spans="3:13" x14ac:dyDescent="0.2">
      <c r="C312" s="2"/>
      <c r="D312" s="2"/>
      <c r="E312" s="109"/>
      <c r="M312" s="4"/>
    </row>
    <row r="313" spans="3:13" x14ac:dyDescent="0.2">
      <c r="C313" s="2"/>
      <c r="D313" s="2"/>
      <c r="E313" s="109"/>
      <c r="K313" s="109"/>
      <c r="M313" s="4"/>
    </row>
    <row r="314" spans="3:13" x14ac:dyDescent="0.2">
      <c r="C314" s="2"/>
      <c r="D314" s="2"/>
      <c r="E314" s="109"/>
      <c r="K314" s="109"/>
      <c r="M314" s="4"/>
    </row>
    <row r="315" spans="3:13" x14ac:dyDescent="0.2">
      <c r="C315" s="2"/>
      <c r="D315" s="2"/>
      <c r="E315" s="109"/>
      <c r="K315" s="109"/>
      <c r="M315" s="4"/>
    </row>
    <row r="316" spans="3:13" x14ac:dyDescent="0.2">
      <c r="C316" s="2"/>
      <c r="D316" s="2"/>
      <c r="E316" s="109"/>
      <c r="K316" s="109"/>
      <c r="M316" s="4"/>
    </row>
    <row r="317" spans="3:13" x14ac:dyDescent="0.2">
      <c r="C317" s="2"/>
      <c r="D317" s="2"/>
      <c r="E317" s="109"/>
      <c r="K317" s="109"/>
      <c r="M317" s="4"/>
    </row>
    <row r="318" spans="3:13" x14ac:dyDescent="0.2">
      <c r="C318" s="2"/>
      <c r="D318" s="2"/>
      <c r="E318" s="109"/>
      <c r="M318" s="4"/>
    </row>
    <row r="319" spans="3:13" x14ac:dyDescent="0.2">
      <c r="C319" s="2"/>
      <c r="D319" s="2"/>
      <c r="E319" s="109"/>
      <c r="K319" s="109"/>
      <c r="M319" s="4"/>
    </row>
    <row r="320" spans="3:13" x14ac:dyDescent="0.2">
      <c r="C320" s="2"/>
      <c r="D320" s="2"/>
      <c r="E320" s="109"/>
      <c r="K320" s="109"/>
      <c r="M320" s="4"/>
    </row>
    <row r="321" spans="3:13" x14ac:dyDescent="0.2">
      <c r="C321" s="2"/>
      <c r="D321" s="2"/>
      <c r="E321" s="109"/>
      <c r="K321" s="109"/>
      <c r="M321" s="4"/>
    </row>
    <row r="322" spans="3:13" x14ac:dyDescent="0.2">
      <c r="C322" s="2"/>
      <c r="D322" s="2"/>
      <c r="E322" s="109"/>
      <c r="K322" s="109"/>
      <c r="M322" s="4"/>
    </row>
    <row r="323" spans="3:13" x14ac:dyDescent="0.2">
      <c r="C323" s="2"/>
      <c r="D323" s="2"/>
      <c r="E323" s="109"/>
      <c r="K323" s="109"/>
      <c r="M323" s="4"/>
    </row>
    <row r="324" spans="3:13" x14ac:dyDescent="0.2">
      <c r="C324" s="2"/>
      <c r="D324" s="2"/>
      <c r="E324" s="109"/>
      <c r="M324" s="4"/>
    </row>
    <row r="325" spans="3:13" x14ac:dyDescent="0.2">
      <c r="C325" s="2"/>
      <c r="D325" s="2"/>
      <c r="E325" s="109"/>
      <c r="K325" s="109"/>
      <c r="M325" s="4"/>
    </row>
    <row r="326" spans="3:13" x14ac:dyDescent="0.2">
      <c r="C326" s="2"/>
      <c r="D326" s="2"/>
      <c r="E326" s="109"/>
      <c r="K326" s="109"/>
      <c r="M326" s="4"/>
    </row>
    <row r="327" spans="3:13" x14ac:dyDescent="0.2">
      <c r="C327" s="2"/>
      <c r="D327" s="2"/>
      <c r="E327" s="109"/>
      <c r="K327" s="109"/>
      <c r="M327" s="4"/>
    </row>
    <row r="328" spans="3:13" x14ac:dyDescent="0.2">
      <c r="C328" s="2"/>
      <c r="D328" s="2"/>
      <c r="E328" s="109"/>
      <c r="K328" s="109"/>
      <c r="M328" s="4"/>
    </row>
    <row r="329" spans="3:13" x14ac:dyDescent="0.2">
      <c r="C329" s="2"/>
      <c r="D329" s="2"/>
      <c r="E329" s="109"/>
      <c r="K329" s="109"/>
      <c r="M329" s="4"/>
    </row>
    <row r="330" spans="3:13" x14ac:dyDescent="0.2">
      <c r="C330" s="2"/>
      <c r="D330" s="2"/>
      <c r="E330" s="109"/>
      <c r="M330" s="4"/>
    </row>
    <row r="331" spans="3:13" x14ac:dyDescent="0.2">
      <c r="C331" s="2"/>
      <c r="D331" s="2"/>
      <c r="E331" s="109"/>
      <c r="K331" s="109"/>
      <c r="M331" s="4"/>
    </row>
    <row r="332" spans="3:13" x14ac:dyDescent="0.2">
      <c r="C332" s="2"/>
      <c r="D332" s="2"/>
      <c r="E332" s="109"/>
      <c r="K332" s="109"/>
      <c r="M332" s="4"/>
    </row>
    <row r="333" spans="3:13" x14ac:dyDescent="0.2">
      <c r="C333" s="2"/>
      <c r="D333" s="2"/>
      <c r="E333" s="109"/>
      <c r="K333" s="109"/>
      <c r="M333" s="4"/>
    </row>
    <row r="334" spans="3:13" x14ac:dyDescent="0.2">
      <c r="C334" s="2"/>
      <c r="D334" s="2"/>
      <c r="E334" s="109"/>
      <c r="K334" s="109"/>
      <c r="M334" s="4"/>
    </row>
    <row r="335" spans="3:13" x14ac:dyDescent="0.2">
      <c r="C335" s="2"/>
      <c r="D335" s="2"/>
      <c r="E335" s="109"/>
      <c r="K335" s="109"/>
      <c r="M335" s="4"/>
    </row>
    <row r="336" spans="3:13" x14ac:dyDescent="0.2">
      <c r="C336" s="2"/>
      <c r="D336" s="2"/>
      <c r="E336" s="109"/>
      <c r="M336" s="4"/>
    </row>
    <row r="337" spans="3:17" x14ac:dyDescent="0.2">
      <c r="C337" s="2"/>
      <c r="D337" s="2"/>
      <c r="E337" s="109"/>
      <c r="F337" s="109"/>
      <c r="K337" s="109"/>
      <c r="M337" s="4"/>
      <c r="P337" s="18"/>
      <c r="Q337" s="18"/>
    </row>
    <row r="338" spans="3:17" x14ac:dyDescent="0.2">
      <c r="C338" s="2"/>
      <c r="D338" s="2"/>
      <c r="E338" s="109"/>
      <c r="F338" s="109"/>
      <c r="K338" s="109"/>
      <c r="M338" s="4"/>
      <c r="P338" s="18"/>
      <c r="Q338" s="18"/>
    </row>
    <row r="339" spans="3:17" x14ac:dyDescent="0.2">
      <c r="C339" s="2"/>
      <c r="D339" s="2"/>
      <c r="E339" s="109"/>
      <c r="F339" s="109"/>
      <c r="K339" s="109"/>
      <c r="M339" s="4"/>
      <c r="P339" s="18"/>
      <c r="Q339" s="18"/>
    </row>
    <row r="340" spans="3:17" x14ac:dyDescent="0.2">
      <c r="C340" s="2"/>
      <c r="D340" s="2"/>
      <c r="E340" s="109"/>
      <c r="F340" s="109"/>
      <c r="K340" s="109"/>
      <c r="M340" s="4"/>
      <c r="P340" s="18"/>
      <c r="Q340" s="18"/>
    </row>
    <row r="341" spans="3:17" x14ac:dyDescent="0.2">
      <c r="C341" s="2"/>
      <c r="D341" s="2"/>
      <c r="E341" s="109"/>
      <c r="F341" s="109"/>
      <c r="K341" s="109"/>
      <c r="M341" s="4"/>
      <c r="P341" s="18"/>
      <c r="Q341" s="18"/>
    </row>
    <row r="342" spans="3:17" x14ac:dyDescent="0.2">
      <c r="C342" s="2"/>
      <c r="D342" s="2"/>
      <c r="E342" s="109"/>
      <c r="M342" s="4"/>
    </row>
    <row r="343" spans="3:17" x14ac:dyDescent="0.2">
      <c r="C343" s="2"/>
      <c r="D343" s="2"/>
      <c r="E343" s="109"/>
      <c r="K343" s="109"/>
      <c r="M343" s="4"/>
    </row>
    <row r="344" spans="3:17" x14ac:dyDescent="0.2">
      <c r="C344" s="2"/>
      <c r="D344" s="2"/>
      <c r="E344" s="109"/>
      <c r="K344" s="109"/>
      <c r="M344" s="4"/>
    </row>
    <row r="345" spans="3:17" x14ac:dyDescent="0.2">
      <c r="C345" s="2"/>
      <c r="D345" s="2"/>
      <c r="E345" s="109"/>
      <c r="K345" s="109"/>
      <c r="M345" s="4"/>
    </row>
    <row r="346" spans="3:17" x14ac:dyDescent="0.2">
      <c r="C346" s="2"/>
      <c r="D346" s="2"/>
      <c r="E346" s="109"/>
      <c r="K346" s="109"/>
      <c r="M346" s="4"/>
    </row>
    <row r="347" spans="3:17" x14ac:dyDescent="0.2">
      <c r="C347" s="2"/>
      <c r="D347" s="2"/>
      <c r="E347" s="109"/>
      <c r="K347" s="109"/>
      <c r="M347" s="4"/>
    </row>
    <row r="348" spans="3:17" x14ac:dyDescent="0.2">
      <c r="C348" s="2"/>
      <c r="D348" s="2"/>
      <c r="E348" s="109"/>
      <c r="M348" s="4"/>
    </row>
    <row r="349" spans="3:17" x14ac:dyDescent="0.2">
      <c r="C349" s="2"/>
      <c r="D349" s="2"/>
      <c r="E349" s="109"/>
      <c r="K349" s="109"/>
      <c r="M349" s="4"/>
    </row>
    <row r="350" spans="3:17" x14ac:dyDescent="0.2">
      <c r="C350" s="2"/>
      <c r="D350" s="2"/>
      <c r="E350" s="109"/>
      <c r="K350" s="109"/>
      <c r="M350" s="4"/>
    </row>
    <row r="351" spans="3:17" x14ac:dyDescent="0.2">
      <c r="C351" s="2"/>
      <c r="D351" s="2"/>
      <c r="E351" s="109"/>
      <c r="K351" s="109"/>
      <c r="M351" s="4"/>
    </row>
    <row r="352" spans="3:17" x14ac:dyDescent="0.2">
      <c r="C352" s="2"/>
      <c r="D352" s="2"/>
      <c r="E352" s="109"/>
      <c r="K352" s="109"/>
      <c r="M352" s="4"/>
    </row>
    <row r="353" spans="3:13" x14ac:dyDescent="0.2">
      <c r="C353" s="2"/>
      <c r="D353" s="2"/>
      <c r="E353" s="109"/>
      <c r="K353" s="109"/>
      <c r="M353" s="4"/>
    </row>
    <row r="354" spans="3:13" x14ac:dyDescent="0.2">
      <c r="C354" s="2"/>
      <c r="D354" s="2"/>
      <c r="E354" s="109"/>
      <c r="M354" s="4"/>
    </row>
    <row r="355" spans="3:13" x14ac:dyDescent="0.2">
      <c r="C355" s="2"/>
      <c r="D355" s="2"/>
      <c r="E355" s="109"/>
      <c r="K355" s="109"/>
      <c r="M355" s="4"/>
    </row>
    <row r="356" spans="3:13" x14ac:dyDescent="0.2">
      <c r="C356" s="2"/>
      <c r="D356" s="2"/>
      <c r="E356" s="109"/>
      <c r="K356" s="109"/>
      <c r="M356" s="4"/>
    </row>
    <row r="357" spans="3:13" x14ac:dyDescent="0.2">
      <c r="C357" s="2"/>
      <c r="D357" s="2"/>
      <c r="E357" s="109"/>
      <c r="K357" s="109"/>
      <c r="M357" s="4"/>
    </row>
    <row r="358" spans="3:13" x14ac:dyDescent="0.2">
      <c r="C358" s="2"/>
      <c r="D358" s="2"/>
      <c r="E358" s="109"/>
      <c r="K358" s="109"/>
      <c r="M358" s="4"/>
    </row>
    <row r="359" spans="3:13" x14ac:dyDescent="0.2">
      <c r="C359" s="2"/>
      <c r="D359" s="2"/>
      <c r="E359" s="109"/>
      <c r="K359" s="109"/>
      <c r="M359" s="4"/>
    </row>
    <row r="360" spans="3:13" x14ac:dyDescent="0.2">
      <c r="C360" s="2"/>
      <c r="D360" s="2"/>
      <c r="E360" s="109"/>
      <c r="M360" s="4"/>
    </row>
    <row r="361" spans="3:13" x14ac:dyDescent="0.2">
      <c r="C361" s="2"/>
      <c r="D361" s="2"/>
      <c r="E361" s="109"/>
      <c r="K361" s="109"/>
      <c r="M361" s="4"/>
    </row>
    <row r="362" spans="3:13" x14ac:dyDescent="0.2">
      <c r="C362" s="2"/>
      <c r="D362" s="2"/>
      <c r="E362" s="109"/>
      <c r="K362" s="109"/>
      <c r="M362" s="4"/>
    </row>
    <row r="363" spans="3:13" x14ac:dyDescent="0.2">
      <c r="C363" s="2"/>
      <c r="D363" s="2"/>
      <c r="E363" s="109"/>
      <c r="K363" s="109"/>
      <c r="M363" s="4"/>
    </row>
    <row r="364" spans="3:13" x14ac:dyDescent="0.2">
      <c r="C364" s="2"/>
      <c r="D364" s="2"/>
      <c r="E364" s="109"/>
      <c r="K364" s="109"/>
      <c r="M364" s="4"/>
    </row>
    <row r="365" spans="3:13" x14ac:dyDescent="0.2">
      <c r="C365" s="2"/>
      <c r="D365" s="2"/>
      <c r="E365" s="109"/>
      <c r="K365" s="109"/>
      <c r="M365" s="4"/>
    </row>
    <row r="366" spans="3:13" x14ac:dyDescent="0.2">
      <c r="C366" s="2"/>
      <c r="D366" s="2"/>
      <c r="E366" s="109"/>
      <c r="M366" s="4"/>
    </row>
    <row r="367" spans="3:13" x14ac:dyDescent="0.2">
      <c r="C367" s="2"/>
      <c r="D367" s="2"/>
      <c r="E367" s="109"/>
      <c r="K367" s="109"/>
      <c r="M367" s="4"/>
    </row>
    <row r="368" spans="3:13" x14ac:dyDescent="0.2">
      <c r="C368" s="2"/>
      <c r="D368" s="2"/>
      <c r="E368" s="109"/>
      <c r="K368" s="109"/>
      <c r="M368" s="4"/>
    </row>
    <row r="369" spans="3:13" x14ac:dyDescent="0.2">
      <c r="C369" s="2"/>
      <c r="D369" s="2"/>
      <c r="E369" s="109"/>
      <c r="K369" s="109"/>
      <c r="M369" s="4"/>
    </row>
    <row r="370" spans="3:13" x14ac:dyDescent="0.2">
      <c r="C370" s="2"/>
      <c r="D370" s="2"/>
      <c r="E370" s="109"/>
      <c r="K370" s="109"/>
      <c r="M370" s="4"/>
    </row>
    <row r="371" spans="3:13" x14ac:dyDescent="0.2">
      <c r="C371" s="2"/>
      <c r="D371" s="2"/>
      <c r="E371" s="109"/>
      <c r="K371" s="109"/>
      <c r="M371" s="4"/>
    </row>
    <row r="372" spans="3:13" x14ac:dyDescent="0.2">
      <c r="C372" s="2"/>
      <c r="D372" s="2"/>
      <c r="E372" s="109"/>
      <c r="M372" s="4"/>
    </row>
    <row r="373" spans="3:13" x14ac:dyDescent="0.2">
      <c r="C373" s="2"/>
      <c r="D373" s="2"/>
      <c r="E373" s="109"/>
      <c r="K373" s="109"/>
      <c r="M373" s="4"/>
    </row>
    <row r="374" spans="3:13" x14ac:dyDescent="0.2">
      <c r="C374" s="2"/>
      <c r="D374" s="2"/>
      <c r="E374" s="109"/>
      <c r="K374" s="109"/>
      <c r="M374" s="4"/>
    </row>
    <row r="375" spans="3:13" x14ac:dyDescent="0.2">
      <c r="C375" s="2"/>
      <c r="D375" s="2"/>
      <c r="E375" s="109"/>
      <c r="K375" s="109"/>
      <c r="M375" s="4"/>
    </row>
    <row r="376" spans="3:13" x14ac:dyDescent="0.2">
      <c r="C376" s="2"/>
      <c r="D376" s="2"/>
      <c r="E376" s="109"/>
      <c r="K376" s="109"/>
      <c r="M376" s="4"/>
    </row>
    <row r="377" spans="3:13" x14ac:dyDescent="0.2">
      <c r="C377" s="2"/>
      <c r="D377" s="2"/>
      <c r="E377" s="109"/>
      <c r="K377" s="109"/>
      <c r="M377" s="4"/>
    </row>
    <row r="378" spans="3:13" x14ac:dyDescent="0.2">
      <c r="C378" s="2"/>
      <c r="D378" s="2"/>
      <c r="E378" s="109"/>
      <c r="M378" s="4"/>
    </row>
    <row r="379" spans="3:13" x14ac:dyDescent="0.2">
      <c r="C379" s="2"/>
      <c r="D379" s="2"/>
      <c r="E379" s="109"/>
      <c r="K379" s="109"/>
      <c r="M379" s="4"/>
    </row>
    <row r="380" spans="3:13" x14ac:dyDescent="0.2">
      <c r="C380" s="2"/>
      <c r="D380" s="2"/>
      <c r="E380" s="109"/>
      <c r="K380" s="109"/>
      <c r="M380" s="4"/>
    </row>
    <row r="381" spans="3:13" x14ac:dyDescent="0.2">
      <c r="C381" s="2"/>
      <c r="D381" s="2"/>
      <c r="E381" s="109"/>
      <c r="K381" s="109"/>
      <c r="M381" s="4"/>
    </row>
    <row r="382" spans="3:13" x14ac:dyDescent="0.2">
      <c r="C382" s="2"/>
      <c r="D382" s="2"/>
      <c r="E382" s="109"/>
      <c r="K382" s="109"/>
      <c r="M382" s="4"/>
    </row>
    <row r="383" spans="3:13" x14ac:dyDescent="0.2">
      <c r="C383" s="2"/>
      <c r="D383" s="2"/>
      <c r="E383" s="109"/>
      <c r="K383" s="109"/>
      <c r="M383" s="4"/>
    </row>
    <row r="384" spans="3:13" x14ac:dyDescent="0.2">
      <c r="C384" s="2"/>
      <c r="D384" s="2"/>
      <c r="E384" s="109"/>
      <c r="M384" s="4"/>
    </row>
    <row r="385" spans="3:13" x14ac:dyDescent="0.2">
      <c r="C385" s="2"/>
      <c r="D385" s="2"/>
      <c r="E385" s="109"/>
      <c r="K385" s="109"/>
      <c r="M385" s="4"/>
    </row>
    <row r="386" spans="3:13" x14ac:dyDescent="0.2">
      <c r="C386" s="2"/>
      <c r="D386" s="2"/>
      <c r="E386" s="109"/>
      <c r="K386" s="109"/>
      <c r="M386" s="4"/>
    </row>
    <row r="387" spans="3:13" x14ac:dyDescent="0.2">
      <c r="C387" s="2"/>
      <c r="D387" s="2"/>
      <c r="E387" s="109"/>
      <c r="K387" s="109"/>
      <c r="M387" s="4"/>
    </row>
    <row r="388" spans="3:13" x14ac:dyDescent="0.2">
      <c r="C388" s="2"/>
      <c r="D388" s="2"/>
      <c r="E388" s="109"/>
      <c r="K388" s="109"/>
      <c r="M388" s="4"/>
    </row>
    <row r="389" spans="3:13" x14ac:dyDescent="0.2">
      <c r="C389" s="2"/>
      <c r="D389" s="2"/>
      <c r="E389" s="109"/>
      <c r="K389" s="109"/>
      <c r="M389" s="4"/>
    </row>
    <row r="390" spans="3:13" x14ac:dyDescent="0.2">
      <c r="C390" s="2"/>
      <c r="D390" s="2"/>
      <c r="E390" s="109"/>
      <c r="M390" s="4"/>
    </row>
    <row r="391" spans="3:13" x14ac:dyDescent="0.2">
      <c r="M391" s="4"/>
    </row>
    <row r="392" spans="3:13" x14ac:dyDescent="0.2">
      <c r="M392" s="4"/>
    </row>
    <row r="393" spans="3:13" x14ac:dyDescent="0.2">
      <c r="M393" s="4"/>
    </row>
    <row r="394" spans="3:13" x14ac:dyDescent="0.2">
      <c r="M394" s="4"/>
    </row>
    <row r="395" spans="3:13" x14ac:dyDescent="0.2">
      <c r="M395" s="4"/>
    </row>
    <row r="396" spans="3:13" x14ac:dyDescent="0.2">
      <c r="M396" s="4"/>
    </row>
    <row r="397" spans="3:13" x14ac:dyDescent="0.2">
      <c r="M397" s="4"/>
    </row>
    <row r="398" spans="3:13" x14ac:dyDescent="0.2">
      <c r="M398" s="4"/>
    </row>
    <row r="399" spans="3:13" x14ac:dyDescent="0.2">
      <c r="M399" s="4"/>
    </row>
    <row r="400" spans="3:13" x14ac:dyDescent="0.2">
      <c r="M400" s="4"/>
    </row>
    <row r="401" spans="13:13" x14ac:dyDescent="0.2">
      <c r="M401" s="4"/>
    </row>
    <row r="402" spans="13:13" x14ac:dyDescent="0.2">
      <c r="M402" s="4"/>
    </row>
    <row r="403" spans="13:13" x14ac:dyDescent="0.2">
      <c r="M403" s="4"/>
    </row>
    <row r="404" spans="13:13" x14ac:dyDescent="0.2">
      <c r="M404" s="4"/>
    </row>
  </sheetData>
  <phoneticPr fontId="7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B2:Q96"/>
  <sheetViews>
    <sheetView workbookViewId="0">
      <selection activeCell="D25" sqref="D25"/>
    </sheetView>
  </sheetViews>
  <sheetFormatPr defaultRowHeight="12.75" x14ac:dyDescent="0.2"/>
  <cols>
    <col min="1" max="1" width="2.85546875" customWidth="1"/>
    <col min="2" max="2" width="3.7109375" customWidth="1"/>
    <col min="3" max="3" width="14.85546875" customWidth="1"/>
    <col min="4" max="4" width="8.85546875" customWidth="1"/>
    <col min="5" max="5" width="19" customWidth="1"/>
    <col min="6" max="6" width="8" customWidth="1"/>
    <col min="7" max="7" width="8.7109375" customWidth="1"/>
    <col min="8" max="8" width="8.28515625" customWidth="1"/>
    <col min="9" max="10" width="7.140625" customWidth="1"/>
    <col min="11" max="11" width="8" customWidth="1"/>
    <col min="12" max="12" width="8.42578125" bestFit="1" customWidth="1"/>
    <col min="13" max="13" width="13.5703125" bestFit="1" customWidth="1"/>
    <col min="14" max="14" width="10.7109375" customWidth="1"/>
    <col min="15" max="15" width="13.5703125" customWidth="1"/>
    <col min="16" max="16" width="35.7109375" customWidth="1"/>
    <col min="17" max="17" width="6.140625" customWidth="1"/>
    <col min="18" max="18" width="9.85546875" customWidth="1"/>
    <col min="19" max="19" width="17.28515625" bestFit="1" customWidth="1"/>
    <col min="20" max="20" width="12.5703125" bestFit="1" customWidth="1"/>
    <col min="21" max="21" width="12" bestFit="1" customWidth="1"/>
    <col min="22" max="22" width="17.7109375" bestFit="1" customWidth="1"/>
    <col min="23" max="23" width="12.5703125" bestFit="1" customWidth="1"/>
    <col min="24" max="24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t="s">
        <v>0</v>
      </c>
    </row>
    <row r="6" spans="2:17" x14ac:dyDescent="0.2">
      <c r="C6" s="16" t="s">
        <v>1</v>
      </c>
      <c r="D6" s="16" t="s">
        <v>8</v>
      </c>
      <c r="E6" s="16" t="s">
        <v>4</v>
      </c>
      <c r="F6" s="16" t="s">
        <v>9</v>
      </c>
      <c r="G6" s="16" t="s">
        <v>10</v>
      </c>
      <c r="H6" s="16" t="s">
        <v>11</v>
      </c>
      <c r="I6" s="16" t="s">
        <v>13</v>
      </c>
      <c r="J6" s="16" t="s">
        <v>39</v>
      </c>
      <c r="K6" s="16" t="s">
        <v>2</v>
      </c>
      <c r="L6" s="16" t="s">
        <v>14</v>
      </c>
      <c r="M6" s="16" t="s">
        <v>15</v>
      </c>
      <c r="N6" s="16" t="s">
        <v>28</v>
      </c>
      <c r="O6" s="16" t="s">
        <v>29</v>
      </c>
      <c r="P6" s="16" t="s">
        <v>3</v>
      </c>
      <c r="Q6" s="5"/>
    </row>
    <row r="7" spans="2:17" x14ac:dyDescent="0.2">
      <c r="C7" s="2" t="s">
        <v>155</v>
      </c>
      <c r="D7" s="2"/>
      <c r="E7" s="2" t="s">
        <v>157</v>
      </c>
      <c r="F7" s="2"/>
      <c r="G7" t="s">
        <v>156</v>
      </c>
      <c r="H7" t="str">
        <f>G$7</f>
        <v>TRP</v>
      </c>
      <c r="I7">
        <v>2010</v>
      </c>
      <c r="J7" t="s">
        <v>30</v>
      </c>
      <c r="K7" s="2" t="s">
        <v>17</v>
      </c>
      <c r="L7">
        <v>1</v>
      </c>
      <c r="M7" s="4">
        <f>ConstrData!S17+(ConstrData!AC17-ConstrData!S17)/10</f>
        <v>-0.27200000000000002</v>
      </c>
      <c r="N7">
        <v>0</v>
      </c>
      <c r="O7">
        <v>5</v>
      </c>
      <c r="P7" s="18" t="str">
        <f>ConstrData!C17</f>
        <v>Transportation Rail - Commuter</v>
      </c>
      <c r="Q7" s="18"/>
    </row>
    <row r="8" spans="2:17" x14ac:dyDescent="0.2">
      <c r="C8" s="2" t="s">
        <v>155</v>
      </c>
      <c r="D8" s="2"/>
      <c r="E8" s="2" t="s">
        <v>157</v>
      </c>
      <c r="F8" s="2"/>
      <c r="G8" t="s">
        <v>156</v>
      </c>
      <c r="H8" t="str">
        <f t="shared" ref="H8:H24" si="0">G$7</f>
        <v>TRP</v>
      </c>
      <c r="I8">
        <v>2055</v>
      </c>
      <c r="J8" t="s">
        <v>30</v>
      </c>
      <c r="K8" s="2" t="s">
        <v>17</v>
      </c>
      <c r="L8">
        <v>1</v>
      </c>
      <c r="M8" s="4">
        <f>ConstrData!AC17</f>
        <v>-0.27200000000000002</v>
      </c>
      <c r="N8">
        <v>0</v>
      </c>
      <c r="P8" s="18" t="str">
        <f>P7</f>
        <v>Transportation Rail - Commuter</v>
      </c>
    </row>
    <row r="9" spans="2:17" x14ac:dyDescent="0.2">
      <c r="C9" s="2" t="s">
        <v>155</v>
      </c>
      <c r="D9" s="2"/>
      <c r="E9" s="2" t="s">
        <v>157</v>
      </c>
      <c r="F9" s="2"/>
      <c r="G9" t="s">
        <v>156</v>
      </c>
      <c r="H9" t="str">
        <f t="shared" si="0"/>
        <v>TRP</v>
      </c>
      <c r="I9">
        <v>2010</v>
      </c>
      <c r="J9" t="s">
        <v>31</v>
      </c>
      <c r="K9" s="2" t="s">
        <v>17</v>
      </c>
      <c r="L9">
        <v>1</v>
      </c>
      <c r="M9" s="4">
        <f>ConstrData!T17+(ConstrData!AD17-ConstrData!T17)/10</f>
        <v>-0.2576</v>
      </c>
      <c r="N9">
        <v>0</v>
      </c>
      <c r="O9">
        <v>5</v>
      </c>
      <c r="P9" s="18" t="str">
        <f t="shared" ref="P9:P24" si="1">P8</f>
        <v>Transportation Rail - Commuter</v>
      </c>
    </row>
    <row r="10" spans="2:17" x14ac:dyDescent="0.2">
      <c r="C10" s="2" t="s">
        <v>155</v>
      </c>
      <c r="D10" s="2"/>
      <c r="E10" s="2" t="s">
        <v>157</v>
      </c>
      <c r="F10" s="2"/>
      <c r="G10" t="s">
        <v>156</v>
      </c>
      <c r="H10" t="str">
        <f t="shared" si="0"/>
        <v>TRP</v>
      </c>
      <c r="I10">
        <v>2055</v>
      </c>
      <c r="J10" t="s">
        <v>31</v>
      </c>
      <c r="K10" s="2" t="s">
        <v>17</v>
      </c>
      <c r="L10">
        <v>1</v>
      </c>
      <c r="M10" s="4">
        <f>ConstrData!AD17</f>
        <v>-0.2576</v>
      </c>
      <c r="N10">
        <v>0</v>
      </c>
      <c r="P10" s="18" t="str">
        <f t="shared" si="1"/>
        <v>Transportation Rail - Commuter</v>
      </c>
    </row>
    <row r="11" spans="2:17" x14ac:dyDescent="0.2">
      <c r="C11" s="2" t="s">
        <v>155</v>
      </c>
      <c r="D11" s="2"/>
      <c r="E11" s="2" t="s">
        <v>157</v>
      </c>
      <c r="F11" s="2"/>
      <c r="G11" t="s">
        <v>156</v>
      </c>
      <c r="H11" t="str">
        <f t="shared" si="0"/>
        <v>TRP</v>
      </c>
      <c r="I11">
        <v>2010</v>
      </c>
      <c r="J11" t="s">
        <v>32</v>
      </c>
      <c r="K11" s="2" t="s">
        <v>17</v>
      </c>
      <c r="L11">
        <v>1</v>
      </c>
      <c r="M11" s="4">
        <f>ConstrData!U17+(ConstrData!AE17-ConstrData!U17)/10</f>
        <v>-0.42730000000000001</v>
      </c>
      <c r="N11">
        <v>0</v>
      </c>
      <c r="O11">
        <v>5</v>
      </c>
      <c r="P11" s="18" t="str">
        <f t="shared" si="1"/>
        <v>Transportation Rail - Commuter</v>
      </c>
    </row>
    <row r="12" spans="2:17" x14ac:dyDescent="0.2">
      <c r="C12" s="2" t="s">
        <v>155</v>
      </c>
      <c r="D12" s="2"/>
      <c r="E12" s="2" t="s">
        <v>157</v>
      </c>
      <c r="F12" s="2"/>
      <c r="G12" t="s">
        <v>156</v>
      </c>
      <c r="H12" t="str">
        <f t="shared" si="0"/>
        <v>TRP</v>
      </c>
      <c r="I12">
        <v>2055</v>
      </c>
      <c r="J12" t="s">
        <v>32</v>
      </c>
      <c r="K12" s="2" t="s">
        <v>17</v>
      </c>
      <c r="L12">
        <v>1</v>
      </c>
      <c r="M12" s="4">
        <f>ConstrData!AE17</f>
        <v>-0.42730000000000001</v>
      </c>
      <c r="N12">
        <v>0</v>
      </c>
      <c r="P12" s="18" t="str">
        <f t="shared" si="1"/>
        <v>Transportation Rail - Commuter</v>
      </c>
    </row>
    <row r="13" spans="2:17" x14ac:dyDescent="0.2">
      <c r="C13" s="2" t="s">
        <v>155</v>
      </c>
      <c r="D13" s="2"/>
      <c r="E13" s="2" t="s">
        <v>157</v>
      </c>
      <c r="F13" s="2"/>
      <c r="G13" t="s">
        <v>156</v>
      </c>
      <c r="H13" t="str">
        <f t="shared" si="0"/>
        <v>TRP</v>
      </c>
      <c r="I13">
        <v>2010</v>
      </c>
      <c r="J13" t="s">
        <v>33</v>
      </c>
      <c r="K13" s="2" t="s">
        <v>17</v>
      </c>
      <c r="L13">
        <v>1</v>
      </c>
      <c r="M13" s="4">
        <f>ConstrData!V17+(ConstrData!AF17-ConstrData!V17)/10</f>
        <v>0</v>
      </c>
      <c r="N13">
        <v>0</v>
      </c>
      <c r="O13">
        <v>5</v>
      </c>
      <c r="P13" s="18" t="str">
        <f t="shared" si="1"/>
        <v>Transportation Rail - Commuter</v>
      </c>
    </row>
    <row r="14" spans="2:17" x14ac:dyDescent="0.2">
      <c r="C14" s="2" t="s">
        <v>155</v>
      </c>
      <c r="D14" s="2"/>
      <c r="E14" s="2" t="s">
        <v>157</v>
      </c>
      <c r="F14" s="2"/>
      <c r="G14" t="s">
        <v>156</v>
      </c>
      <c r="H14" t="str">
        <f t="shared" si="0"/>
        <v>TRP</v>
      </c>
      <c r="I14">
        <v>2055</v>
      </c>
      <c r="J14" t="s">
        <v>33</v>
      </c>
      <c r="K14" s="2" t="s">
        <v>17</v>
      </c>
      <c r="L14">
        <v>1</v>
      </c>
      <c r="M14" s="4">
        <f>ConstrData!AF17</f>
        <v>0</v>
      </c>
      <c r="N14">
        <v>0</v>
      </c>
      <c r="P14" s="18" t="str">
        <f t="shared" si="1"/>
        <v>Transportation Rail - Commuter</v>
      </c>
    </row>
    <row r="15" spans="2:17" x14ac:dyDescent="0.2">
      <c r="C15" s="2" t="s">
        <v>155</v>
      </c>
      <c r="D15" s="2"/>
      <c r="E15" s="2" t="s">
        <v>157</v>
      </c>
      <c r="F15" s="2"/>
      <c r="G15" t="s">
        <v>156</v>
      </c>
      <c r="H15" t="str">
        <f t="shared" si="0"/>
        <v>TRP</v>
      </c>
      <c r="I15">
        <v>2010</v>
      </c>
      <c r="J15" t="s">
        <v>34</v>
      </c>
      <c r="K15" s="2" t="s">
        <v>17</v>
      </c>
      <c r="L15">
        <v>1</v>
      </c>
      <c r="M15" s="4">
        <f>ConstrData!W17+(ConstrData!AG17-ConstrData!W17)/10</f>
        <v>-6.7199999999999996E-2</v>
      </c>
      <c r="N15">
        <v>0</v>
      </c>
      <c r="O15">
        <v>5</v>
      </c>
      <c r="P15" s="18" t="str">
        <f t="shared" si="1"/>
        <v>Transportation Rail - Commuter</v>
      </c>
    </row>
    <row r="16" spans="2:17" x14ac:dyDescent="0.2">
      <c r="C16" s="2" t="s">
        <v>155</v>
      </c>
      <c r="D16" s="2"/>
      <c r="E16" s="2" t="s">
        <v>157</v>
      </c>
      <c r="F16" s="2"/>
      <c r="G16" t="s">
        <v>156</v>
      </c>
      <c r="H16" t="str">
        <f t="shared" si="0"/>
        <v>TRP</v>
      </c>
      <c r="I16">
        <v>2055</v>
      </c>
      <c r="J16" t="s">
        <v>34</v>
      </c>
      <c r="K16" s="2" t="s">
        <v>17</v>
      </c>
      <c r="L16">
        <v>1</v>
      </c>
      <c r="M16" s="4">
        <f>ConstrData!AG17</f>
        <v>-6.7199999999999996E-2</v>
      </c>
      <c r="N16">
        <v>0</v>
      </c>
      <c r="P16" s="18" t="str">
        <f t="shared" si="1"/>
        <v>Transportation Rail - Commuter</v>
      </c>
    </row>
    <row r="17" spans="3:16" x14ac:dyDescent="0.2">
      <c r="C17" s="2" t="s">
        <v>155</v>
      </c>
      <c r="D17" s="2"/>
      <c r="E17" s="2" t="s">
        <v>157</v>
      </c>
      <c r="F17" s="2"/>
      <c r="G17" t="s">
        <v>156</v>
      </c>
      <c r="H17" t="str">
        <f t="shared" si="0"/>
        <v>TRP</v>
      </c>
      <c r="I17">
        <v>2010</v>
      </c>
      <c r="J17" t="s">
        <v>35</v>
      </c>
      <c r="K17" s="2" t="s">
        <v>17</v>
      </c>
      <c r="L17">
        <v>1</v>
      </c>
      <c r="M17" s="4">
        <f>ConstrData!X17+(ConstrData!AH17-ConstrData!X17)/10</f>
        <v>0</v>
      </c>
      <c r="N17">
        <v>0</v>
      </c>
      <c r="O17">
        <v>5</v>
      </c>
      <c r="P17" s="18" t="str">
        <f t="shared" si="1"/>
        <v>Transportation Rail - Commuter</v>
      </c>
    </row>
    <row r="18" spans="3:16" x14ac:dyDescent="0.2">
      <c r="C18" s="2" t="s">
        <v>155</v>
      </c>
      <c r="D18" s="2"/>
      <c r="E18" s="2" t="s">
        <v>157</v>
      </c>
      <c r="F18" s="2"/>
      <c r="G18" t="s">
        <v>156</v>
      </c>
      <c r="H18" t="str">
        <f t="shared" si="0"/>
        <v>TRP</v>
      </c>
      <c r="I18">
        <v>2055</v>
      </c>
      <c r="J18" t="s">
        <v>35</v>
      </c>
      <c r="K18" s="2" t="s">
        <v>17</v>
      </c>
      <c r="L18">
        <v>1</v>
      </c>
      <c r="M18" s="4">
        <f>ConstrData!AH17</f>
        <v>0</v>
      </c>
      <c r="N18">
        <v>0</v>
      </c>
      <c r="P18" s="18" t="str">
        <f t="shared" si="1"/>
        <v>Transportation Rail - Commuter</v>
      </c>
    </row>
    <row r="19" spans="3:16" x14ac:dyDescent="0.2">
      <c r="C19" s="2" t="s">
        <v>155</v>
      </c>
      <c r="D19" s="2"/>
      <c r="E19" s="2" t="s">
        <v>157</v>
      </c>
      <c r="F19" s="2"/>
      <c r="G19" t="s">
        <v>156</v>
      </c>
      <c r="H19" t="str">
        <f t="shared" si="0"/>
        <v>TRP</v>
      </c>
      <c r="I19">
        <v>2010</v>
      </c>
      <c r="J19" t="s">
        <v>36</v>
      </c>
      <c r="K19" s="2" t="s">
        <v>17</v>
      </c>
      <c r="L19">
        <v>1</v>
      </c>
      <c r="M19" s="4">
        <f>ConstrData!Y17+(ConstrData!AI17-ConstrData!Y17)/10</f>
        <v>-0.1147</v>
      </c>
      <c r="N19">
        <v>0</v>
      </c>
      <c r="O19">
        <v>5</v>
      </c>
      <c r="P19" s="18" t="str">
        <f t="shared" si="1"/>
        <v>Transportation Rail - Commuter</v>
      </c>
    </row>
    <row r="20" spans="3:16" x14ac:dyDescent="0.2">
      <c r="C20" s="2" t="s">
        <v>155</v>
      </c>
      <c r="D20" s="2"/>
      <c r="E20" s="2" t="s">
        <v>157</v>
      </c>
      <c r="F20" s="2"/>
      <c r="G20" t="s">
        <v>156</v>
      </c>
      <c r="H20" t="str">
        <f t="shared" si="0"/>
        <v>TRP</v>
      </c>
      <c r="I20">
        <v>2055</v>
      </c>
      <c r="J20" t="s">
        <v>36</v>
      </c>
      <c r="K20" s="2" t="s">
        <v>17</v>
      </c>
      <c r="L20">
        <v>1</v>
      </c>
      <c r="M20" s="4">
        <f>ConstrData!AI17</f>
        <v>-0.1147</v>
      </c>
      <c r="N20">
        <v>0</v>
      </c>
      <c r="P20" s="18" t="str">
        <f t="shared" si="1"/>
        <v>Transportation Rail - Commuter</v>
      </c>
    </row>
    <row r="21" spans="3:16" x14ac:dyDescent="0.2">
      <c r="C21" s="2" t="s">
        <v>155</v>
      </c>
      <c r="D21" s="2"/>
      <c r="E21" s="2" t="s">
        <v>157</v>
      </c>
      <c r="F21" s="2"/>
      <c r="G21" t="s">
        <v>156</v>
      </c>
      <c r="H21" t="str">
        <f t="shared" si="0"/>
        <v>TRP</v>
      </c>
      <c r="I21">
        <v>2010</v>
      </c>
      <c r="J21" t="s">
        <v>37</v>
      </c>
      <c r="K21" s="2" t="s">
        <v>17</v>
      </c>
      <c r="L21">
        <v>1</v>
      </c>
      <c r="M21" s="4">
        <f>ConstrData!Z17+(ConstrData!AJ17-ConstrData!Z17)/10</f>
        <v>0</v>
      </c>
      <c r="N21">
        <v>0</v>
      </c>
      <c r="O21">
        <v>5</v>
      </c>
      <c r="P21" s="18" t="str">
        <f t="shared" si="1"/>
        <v>Transportation Rail - Commuter</v>
      </c>
    </row>
    <row r="22" spans="3:16" x14ac:dyDescent="0.2">
      <c r="C22" s="2" t="s">
        <v>155</v>
      </c>
      <c r="D22" s="2"/>
      <c r="E22" s="2" t="s">
        <v>157</v>
      </c>
      <c r="F22" s="2"/>
      <c r="G22" t="s">
        <v>156</v>
      </c>
      <c r="H22" t="str">
        <f t="shared" si="0"/>
        <v>TRP</v>
      </c>
      <c r="I22">
        <v>2055</v>
      </c>
      <c r="J22" t="s">
        <v>37</v>
      </c>
      <c r="K22" s="2" t="s">
        <v>17</v>
      </c>
      <c r="L22">
        <v>1</v>
      </c>
      <c r="M22" s="4">
        <f>ConstrData!AJ17</f>
        <v>0</v>
      </c>
      <c r="N22">
        <v>0</v>
      </c>
      <c r="P22" s="18" t="str">
        <f t="shared" si="1"/>
        <v>Transportation Rail - Commuter</v>
      </c>
    </row>
    <row r="23" spans="3:16" x14ac:dyDescent="0.2">
      <c r="C23" s="2" t="s">
        <v>155</v>
      </c>
      <c r="D23" s="2"/>
      <c r="E23" s="2" t="s">
        <v>157</v>
      </c>
      <c r="F23" s="2"/>
      <c r="G23" t="s">
        <v>156</v>
      </c>
      <c r="H23" t="str">
        <f t="shared" si="0"/>
        <v>TRP</v>
      </c>
      <c r="I23">
        <v>2010</v>
      </c>
      <c r="J23" t="s">
        <v>38</v>
      </c>
      <c r="K23" s="2" t="s">
        <v>17</v>
      </c>
      <c r="L23">
        <v>1</v>
      </c>
      <c r="M23" s="4">
        <f>ConstrData!AA17+(ConstrData!AK17-ConstrData!AA17)/10</f>
        <v>-0.11</v>
      </c>
      <c r="N23">
        <v>0</v>
      </c>
      <c r="O23">
        <v>5</v>
      </c>
      <c r="P23" s="18" t="str">
        <f t="shared" si="1"/>
        <v>Transportation Rail - Commuter</v>
      </c>
    </row>
    <row r="24" spans="3:16" x14ac:dyDescent="0.2">
      <c r="C24" s="2" t="s">
        <v>155</v>
      </c>
      <c r="D24" s="2"/>
      <c r="E24" s="2" t="s">
        <v>157</v>
      </c>
      <c r="F24" s="2"/>
      <c r="G24" t="s">
        <v>156</v>
      </c>
      <c r="H24" t="str">
        <f t="shared" si="0"/>
        <v>TRP</v>
      </c>
      <c r="I24">
        <v>2055</v>
      </c>
      <c r="J24" t="s">
        <v>38</v>
      </c>
      <c r="K24" s="2" t="s">
        <v>17</v>
      </c>
      <c r="L24">
        <v>1</v>
      </c>
      <c r="M24" s="4">
        <f>ConstrData!AK17</f>
        <v>-0.11</v>
      </c>
      <c r="N24">
        <v>0</v>
      </c>
      <c r="P24" s="18" t="str">
        <f t="shared" si="1"/>
        <v>Transportation Rail - Commuter</v>
      </c>
    </row>
    <row r="25" spans="3:16" ht="15.75" customHeight="1" x14ac:dyDescent="0.2">
      <c r="C25" s="20" t="s">
        <v>158</v>
      </c>
      <c r="D25" s="2"/>
      <c r="E25" s="2" t="s">
        <v>159</v>
      </c>
      <c r="F25" s="2"/>
      <c r="G25" t="s">
        <v>156</v>
      </c>
      <c r="H25" t="str">
        <f>G$7</f>
        <v>TRP</v>
      </c>
      <c r="I25">
        <v>2010</v>
      </c>
      <c r="J25" t="s">
        <v>30</v>
      </c>
      <c r="K25" s="2" t="s">
        <v>17</v>
      </c>
      <c r="L25">
        <v>1</v>
      </c>
      <c r="M25" s="4">
        <f>ConstrData!S19+(ConstrData!AC19-ConstrData!S19)/10</f>
        <v>-0.45440000000000003</v>
      </c>
      <c r="N25">
        <v>0</v>
      </c>
      <c r="O25">
        <v>5</v>
      </c>
      <c r="P25" s="21" t="str">
        <f>ConstrData!C19</f>
        <v>Transportation Rail - Subways and Streetcars</v>
      </c>
    </row>
    <row r="26" spans="3:16" x14ac:dyDescent="0.2">
      <c r="C26" s="20" t="s">
        <v>158</v>
      </c>
      <c r="D26" s="2"/>
      <c r="E26" s="2" t="s">
        <v>159</v>
      </c>
      <c r="F26" s="2"/>
      <c r="G26" t="s">
        <v>156</v>
      </c>
      <c r="H26" t="str">
        <f t="shared" ref="H26:H42" si="2">G$7</f>
        <v>TRP</v>
      </c>
      <c r="I26">
        <v>2055</v>
      </c>
      <c r="J26" t="s">
        <v>30</v>
      </c>
      <c r="K26" s="2" t="s">
        <v>17</v>
      </c>
      <c r="L26">
        <v>1</v>
      </c>
      <c r="M26" s="4">
        <f>ConstrData!AC19</f>
        <v>-0.45440000000000003</v>
      </c>
      <c r="N26">
        <v>0</v>
      </c>
      <c r="P26" s="18" t="str">
        <f>P25</f>
        <v>Transportation Rail - Subways and Streetcars</v>
      </c>
    </row>
    <row r="27" spans="3:16" x14ac:dyDescent="0.2">
      <c r="C27" s="20" t="s">
        <v>158</v>
      </c>
      <c r="D27" s="2"/>
      <c r="E27" s="2" t="s">
        <v>159</v>
      </c>
      <c r="F27" s="2"/>
      <c r="G27" t="s">
        <v>156</v>
      </c>
      <c r="H27" t="str">
        <f t="shared" si="2"/>
        <v>TRP</v>
      </c>
      <c r="I27">
        <v>2010</v>
      </c>
      <c r="J27" t="s">
        <v>31</v>
      </c>
      <c r="K27" s="2" t="s">
        <v>17</v>
      </c>
      <c r="L27">
        <v>1</v>
      </c>
      <c r="M27" s="4">
        <f>ConstrData!T19+(ConstrData!AD19-ConstrData!T19)/10</f>
        <v>-0.60550000000000004</v>
      </c>
      <c r="N27">
        <v>0</v>
      </c>
      <c r="O27">
        <v>5</v>
      </c>
      <c r="P27" s="18" t="str">
        <f t="shared" ref="P27:P42" si="3">P26</f>
        <v>Transportation Rail - Subways and Streetcars</v>
      </c>
    </row>
    <row r="28" spans="3:16" x14ac:dyDescent="0.2">
      <c r="C28" s="20" t="s">
        <v>158</v>
      </c>
      <c r="D28" s="2"/>
      <c r="E28" s="2" t="s">
        <v>159</v>
      </c>
      <c r="F28" s="2"/>
      <c r="G28" t="s">
        <v>156</v>
      </c>
      <c r="H28" t="str">
        <f t="shared" si="2"/>
        <v>TRP</v>
      </c>
      <c r="I28">
        <v>2055</v>
      </c>
      <c r="J28" t="s">
        <v>31</v>
      </c>
      <c r="K28" s="2" t="s">
        <v>17</v>
      </c>
      <c r="L28">
        <v>1</v>
      </c>
      <c r="M28" s="4">
        <f>ConstrData!AD19</f>
        <v>-0.60550000000000004</v>
      </c>
      <c r="N28">
        <v>0</v>
      </c>
      <c r="P28" s="18" t="str">
        <f t="shared" si="3"/>
        <v>Transportation Rail - Subways and Streetcars</v>
      </c>
    </row>
    <row r="29" spans="3:16" x14ac:dyDescent="0.2">
      <c r="C29" s="20" t="s">
        <v>158</v>
      </c>
      <c r="D29" s="2"/>
      <c r="E29" s="2" t="s">
        <v>159</v>
      </c>
      <c r="F29" s="2"/>
      <c r="G29" t="s">
        <v>156</v>
      </c>
      <c r="H29" t="str">
        <f t="shared" si="2"/>
        <v>TRP</v>
      </c>
      <c r="I29">
        <v>2010</v>
      </c>
      <c r="J29" t="s">
        <v>32</v>
      </c>
      <c r="K29" s="2" t="s">
        <v>17</v>
      </c>
      <c r="L29">
        <v>1</v>
      </c>
      <c r="M29" s="4">
        <f>ConstrData!U19+(ConstrData!AE19-ConstrData!U19)/10</f>
        <v>-0.36849999999999999</v>
      </c>
      <c r="N29">
        <v>0</v>
      </c>
      <c r="O29">
        <v>5</v>
      </c>
      <c r="P29" s="18" t="str">
        <f t="shared" si="3"/>
        <v>Transportation Rail - Subways and Streetcars</v>
      </c>
    </row>
    <row r="30" spans="3:16" x14ac:dyDescent="0.2">
      <c r="C30" s="20" t="s">
        <v>158</v>
      </c>
      <c r="D30" s="2"/>
      <c r="E30" s="2" t="s">
        <v>159</v>
      </c>
      <c r="F30" s="2"/>
      <c r="G30" t="s">
        <v>156</v>
      </c>
      <c r="H30" t="str">
        <f t="shared" si="2"/>
        <v>TRP</v>
      </c>
      <c r="I30">
        <v>2055</v>
      </c>
      <c r="J30" t="s">
        <v>32</v>
      </c>
      <c r="K30" s="2" t="s">
        <v>17</v>
      </c>
      <c r="L30">
        <v>1</v>
      </c>
      <c r="M30" s="4">
        <f>ConstrData!AE19</f>
        <v>-0.36849999999999999</v>
      </c>
      <c r="N30">
        <v>0</v>
      </c>
      <c r="P30" s="18" t="str">
        <f t="shared" si="3"/>
        <v>Transportation Rail - Subways and Streetcars</v>
      </c>
    </row>
    <row r="31" spans="3:16" x14ac:dyDescent="0.2">
      <c r="C31" s="20" t="s">
        <v>158</v>
      </c>
      <c r="D31" s="2"/>
      <c r="E31" s="2" t="s">
        <v>159</v>
      </c>
      <c r="F31" s="2"/>
      <c r="G31" t="s">
        <v>156</v>
      </c>
      <c r="H31" t="str">
        <f t="shared" si="2"/>
        <v>TRP</v>
      </c>
      <c r="I31">
        <v>2010</v>
      </c>
      <c r="J31" t="s">
        <v>33</v>
      </c>
      <c r="K31" s="2" t="s">
        <v>17</v>
      </c>
      <c r="L31">
        <v>1</v>
      </c>
      <c r="M31" s="4">
        <f>ConstrData!V19+(ConstrData!AF19-ConstrData!V19)/10</f>
        <v>-0.33489999999999998</v>
      </c>
      <c r="N31">
        <v>0</v>
      </c>
      <c r="O31">
        <v>5</v>
      </c>
      <c r="P31" s="18" t="str">
        <f t="shared" si="3"/>
        <v>Transportation Rail - Subways and Streetcars</v>
      </c>
    </row>
    <row r="32" spans="3:16" x14ac:dyDescent="0.2">
      <c r="C32" s="20" t="s">
        <v>158</v>
      </c>
      <c r="D32" s="2"/>
      <c r="E32" s="2" t="s">
        <v>159</v>
      </c>
      <c r="F32" s="2"/>
      <c r="G32" t="s">
        <v>156</v>
      </c>
      <c r="H32" t="str">
        <f t="shared" si="2"/>
        <v>TRP</v>
      </c>
      <c r="I32">
        <v>2055</v>
      </c>
      <c r="J32" t="s">
        <v>33</v>
      </c>
      <c r="K32" s="2" t="s">
        <v>17</v>
      </c>
      <c r="L32">
        <v>1</v>
      </c>
      <c r="M32" s="4">
        <f>ConstrData!AF19</f>
        <v>-0.33489999999999998</v>
      </c>
      <c r="N32">
        <v>0</v>
      </c>
      <c r="P32" s="18" t="str">
        <f t="shared" si="3"/>
        <v>Transportation Rail - Subways and Streetcars</v>
      </c>
    </row>
    <row r="33" spans="3:16" x14ac:dyDescent="0.2">
      <c r="C33" s="20" t="s">
        <v>158</v>
      </c>
      <c r="D33" s="2"/>
      <c r="E33" s="2" t="s">
        <v>159</v>
      </c>
      <c r="F33" s="2"/>
      <c r="G33" t="s">
        <v>156</v>
      </c>
      <c r="H33" t="str">
        <f t="shared" si="2"/>
        <v>TRP</v>
      </c>
      <c r="I33">
        <v>2010</v>
      </c>
      <c r="J33" t="s">
        <v>34</v>
      </c>
      <c r="K33" s="2" t="s">
        <v>17</v>
      </c>
      <c r="L33">
        <v>1</v>
      </c>
      <c r="M33" s="4">
        <f>ConstrData!W19+(ConstrData!AG19-ConstrData!W19)/10</f>
        <v>-0.58830000000000005</v>
      </c>
      <c r="N33">
        <v>0</v>
      </c>
      <c r="O33">
        <v>5</v>
      </c>
      <c r="P33" s="18" t="str">
        <f t="shared" si="3"/>
        <v>Transportation Rail - Subways and Streetcars</v>
      </c>
    </row>
    <row r="34" spans="3:16" x14ac:dyDescent="0.2">
      <c r="C34" s="20" t="s">
        <v>158</v>
      </c>
      <c r="D34" s="2"/>
      <c r="E34" s="2" t="s">
        <v>159</v>
      </c>
      <c r="F34" s="2"/>
      <c r="G34" t="s">
        <v>156</v>
      </c>
      <c r="H34" t="str">
        <f t="shared" si="2"/>
        <v>TRP</v>
      </c>
      <c r="I34">
        <v>2055</v>
      </c>
      <c r="J34" t="s">
        <v>34</v>
      </c>
      <c r="K34" s="2" t="s">
        <v>17</v>
      </c>
      <c r="L34">
        <v>1</v>
      </c>
      <c r="M34" s="4">
        <f>ConstrData!AG19</f>
        <v>-0.58830000000000005</v>
      </c>
      <c r="N34">
        <v>0</v>
      </c>
      <c r="P34" s="18" t="str">
        <f t="shared" si="3"/>
        <v>Transportation Rail - Subways and Streetcars</v>
      </c>
    </row>
    <row r="35" spans="3:16" x14ac:dyDescent="0.2">
      <c r="C35" s="20" t="s">
        <v>158</v>
      </c>
      <c r="D35" s="2"/>
      <c r="E35" s="2" t="s">
        <v>159</v>
      </c>
      <c r="F35" s="2"/>
      <c r="G35" t="s">
        <v>156</v>
      </c>
      <c r="H35" t="str">
        <f t="shared" si="2"/>
        <v>TRP</v>
      </c>
      <c r="I35">
        <v>2010</v>
      </c>
      <c r="J35" t="s">
        <v>35</v>
      </c>
      <c r="K35" s="2" t="s">
        <v>17</v>
      </c>
      <c r="L35">
        <v>1</v>
      </c>
      <c r="M35" s="4">
        <f>ConstrData!X19+(ConstrData!AH19-ConstrData!X19)/10</f>
        <v>-2.4199999999999999E-2</v>
      </c>
      <c r="N35">
        <v>0</v>
      </c>
      <c r="O35">
        <v>5</v>
      </c>
      <c r="P35" s="18" t="str">
        <f t="shared" si="3"/>
        <v>Transportation Rail - Subways and Streetcars</v>
      </c>
    </row>
    <row r="36" spans="3:16" x14ac:dyDescent="0.2">
      <c r="C36" s="20" t="s">
        <v>158</v>
      </c>
      <c r="D36" s="2"/>
      <c r="E36" s="2" t="s">
        <v>159</v>
      </c>
      <c r="F36" s="2"/>
      <c r="G36" t="s">
        <v>156</v>
      </c>
      <c r="H36" t="str">
        <f t="shared" si="2"/>
        <v>TRP</v>
      </c>
      <c r="I36">
        <v>2055</v>
      </c>
      <c r="J36" t="s">
        <v>35</v>
      </c>
      <c r="K36" s="2" t="s">
        <v>17</v>
      </c>
      <c r="L36">
        <v>1</v>
      </c>
      <c r="M36" s="4">
        <f>ConstrData!AH19</f>
        <v>-2.4199999999999999E-2</v>
      </c>
      <c r="N36">
        <v>0</v>
      </c>
      <c r="P36" s="18" t="str">
        <f t="shared" si="3"/>
        <v>Transportation Rail - Subways and Streetcars</v>
      </c>
    </row>
    <row r="37" spans="3:16" x14ac:dyDescent="0.2">
      <c r="C37" s="20" t="s">
        <v>158</v>
      </c>
      <c r="D37" s="2"/>
      <c r="E37" s="2" t="s">
        <v>159</v>
      </c>
      <c r="F37" s="2"/>
      <c r="G37" t="s">
        <v>156</v>
      </c>
      <c r="H37" t="str">
        <f t="shared" si="2"/>
        <v>TRP</v>
      </c>
      <c r="I37">
        <v>2010</v>
      </c>
      <c r="J37" t="s">
        <v>36</v>
      </c>
      <c r="K37" s="2" t="s">
        <v>17</v>
      </c>
      <c r="L37">
        <v>1</v>
      </c>
      <c r="M37" s="4">
        <f>ConstrData!Y19+(ConstrData!AI19-ConstrData!Y19)/10</f>
        <v>-0.35699999999999998</v>
      </c>
      <c r="N37">
        <v>0</v>
      </c>
      <c r="O37">
        <v>5</v>
      </c>
      <c r="P37" s="18" t="str">
        <f t="shared" si="3"/>
        <v>Transportation Rail - Subways and Streetcars</v>
      </c>
    </row>
    <row r="38" spans="3:16" x14ac:dyDescent="0.2">
      <c r="C38" s="20" t="s">
        <v>158</v>
      </c>
      <c r="D38" s="2"/>
      <c r="E38" s="2" t="s">
        <v>159</v>
      </c>
      <c r="F38" s="2"/>
      <c r="G38" t="s">
        <v>156</v>
      </c>
      <c r="H38" t="str">
        <f t="shared" si="2"/>
        <v>TRP</v>
      </c>
      <c r="I38">
        <v>2055</v>
      </c>
      <c r="J38" t="s">
        <v>36</v>
      </c>
      <c r="K38" s="2" t="s">
        <v>17</v>
      </c>
      <c r="L38">
        <v>1</v>
      </c>
      <c r="M38" s="4">
        <f>ConstrData!AI19</f>
        <v>-0.35699999999999998</v>
      </c>
      <c r="N38">
        <v>0</v>
      </c>
      <c r="P38" s="18" t="str">
        <f t="shared" si="3"/>
        <v>Transportation Rail - Subways and Streetcars</v>
      </c>
    </row>
    <row r="39" spans="3:16" x14ac:dyDescent="0.2">
      <c r="C39" s="20" t="s">
        <v>158</v>
      </c>
      <c r="D39" s="2"/>
      <c r="E39" s="2" t="s">
        <v>159</v>
      </c>
      <c r="F39" s="2"/>
      <c r="G39" t="s">
        <v>156</v>
      </c>
      <c r="H39" t="str">
        <f t="shared" si="2"/>
        <v>TRP</v>
      </c>
      <c r="I39">
        <v>2010</v>
      </c>
      <c r="J39" t="s">
        <v>37</v>
      </c>
      <c r="K39" s="2" t="s">
        <v>17</v>
      </c>
      <c r="L39">
        <v>1</v>
      </c>
      <c r="M39" s="4">
        <f>ConstrData!Z19+(ConstrData!AJ19-ConstrData!Z19)/10</f>
        <v>-0.37580000000000002</v>
      </c>
      <c r="N39">
        <v>0</v>
      </c>
      <c r="O39">
        <v>5</v>
      </c>
      <c r="P39" s="18" t="str">
        <f t="shared" si="3"/>
        <v>Transportation Rail - Subways and Streetcars</v>
      </c>
    </row>
    <row r="40" spans="3:16" x14ac:dyDescent="0.2">
      <c r="C40" s="20" t="s">
        <v>158</v>
      </c>
      <c r="D40" s="2"/>
      <c r="E40" s="2" t="s">
        <v>159</v>
      </c>
      <c r="F40" s="2"/>
      <c r="G40" t="s">
        <v>156</v>
      </c>
      <c r="H40" t="str">
        <f t="shared" si="2"/>
        <v>TRP</v>
      </c>
      <c r="I40">
        <v>2055</v>
      </c>
      <c r="J40" t="s">
        <v>37</v>
      </c>
      <c r="K40" s="2" t="s">
        <v>17</v>
      </c>
      <c r="L40">
        <v>1</v>
      </c>
      <c r="M40" s="4">
        <f>ConstrData!AJ19</f>
        <v>-0.37580000000000002</v>
      </c>
      <c r="N40">
        <v>0</v>
      </c>
      <c r="P40" s="18" t="str">
        <f t="shared" si="3"/>
        <v>Transportation Rail - Subways and Streetcars</v>
      </c>
    </row>
    <row r="41" spans="3:16" x14ac:dyDescent="0.2">
      <c r="C41" s="20" t="s">
        <v>158</v>
      </c>
      <c r="D41" s="2"/>
      <c r="E41" s="2" t="s">
        <v>159</v>
      </c>
      <c r="F41" s="2"/>
      <c r="G41" t="s">
        <v>156</v>
      </c>
      <c r="H41" t="str">
        <f t="shared" si="2"/>
        <v>TRP</v>
      </c>
      <c r="I41">
        <v>2010</v>
      </c>
      <c r="J41" t="s">
        <v>38</v>
      </c>
      <c r="K41" s="2" t="s">
        <v>17</v>
      </c>
      <c r="L41">
        <v>1</v>
      </c>
      <c r="M41" s="4">
        <f>ConstrData!AA19+(ConstrData!AK19-ConstrData!AA19)/10</f>
        <v>-0.43769999999999998</v>
      </c>
      <c r="N41">
        <v>0</v>
      </c>
      <c r="O41">
        <v>5</v>
      </c>
      <c r="P41" s="18" t="str">
        <f t="shared" si="3"/>
        <v>Transportation Rail - Subways and Streetcars</v>
      </c>
    </row>
    <row r="42" spans="3:16" x14ac:dyDescent="0.2">
      <c r="C42" s="20" t="s">
        <v>158</v>
      </c>
      <c r="D42" s="2"/>
      <c r="E42" s="2" t="s">
        <v>159</v>
      </c>
      <c r="F42" s="2"/>
      <c r="G42" t="s">
        <v>156</v>
      </c>
      <c r="H42" t="str">
        <f t="shared" si="2"/>
        <v>TRP</v>
      </c>
      <c r="I42">
        <v>2055</v>
      </c>
      <c r="J42" t="s">
        <v>38</v>
      </c>
      <c r="K42" s="2" t="s">
        <v>17</v>
      </c>
      <c r="L42">
        <v>1</v>
      </c>
      <c r="M42" s="4">
        <f>ConstrData!AK19</f>
        <v>-0.43769999999999998</v>
      </c>
      <c r="N42">
        <v>0</v>
      </c>
      <c r="P42" s="18" t="str">
        <f t="shared" si="3"/>
        <v>Transportation Rail - Subways and Streetcars</v>
      </c>
    </row>
    <row r="43" spans="3:16" x14ac:dyDescent="0.2">
      <c r="C43" s="20" t="s">
        <v>160</v>
      </c>
      <c r="D43" s="2"/>
      <c r="E43" s="2" t="s">
        <v>161</v>
      </c>
      <c r="F43" s="2"/>
      <c r="G43" t="s">
        <v>156</v>
      </c>
      <c r="H43" t="str">
        <f>G$7</f>
        <v>TRP</v>
      </c>
      <c r="I43">
        <v>2010</v>
      </c>
      <c r="J43" t="s">
        <v>30</v>
      </c>
      <c r="K43" s="2" t="s">
        <v>17</v>
      </c>
      <c r="L43">
        <v>1</v>
      </c>
      <c r="M43" s="4">
        <f>ConstrData!S21+(ConstrData!AC21-ConstrData!S21)/10</f>
        <v>-0.27360000000000001</v>
      </c>
      <c r="N43">
        <v>0</v>
      </c>
      <c r="O43">
        <v>5</v>
      </c>
      <c r="P43" s="21" t="str">
        <f>ConstrData!C21</f>
        <v>Transportation Rail - Intercity</v>
      </c>
    </row>
    <row r="44" spans="3:16" x14ac:dyDescent="0.2">
      <c r="C44" s="20" t="s">
        <v>160</v>
      </c>
      <c r="D44" s="2"/>
      <c r="E44" s="2" t="s">
        <v>161</v>
      </c>
      <c r="F44" s="2"/>
      <c r="G44" t="s">
        <v>156</v>
      </c>
      <c r="H44" t="str">
        <f t="shared" ref="H44:H60" si="4">G$7</f>
        <v>TRP</v>
      </c>
      <c r="I44">
        <v>2055</v>
      </c>
      <c r="J44" t="s">
        <v>30</v>
      </c>
      <c r="K44" s="2" t="s">
        <v>17</v>
      </c>
      <c r="L44">
        <v>1</v>
      </c>
      <c r="M44" s="4">
        <f>ConstrData!AC21</f>
        <v>-0.27360000000000001</v>
      </c>
      <c r="N44">
        <v>0</v>
      </c>
      <c r="P44" s="21" t="str">
        <f>P43</f>
        <v>Transportation Rail - Intercity</v>
      </c>
    </row>
    <row r="45" spans="3:16" x14ac:dyDescent="0.2">
      <c r="C45" s="20" t="s">
        <v>160</v>
      </c>
      <c r="D45" s="2"/>
      <c r="E45" s="2" t="s">
        <v>161</v>
      </c>
      <c r="F45" s="2"/>
      <c r="G45" t="s">
        <v>156</v>
      </c>
      <c r="H45" t="str">
        <f t="shared" si="4"/>
        <v>TRP</v>
      </c>
      <c r="I45">
        <v>2010</v>
      </c>
      <c r="J45" t="s">
        <v>31</v>
      </c>
      <c r="K45" s="2" t="s">
        <v>17</v>
      </c>
      <c r="L45">
        <v>1</v>
      </c>
      <c r="M45" s="4">
        <f>ConstrData!T21+(ConstrData!AD21-ConstrData!T21)/10</f>
        <v>-0.13689999999999999</v>
      </c>
      <c r="N45">
        <v>0</v>
      </c>
      <c r="O45">
        <v>5</v>
      </c>
      <c r="P45" s="21" t="str">
        <f t="shared" ref="P45:P59" si="5">P44</f>
        <v>Transportation Rail - Intercity</v>
      </c>
    </row>
    <row r="46" spans="3:16" x14ac:dyDescent="0.2">
      <c r="C46" s="20" t="s">
        <v>160</v>
      </c>
      <c r="D46" s="2"/>
      <c r="E46" s="2" t="s">
        <v>161</v>
      </c>
      <c r="F46" s="2"/>
      <c r="G46" t="s">
        <v>156</v>
      </c>
      <c r="H46" t="str">
        <f t="shared" si="4"/>
        <v>TRP</v>
      </c>
      <c r="I46">
        <v>2055</v>
      </c>
      <c r="J46" t="s">
        <v>31</v>
      </c>
      <c r="K46" s="2" t="s">
        <v>17</v>
      </c>
      <c r="L46">
        <v>1</v>
      </c>
      <c r="M46" s="4">
        <f>ConstrData!AD21</f>
        <v>-0.13689999999999999</v>
      </c>
      <c r="N46">
        <v>0</v>
      </c>
      <c r="P46" s="21" t="str">
        <f t="shared" si="5"/>
        <v>Transportation Rail - Intercity</v>
      </c>
    </row>
    <row r="47" spans="3:16" x14ac:dyDescent="0.2">
      <c r="C47" s="20" t="s">
        <v>160</v>
      </c>
      <c r="D47" s="2"/>
      <c r="E47" s="2" t="s">
        <v>161</v>
      </c>
      <c r="F47" s="2"/>
      <c r="G47" t="s">
        <v>156</v>
      </c>
      <c r="H47" t="str">
        <f t="shared" si="4"/>
        <v>TRP</v>
      </c>
      <c r="I47">
        <v>2010</v>
      </c>
      <c r="J47" t="s">
        <v>32</v>
      </c>
      <c r="K47" s="2" t="s">
        <v>17</v>
      </c>
      <c r="L47">
        <v>1</v>
      </c>
      <c r="M47" s="4">
        <f>ConstrData!U21+(ConstrData!AE21-ConstrData!U21)/10</f>
        <v>-0.20419999999999999</v>
      </c>
      <c r="N47">
        <v>0</v>
      </c>
      <c r="O47">
        <v>5</v>
      </c>
      <c r="P47" s="21" t="str">
        <f t="shared" si="5"/>
        <v>Transportation Rail - Intercity</v>
      </c>
    </row>
    <row r="48" spans="3:16" x14ac:dyDescent="0.2">
      <c r="C48" s="20" t="s">
        <v>160</v>
      </c>
      <c r="D48" s="2"/>
      <c r="E48" s="2" t="s">
        <v>161</v>
      </c>
      <c r="F48" s="2"/>
      <c r="G48" t="s">
        <v>156</v>
      </c>
      <c r="H48" t="str">
        <f t="shared" si="4"/>
        <v>TRP</v>
      </c>
      <c r="I48">
        <v>2055</v>
      </c>
      <c r="J48" t="s">
        <v>32</v>
      </c>
      <c r="K48" s="2" t="s">
        <v>17</v>
      </c>
      <c r="L48">
        <v>1</v>
      </c>
      <c r="M48" s="4">
        <f>ConstrData!AE21</f>
        <v>-0.20419999999999999</v>
      </c>
      <c r="N48">
        <v>0</v>
      </c>
      <c r="P48" s="21" t="str">
        <f t="shared" si="5"/>
        <v>Transportation Rail - Intercity</v>
      </c>
    </row>
    <row r="49" spans="3:16" x14ac:dyDescent="0.2">
      <c r="C49" s="20" t="s">
        <v>160</v>
      </c>
      <c r="D49" s="2"/>
      <c r="E49" s="2" t="s">
        <v>161</v>
      </c>
      <c r="F49" s="2"/>
      <c r="G49" t="s">
        <v>156</v>
      </c>
      <c r="H49" t="str">
        <f t="shared" si="4"/>
        <v>TRP</v>
      </c>
      <c r="I49">
        <v>2010</v>
      </c>
      <c r="J49" t="s">
        <v>33</v>
      </c>
      <c r="K49" s="2" t="s">
        <v>17</v>
      </c>
      <c r="L49">
        <v>1</v>
      </c>
      <c r="M49" s="4">
        <f>ConstrData!V21+(ConstrData!AF21-ConstrData!V21)/10</f>
        <v>-0.66510000000000002</v>
      </c>
      <c r="N49">
        <v>0</v>
      </c>
      <c r="O49">
        <v>5</v>
      </c>
      <c r="P49" s="21" t="str">
        <f t="shared" si="5"/>
        <v>Transportation Rail - Intercity</v>
      </c>
    </row>
    <row r="50" spans="3:16" x14ac:dyDescent="0.2">
      <c r="C50" s="20" t="s">
        <v>160</v>
      </c>
      <c r="D50" s="2"/>
      <c r="E50" s="2" t="s">
        <v>161</v>
      </c>
      <c r="F50" s="2"/>
      <c r="G50" t="s">
        <v>156</v>
      </c>
      <c r="H50" t="str">
        <f t="shared" si="4"/>
        <v>TRP</v>
      </c>
      <c r="I50">
        <v>2055</v>
      </c>
      <c r="J50" t="s">
        <v>33</v>
      </c>
      <c r="K50" s="2" t="s">
        <v>17</v>
      </c>
      <c r="L50">
        <v>1</v>
      </c>
      <c r="M50" s="4">
        <f>ConstrData!AF21</f>
        <v>-0.66510000000000002</v>
      </c>
      <c r="N50">
        <v>0</v>
      </c>
      <c r="P50" s="21" t="str">
        <f t="shared" si="5"/>
        <v>Transportation Rail - Intercity</v>
      </c>
    </row>
    <row r="51" spans="3:16" x14ac:dyDescent="0.2">
      <c r="C51" s="20" t="s">
        <v>160</v>
      </c>
      <c r="D51" s="2"/>
      <c r="E51" s="2" t="s">
        <v>161</v>
      </c>
      <c r="F51" s="2"/>
      <c r="G51" t="s">
        <v>156</v>
      </c>
      <c r="H51" t="str">
        <f t="shared" si="4"/>
        <v>TRP</v>
      </c>
      <c r="I51">
        <v>2010</v>
      </c>
      <c r="J51" t="s">
        <v>34</v>
      </c>
      <c r="K51" s="2" t="s">
        <v>17</v>
      </c>
      <c r="L51">
        <v>1</v>
      </c>
      <c r="M51" s="4">
        <f>ConstrData!W21+(ConstrData!AG21-ConstrData!W21)/10</f>
        <v>-0.34449999999999997</v>
      </c>
      <c r="N51">
        <v>0</v>
      </c>
      <c r="O51">
        <v>5</v>
      </c>
      <c r="P51" s="21" t="str">
        <f t="shared" si="5"/>
        <v>Transportation Rail - Intercity</v>
      </c>
    </row>
    <row r="52" spans="3:16" x14ac:dyDescent="0.2">
      <c r="C52" s="20" t="s">
        <v>160</v>
      </c>
      <c r="D52" s="2"/>
      <c r="E52" s="2" t="s">
        <v>161</v>
      </c>
      <c r="F52" s="2"/>
      <c r="G52" t="s">
        <v>156</v>
      </c>
      <c r="H52" t="str">
        <f t="shared" si="4"/>
        <v>TRP</v>
      </c>
      <c r="I52">
        <v>2055</v>
      </c>
      <c r="J52" t="s">
        <v>34</v>
      </c>
      <c r="K52" s="2" t="s">
        <v>17</v>
      </c>
      <c r="L52">
        <v>1</v>
      </c>
      <c r="M52" s="4">
        <f>ConstrData!AG21</f>
        <v>-0.34449999999999997</v>
      </c>
      <c r="N52">
        <v>0</v>
      </c>
      <c r="P52" s="21" t="str">
        <f t="shared" si="5"/>
        <v>Transportation Rail - Intercity</v>
      </c>
    </row>
    <row r="53" spans="3:16" x14ac:dyDescent="0.2">
      <c r="C53" s="20" t="s">
        <v>160</v>
      </c>
      <c r="D53" s="2"/>
      <c r="E53" s="2" t="s">
        <v>161</v>
      </c>
      <c r="F53" s="2"/>
      <c r="G53" t="s">
        <v>156</v>
      </c>
      <c r="H53" t="str">
        <f t="shared" si="4"/>
        <v>TRP</v>
      </c>
      <c r="I53">
        <v>2010</v>
      </c>
      <c r="J53" t="s">
        <v>35</v>
      </c>
      <c r="K53" s="2" t="s">
        <v>17</v>
      </c>
      <c r="L53">
        <v>1</v>
      </c>
      <c r="M53" s="4">
        <f>ConstrData!X21+(ConstrData!AH21-ConstrData!X21)/10</f>
        <v>-0.9758</v>
      </c>
      <c r="N53">
        <v>0</v>
      </c>
      <c r="O53">
        <v>5</v>
      </c>
      <c r="P53" s="21" t="str">
        <f t="shared" si="5"/>
        <v>Transportation Rail - Intercity</v>
      </c>
    </row>
    <row r="54" spans="3:16" x14ac:dyDescent="0.2">
      <c r="C54" s="20" t="s">
        <v>160</v>
      </c>
      <c r="D54" s="2"/>
      <c r="E54" s="2" t="s">
        <v>161</v>
      </c>
      <c r="F54" s="2"/>
      <c r="G54" t="s">
        <v>156</v>
      </c>
      <c r="H54" t="str">
        <f t="shared" si="4"/>
        <v>TRP</v>
      </c>
      <c r="I54">
        <v>2055</v>
      </c>
      <c r="J54" t="s">
        <v>35</v>
      </c>
      <c r="K54" s="2" t="s">
        <v>17</v>
      </c>
      <c r="L54">
        <v>1</v>
      </c>
      <c r="M54" s="4">
        <f>ConstrData!AH21</f>
        <v>-0.9758</v>
      </c>
      <c r="N54">
        <v>0</v>
      </c>
      <c r="P54" s="21" t="str">
        <f t="shared" si="5"/>
        <v>Transportation Rail - Intercity</v>
      </c>
    </row>
    <row r="55" spans="3:16" x14ac:dyDescent="0.2">
      <c r="C55" s="20" t="s">
        <v>160</v>
      </c>
      <c r="D55" s="2"/>
      <c r="E55" s="2" t="s">
        <v>161</v>
      </c>
      <c r="F55" s="2"/>
      <c r="G55" t="s">
        <v>156</v>
      </c>
      <c r="H55" t="str">
        <f t="shared" si="4"/>
        <v>TRP</v>
      </c>
      <c r="I55">
        <v>2010</v>
      </c>
      <c r="J55" t="s">
        <v>36</v>
      </c>
      <c r="K55" s="2" t="s">
        <v>17</v>
      </c>
      <c r="L55">
        <v>1</v>
      </c>
      <c r="M55" s="4">
        <f>ConstrData!Y21+(ConstrData!AI21-ConstrData!Y21)/10</f>
        <v>-0.52829999999999999</v>
      </c>
      <c r="N55">
        <v>0</v>
      </c>
      <c r="O55">
        <v>5</v>
      </c>
      <c r="P55" s="21" t="str">
        <f t="shared" si="5"/>
        <v>Transportation Rail - Intercity</v>
      </c>
    </row>
    <row r="56" spans="3:16" x14ac:dyDescent="0.2">
      <c r="C56" s="20" t="s">
        <v>160</v>
      </c>
      <c r="D56" s="2"/>
      <c r="E56" s="2" t="s">
        <v>161</v>
      </c>
      <c r="F56" s="2"/>
      <c r="G56" t="s">
        <v>156</v>
      </c>
      <c r="H56" t="str">
        <f t="shared" si="4"/>
        <v>TRP</v>
      </c>
      <c r="I56">
        <v>2055</v>
      </c>
      <c r="J56" t="s">
        <v>36</v>
      </c>
      <c r="K56" s="2" t="s">
        <v>17</v>
      </c>
      <c r="L56">
        <v>1</v>
      </c>
      <c r="M56" s="4">
        <f>ConstrData!AI21</f>
        <v>-0.52829999999999999</v>
      </c>
      <c r="N56">
        <v>0</v>
      </c>
      <c r="P56" s="21" t="str">
        <f t="shared" si="5"/>
        <v>Transportation Rail - Intercity</v>
      </c>
    </row>
    <row r="57" spans="3:16" x14ac:dyDescent="0.2">
      <c r="C57" s="20" t="s">
        <v>160</v>
      </c>
      <c r="D57" s="2"/>
      <c r="E57" s="2" t="s">
        <v>161</v>
      </c>
      <c r="F57" s="2"/>
      <c r="G57" t="s">
        <v>156</v>
      </c>
      <c r="H57" t="str">
        <f t="shared" si="4"/>
        <v>TRP</v>
      </c>
      <c r="I57">
        <v>2010</v>
      </c>
      <c r="J57" t="s">
        <v>37</v>
      </c>
      <c r="K57" s="2" t="s">
        <v>17</v>
      </c>
      <c r="L57">
        <v>1</v>
      </c>
      <c r="M57" s="4">
        <f>ConstrData!Z21+(ConstrData!AJ21-ConstrData!Z21)/10</f>
        <v>-0.62419999999999998</v>
      </c>
      <c r="N57">
        <v>0</v>
      </c>
      <c r="O57">
        <v>5</v>
      </c>
      <c r="P57" s="21" t="str">
        <f t="shared" si="5"/>
        <v>Transportation Rail - Intercity</v>
      </c>
    </row>
    <row r="58" spans="3:16" x14ac:dyDescent="0.2">
      <c r="C58" s="20" t="s">
        <v>160</v>
      </c>
      <c r="D58" s="2"/>
      <c r="E58" s="2" t="s">
        <v>161</v>
      </c>
      <c r="F58" s="2"/>
      <c r="G58" t="s">
        <v>156</v>
      </c>
      <c r="H58" t="str">
        <f t="shared" si="4"/>
        <v>TRP</v>
      </c>
      <c r="I58">
        <v>2055</v>
      </c>
      <c r="J58" t="s">
        <v>37</v>
      </c>
      <c r="K58" s="2" t="s">
        <v>17</v>
      </c>
      <c r="L58">
        <v>1</v>
      </c>
      <c r="M58" s="4">
        <f>ConstrData!AJ21</f>
        <v>-0.62419999999999998</v>
      </c>
      <c r="N58">
        <v>0</v>
      </c>
      <c r="P58" s="21" t="str">
        <f t="shared" si="5"/>
        <v>Transportation Rail - Intercity</v>
      </c>
    </row>
    <row r="59" spans="3:16" x14ac:dyDescent="0.2">
      <c r="C59" s="20" t="s">
        <v>160</v>
      </c>
      <c r="D59" s="2"/>
      <c r="E59" s="2" t="s">
        <v>161</v>
      </c>
      <c r="F59" s="2"/>
      <c r="G59" t="s">
        <v>156</v>
      </c>
      <c r="H59" t="str">
        <f t="shared" si="4"/>
        <v>TRP</v>
      </c>
      <c r="I59">
        <v>2010</v>
      </c>
      <c r="J59" t="s">
        <v>38</v>
      </c>
      <c r="K59" s="2" t="s">
        <v>17</v>
      </c>
      <c r="L59">
        <v>1</v>
      </c>
      <c r="M59" s="4">
        <f>ConstrData!AA21+(ConstrData!AK21-ConstrData!AA21)/10</f>
        <v>-0.45229999999999998</v>
      </c>
      <c r="N59">
        <v>0</v>
      </c>
      <c r="O59">
        <v>5</v>
      </c>
      <c r="P59" s="21" t="str">
        <f t="shared" si="5"/>
        <v>Transportation Rail - Intercity</v>
      </c>
    </row>
    <row r="60" spans="3:16" x14ac:dyDescent="0.2">
      <c r="C60" s="20" t="s">
        <v>160</v>
      </c>
      <c r="D60" s="2"/>
      <c r="E60" s="2" t="s">
        <v>161</v>
      </c>
      <c r="F60" s="2"/>
      <c r="G60" t="s">
        <v>156</v>
      </c>
      <c r="H60" t="str">
        <f t="shared" si="4"/>
        <v>TRP</v>
      </c>
      <c r="I60">
        <v>2055</v>
      </c>
      <c r="J60" t="s">
        <v>38</v>
      </c>
      <c r="K60" s="2" t="s">
        <v>17</v>
      </c>
      <c r="L60">
        <v>1</v>
      </c>
      <c r="M60" s="4">
        <f>ConstrData!AK21</f>
        <v>-0.45229999999999998</v>
      </c>
      <c r="N60">
        <v>0</v>
      </c>
      <c r="P60" s="18" t="str">
        <f>P59</f>
        <v>Transportation Rail - Intercity</v>
      </c>
    </row>
    <row r="61" spans="3:16" s="2" customFormat="1" x14ac:dyDescent="0.2">
      <c r="C61" s="20" t="s">
        <v>167</v>
      </c>
      <c r="E61" s="2" t="s">
        <v>166</v>
      </c>
      <c r="G61" s="2" t="s">
        <v>156</v>
      </c>
      <c r="H61" s="2" t="str">
        <f t="shared" ref="H61:H96" si="6">G$7</f>
        <v>TRP</v>
      </c>
      <c r="I61" s="2">
        <v>2010</v>
      </c>
      <c r="J61" s="2" t="s">
        <v>30</v>
      </c>
      <c r="K61" s="2" t="s">
        <v>17</v>
      </c>
      <c r="L61" s="2">
        <v>1</v>
      </c>
      <c r="M61" s="40">
        <v>-0.177633515900774</v>
      </c>
      <c r="N61" s="2">
        <v>0</v>
      </c>
      <c r="O61" s="2">
        <v>5</v>
      </c>
      <c r="P61" s="41" t="str">
        <f>ConstrData!C23</f>
        <v>Transportation Commuter Rail - DSL</v>
      </c>
    </row>
    <row r="62" spans="3:16" s="2" customFormat="1" x14ac:dyDescent="0.2">
      <c r="C62" s="20" t="s">
        <v>167</v>
      </c>
      <c r="E62" s="2" t="s">
        <v>166</v>
      </c>
      <c r="G62" s="2" t="s">
        <v>156</v>
      </c>
      <c r="H62" s="2" t="str">
        <f t="shared" si="6"/>
        <v>TRP</v>
      </c>
      <c r="I62" s="2">
        <v>2055</v>
      </c>
      <c r="J62" s="2" t="s">
        <v>30</v>
      </c>
      <c r="K62" s="2" t="s">
        <v>17</v>
      </c>
      <c r="L62" s="2">
        <v>1</v>
      </c>
      <c r="M62" s="40">
        <v>-0.17660128547184425</v>
      </c>
      <c r="N62" s="2">
        <v>0</v>
      </c>
      <c r="P62" s="42" t="str">
        <f>P61</f>
        <v>Transportation Commuter Rail - DSL</v>
      </c>
    </row>
    <row r="63" spans="3:16" s="2" customFormat="1" x14ac:dyDescent="0.2">
      <c r="C63" s="20" t="s">
        <v>167</v>
      </c>
      <c r="E63" s="2" t="s">
        <v>166</v>
      </c>
      <c r="G63" s="2" t="s">
        <v>156</v>
      </c>
      <c r="H63" s="2" t="str">
        <f t="shared" si="6"/>
        <v>TRP</v>
      </c>
      <c r="I63" s="2">
        <v>2010</v>
      </c>
      <c r="J63" s="2" t="s">
        <v>31</v>
      </c>
      <c r="K63" s="2" t="s">
        <v>17</v>
      </c>
      <c r="L63" s="2">
        <v>1</v>
      </c>
      <c r="M63" s="40">
        <v>-0.16822938858838007</v>
      </c>
      <c r="N63" s="2">
        <v>0</v>
      </c>
      <c r="O63" s="2">
        <v>5</v>
      </c>
      <c r="P63" s="42" t="str">
        <f t="shared" ref="P63:P78" si="7">P62</f>
        <v>Transportation Commuter Rail - DSL</v>
      </c>
    </row>
    <row r="64" spans="3:16" s="2" customFormat="1" x14ac:dyDescent="0.2">
      <c r="C64" s="20" t="s">
        <v>167</v>
      </c>
      <c r="E64" s="2" t="s">
        <v>166</v>
      </c>
      <c r="G64" s="2" t="s">
        <v>156</v>
      </c>
      <c r="H64" s="2" t="str">
        <f t="shared" si="6"/>
        <v>TRP</v>
      </c>
      <c r="I64" s="2">
        <v>2055</v>
      </c>
      <c r="J64" s="2" t="s">
        <v>31</v>
      </c>
      <c r="K64" s="2" t="s">
        <v>17</v>
      </c>
      <c r="L64" s="2">
        <v>1</v>
      </c>
      <c r="M64" s="40">
        <v>-0.16725180565274661</v>
      </c>
      <c r="N64" s="2">
        <v>0</v>
      </c>
      <c r="P64" s="42" t="str">
        <f t="shared" si="7"/>
        <v>Transportation Commuter Rail - DSL</v>
      </c>
    </row>
    <row r="65" spans="3:16" s="2" customFormat="1" x14ac:dyDescent="0.2">
      <c r="C65" s="20" t="s">
        <v>167</v>
      </c>
      <c r="E65" s="2" t="s">
        <v>166</v>
      </c>
      <c r="G65" s="2" t="s">
        <v>156</v>
      </c>
      <c r="H65" s="2" t="str">
        <f t="shared" si="6"/>
        <v>TRP</v>
      </c>
      <c r="I65" s="2">
        <v>2010</v>
      </c>
      <c r="J65" s="2" t="s">
        <v>32</v>
      </c>
      <c r="K65" s="2" t="s">
        <v>17</v>
      </c>
      <c r="L65" s="2">
        <v>1</v>
      </c>
      <c r="M65" s="40">
        <v>-0.27905441670735559</v>
      </c>
      <c r="N65" s="2">
        <v>0</v>
      </c>
      <c r="O65" s="2">
        <v>5</v>
      </c>
      <c r="P65" s="42" t="str">
        <f t="shared" si="7"/>
        <v>Transportation Commuter Rail - DSL</v>
      </c>
    </row>
    <row r="66" spans="3:16" s="2" customFormat="1" x14ac:dyDescent="0.2">
      <c r="C66" s="20" t="s">
        <v>167</v>
      </c>
      <c r="E66" s="2" t="s">
        <v>166</v>
      </c>
      <c r="G66" s="2" t="s">
        <v>156</v>
      </c>
      <c r="H66" s="2" t="str">
        <f t="shared" si="6"/>
        <v>TRP</v>
      </c>
      <c r="I66" s="2">
        <v>2055</v>
      </c>
      <c r="J66" s="2" t="s">
        <v>32</v>
      </c>
      <c r="K66" s="2" t="s">
        <v>17</v>
      </c>
      <c r="L66" s="2">
        <v>1</v>
      </c>
      <c r="M66" s="40">
        <v>-0.27743282824308474</v>
      </c>
      <c r="N66" s="2">
        <v>0</v>
      </c>
      <c r="P66" s="42" t="str">
        <f t="shared" si="7"/>
        <v>Transportation Commuter Rail - DSL</v>
      </c>
    </row>
    <row r="67" spans="3:16" s="2" customFormat="1" x14ac:dyDescent="0.2">
      <c r="C67" s="20" t="s">
        <v>167</v>
      </c>
      <c r="E67" s="2" t="s">
        <v>166</v>
      </c>
      <c r="G67" s="2" t="s">
        <v>156</v>
      </c>
      <c r="H67" s="2" t="str">
        <f t="shared" si="6"/>
        <v>TRP</v>
      </c>
      <c r="I67" s="2">
        <v>2010</v>
      </c>
      <c r="J67" s="2" t="s">
        <v>33</v>
      </c>
      <c r="K67" s="2" t="s">
        <v>17</v>
      </c>
      <c r="L67" s="2">
        <v>1</v>
      </c>
      <c r="M67" s="40">
        <v>0</v>
      </c>
      <c r="N67" s="2">
        <v>0</v>
      </c>
      <c r="O67" s="2">
        <v>5</v>
      </c>
      <c r="P67" s="42" t="str">
        <f t="shared" si="7"/>
        <v>Transportation Commuter Rail - DSL</v>
      </c>
    </row>
    <row r="68" spans="3:16" s="2" customFormat="1" x14ac:dyDescent="0.2">
      <c r="C68" s="20" t="s">
        <v>167</v>
      </c>
      <c r="E68" s="2" t="s">
        <v>166</v>
      </c>
      <c r="G68" s="2" t="s">
        <v>156</v>
      </c>
      <c r="H68" s="2" t="str">
        <f t="shared" si="6"/>
        <v>TRP</v>
      </c>
      <c r="I68" s="2">
        <v>2055</v>
      </c>
      <c r="J68" s="2" t="s">
        <v>33</v>
      </c>
      <c r="K68" s="2" t="s">
        <v>17</v>
      </c>
      <c r="L68" s="2">
        <v>1</v>
      </c>
      <c r="M68" s="40">
        <v>0</v>
      </c>
      <c r="N68" s="2">
        <v>0</v>
      </c>
      <c r="P68" s="42" t="str">
        <f t="shared" si="7"/>
        <v>Transportation Commuter Rail - DSL</v>
      </c>
    </row>
    <row r="69" spans="3:16" s="2" customFormat="1" x14ac:dyDescent="0.2">
      <c r="C69" s="20" t="s">
        <v>167</v>
      </c>
      <c r="E69" s="2" t="s">
        <v>166</v>
      </c>
      <c r="G69" s="2" t="s">
        <v>156</v>
      </c>
      <c r="H69" s="2" t="str">
        <f t="shared" si="6"/>
        <v>TRP</v>
      </c>
      <c r="I69" s="2">
        <v>2010</v>
      </c>
      <c r="J69" s="2" t="s">
        <v>34</v>
      </c>
      <c r="K69" s="2" t="s">
        <v>17</v>
      </c>
      <c r="L69" s="2">
        <v>1</v>
      </c>
      <c r="M69" s="40">
        <v>-4.3885927457838279E-2</v>
      </c>
      <c r="N69" s="2">
        <v>0</v>
      </c>
      <c r="O69" s="2">
        <v>5</v>
      </c>
      <c r="P69" s="42" t="str">
        <f t="shared" si="7"/>
        <v>Transportation Commuter Rail - DSL</v>
      </c>
    </row>
    <row r="70" spans="3:16" s="2" customFormat="1" x14ac:dyDescent="0.2">
      <c r="C70" s="20" t="s">
        <v>167</v>
      </c>
      <c r="E70" s="2" t="s">
        <v>166</v>
      </c>
      <c r="G70" s="2" t="s">
        <v>156</v>
      </c>
      <c r="H70" s="2" t="str">
        <f t="shared" si="6"/>
        <v>TRP</v>
      </c>
      <c r="I70" s="2">
        <v>2055</v>
      </c>
      <c r="J70" s="2" t="s">
        <v>34</v>
      </c>
      <c r="K70" s="2" t="s">
        <v>17</v>
      </c>
      <c r="L70" s="2">
        <v>1</v>
      </c>
      <c r="M70" s="40">
        <v>-4.3630905822455636E-2</v>
      </c>
      <c r="N70" s="2">
        <v>0</v>
      </c>
      <c r="P70" s="42" t="str">
        <f t="shared" si="7"/>
        <v>Transportation Commuter Rail - DSL</v>
      </c>
    </row>
    <row r="71" spans="3:16" s="2" customFormat="1" x14ac:dyDescent="0.2">
      <c r="C71" s="20" t="s">
        <v>167</v>
      </c>
      <c r="E71" s="2" t="s">
        <v>166</v>
      </c>
      <c r="G71" s="2" t="s">
        <v>156</v>
      </c>
      <c r="H71" s="2" t="str">
        <f t="shared" si="6"/>
        <v>TRP</v>
      </c>
      <c r="I71" s="2">
        <v>2010</v>
      </c>
      <c r="J71" s="2" t="s">
        <v>35</v>
      </c>
      <c r="K71" s="2" t="s">
        <v>17</v>
      </c>
      <c r="L71" s="2">
        <v>1</v>
      </c>
      <c r="M71" s="40">
        <v>0</v>
      </c>
      <c r="N71" s="2">
        <v>0</v>
      </c>
      <c r="O71" s="2">
        <v>5</v>
      </c>
      <c r="P71" s="42" t="str">
        <f t="shared" si="7"/>
        <v>Transportation Commuter Rail - DSL</v>
      </c>
    </row>
    <row r="72" spans="3:16" s="2" customFormat="1" x14ac:dyDescent="0.2">
      <c r="C72" s="20" t="s">
        <v>167</v>
      </c>
      <c r="E72" s="2" t="s">
        <v>166</v>
      </c>
      <c r="G72" s="2" t="s">
        <v>156</v>
      </c>
      <c r="H72" s="2" t="str">
        <f t="shared" si="6"/>
        <v>TRP</v>
      </c>
      <c r="I72" s="2">
        <v>2055</v>
      </c>
      <c r="J72" s="2" t="s">
        <v>35</v>
      </c>
      <c r="K72" s="2" t="s">
        <v>17</v>
      </c>
      <c r="L72" s="2">
        <v>1</v>
      </c>
      <c r="M72" s="40">
        <v>0</v>
      </c>
      <c r="N72" s="2">
        <v>0</v>
      </c>
      <c r="P72" s="42" t="str">
        <f t="shared" si="7"/>
        <v>Transportation Commuter Rail - DSL</v>
      </c>
    </row>
    <row r="73" spans="3:16" s="2" customFormat="1" x14ac:dyDescent="0.2">
      <c r="C73" s="20" t="s">
        <v>167</v>
      </c>
      <c r="E73" s="2" t="s">
        <v>166</v>
      </c>
      <c r="G73" s="2" t="s">
        <v>156</v>
      </c>
      <c r="H73" s="2" t="str">
        <f t="shared" si="6"/>
        <v>TRP</v>
      </c>
      <c r="I73" s="2">
        <v>2010</v>
      </c>
      <c r="J73" s="2" t="s">
        <v>36</v>
      </c>
      <c r="K73" s="2" t="s">
        <v>17</v>
      </c>
      <c r="L73" s="2">
        <v>1</v>
      </c>
      <c r="M73" s="40">
        <v>-7.490648630080432E-2</v>
      </c>
      <c r="N73" s="2">
        <v>0</v>
      </c>
      <c r="O73" s="2">
        <v>5</v>
      </c>
      <c r="P73" s="42" t="str">
        <f t="shared" si="7"/>
        <v>Transportation Commuter Rail - DSL</v>
      </c>
    </row>
    <row r="74" spans="3:16" s="2" customFormat="1" x14ac:dyDescent="0.2">
      <c r="C74" s="20" t="s">
        <v>167</v>
      </c>
      <c r="E74" s="2" t="s">
        <v>166</v>
      </c>
      <c r="G74" s="2" t="s">
        <v>156</v>
      </c>
      <c r="H74" s="2" t="str">
        <f t="shared" si="6"/>
        <v>TRP</v>
      </c>
      <c r="I74" s="2">
        <v>2055</v>
      </c>
      <c r="J74" s="2" t="s">
        <v>36</v>
      </c>
      <c r="K74" s="2" t="s">
        <v>17</v>
      </c>
      <c r="L74" s="2">
        <v>1</v>
      </c>
      <c r="M74" s="40">
        <v>-7.4471203836840208E-2</v>
      </c>
      <c r="N74" s="2">
        <v>0</v>
      </c>
      <c r="P74" s="42" t="str">
        <f t="shared" si="7"/>
        <v>Transportation Commuter Rail - DSL</v>
      </c>
    </row>
    <row r="75" spans="3:16" s="2" customFormat="1" x14ac:dyDescent="0.2">
      <c r="C75" s="20" t="s">
        <v>167</v>
      </c>
      <c r="E75" s="2" t="s">
        <v>166</v>
      </c>
      <c r="G75" s="2" t="s">
        <v>156</v>
      </c>
      <c r="H75" s="2" t="str">
        <f t="shared" si="6"/>
        <v>TRP</v>
      </c>
      <c r="I75" s="2">
        <v>2010</v>
      </c>
      <c r="J75" s="2" t="s">
        <v>37</v>
      </c>
      <c r="K75" s="2" t="s">
        <v>17</v>
      </c>
      <c r="L75" s="2">
        <v>1</v>
      </c>
      <c r="M75" s="40">
        <v>0</v>
      </c>
      <c r="N75" s="2">
        <v>0</v>
      </c>
      <c r="O75" s="2">
        <v>5</v>
      </c>
      <c r="P75" s="42" t="str">
        <f t="shared" si="7"/>
        <v>Transportation Commuter Rail - DSL</v>
      </c>
    </row>
    <row r="76" spans="3:16" s="2" customFormat="1" x14ac:dyDescent="0.2">
      <c r="C76" s="20" t="s">
        <v>167</v>
      </c>
      <c r="E76" s="2" t="s">
        <v>166</v>
      </c>
      <c r="G76" s="2" t="s">
        <v>156</v>
      </c>
      <c r="H76" s="2" t="str">
        <f t="shared" si="6"/>
        <v>TRP</v>
      </c>
      <c r="I76" s="2">
        <v>2055</v>
      </c>
      <c r="J76" s="2" t="s">
        <v>37</v>
      </c>
      <c r="K76" s="2" t="s">
        <v>17</v>
      </c>
      <c r="L76" s="2">
        <v>1</v>
      </c>
      <c r="M76" s="40">
        <v>0</v>
      </c>
      <c r="N76" s="2">
        <v>0</v>
      </c>
      <c r="P76" s="42" t="str">
        <f t="shared" si="7"/>
        <v>Transportation Commuter Rail - DSL</v>
      </c>
    </row>
    <row r="77" spans="3:16" s="2" customFormat="1" x14ac:dyDescent="0.2">
      <c r="C77" s="20" t="s">
        <v>167</v>
      </c>
      <c r="E77" s="2" t="s">
        <v>166</v>
      </c>
      <c r="G77" s="2" t="s">
        <v>156</v>
      </c>
      <c r="H77" s="2" t="str">
        <f t="shared" si="6"/>
        <v>TRP</v>
      </c>
      <c r="I77" s="2">
        <v>2010</v>
      </c>
      <c r="J77" s="2" t="s">
        <v>38</v>
      </c>
      <c r="K77" s="2" t="s">
        <v>17</v>
      </c>
      <c r="L77" s="2">
        <v>1</v>
      </c>
      <c r="M77" s="40">
        <v>-7.1837083636342419E-2</v>
      </c>
      <c r="N77" s="2">
        <v>0</v>
      </c>
      <c r="O77" s="2">
        <v>5</v>
      </c>
      <c r="P77" s="42" t="str">
        <f t="shared" si="7"/>
        <v>Transportation Commuter Rail - DSL</v>
      </c>
    </row>
    <row r="78" spans="3:16" s="2" customFormat="1" x14ac:dyDescent="0.2">
      <c r="C78" s="20" t="s">
        <v>167</v>
      </c>
      <c r="E78" s="2" t="s">
        <v>166</v>
      </c>
      <c r="G78" s="2" t="s">
        <v>156</v>
      </c>
      <c r="H78" s="2" t="str">
        <f t="shared" si="6"/>
        <v>TRP</v>
      </c>
      <c r="I78" s="2">
        <v>2055</v>
      </c>
      <c r="J78" s="2" t="s">
        <v>38</v>
      </c>
      <c r="K78" s="2" t="s">
        <v>17</v>
      </c>
      <c r="L78" s="2">
        <v>1</v>
      </c>
      <c r="M78" s="40">
        <v>-7.1419637506995842E-2</v>
      </c>
      <c r="N78" s="2">
        <v>0</v>
      </c>
      <c r="P78" s="42" t="str">
        <f t="shared" si="7"/>
        <v>Transportation Commuter Rail - DSL</v>
      </c>
    </row>
    <row r="79" spans="3:16" s="2" customFormat="1" x14ac:dyDescent="0.2">
      <c r="C79" s="20" t="s">
        <v>165</v>
      </c>
      <c r="E79" s="2" t="s">
        <v>164</v>
      </c>
      <c r="G79" s="2" t="s">
        <v>156</v>
      </c>
      <c r="H79" s="2" t="str">
        <f t="shared" si="6"/>
        <v>TRP</v>
      </c>
      <c r="I79" s="2">
        <v>2010</v>
      </c>
      <c r="J79" s="2" t="s">
        <v>30</v>
      </c>
      <c r="K79" s="2" t="s">
        <v>17</v>
      </c>
      <c r="L79" s="2">
        <v>1</v>
      </c>
      <c r="M79" s="40">
        <v>-9.0741310305332668E-2</v>
      </c>
      <c r="N79" s="2">
        <v>0</v>
      </c>
      <c r="O79" s="2">
        <v>5</v>
      </c>
      <c r="P79" s="41" t="str">
        <f>ConstrData!C25</f>
        <v>Transportation Commuter Rail - ELC</v>
      </c>
    </row>
    <row r="80" spans="3:16" s="2" customFormat="1" x14ac:dyDescent="0.2">
      <c r="C80" s="20" t="s">
        <v>165</v>
      </c>
      <c r="E80" s="2" t="s">
        <v>164</v>
      </c>
      <c r="G80" s="2" t="s">
        <v>156</v>
      </c>
      <c r="H80" s="2" t="str">
        <f t="shared" si="6"/>
        <v>TRP</v>
      </c>
      <c r="I80" s="2">
        <v>2055</v>
      </c>
      <c r="J80" s="2" t="s">
        <v>30</v>
      </c>
      <c r="K80" s="2" t="s">
        <v>17</v>
      </c>
      <c r="L80" s="2">
        <v>1</v>
      </c>
      <c r="M80" s="40">
        <v>-9.1794606661383421E-2</v>
      </c>
      <c r="N80" s="2">
        <v>0</v>
      </c>
      <c r="P80" s="42" t="str">
        <f>P79</f>
        <v>Transportation Commuter Rail - ELC</v>
      </c>
    </row>
    <row r="81" spans="3:16" s="2" customFormat="1" x14ac:dyDescent="0.2">
      <c r="C81" s="20" t="s">
        <v>165</v>
      </c>
      <c r="E81" s="2" t="s">
        <v>164</v>
      </c>
      <c r="G81" s="2" t="s">
        <v>156</v>
      </c>
      <c r="H81" s="2" t="str">
        <f t="shared" si="6"/>
        <v>TRP</v>
      </c>
      <c r="I81" s="2">
        <v>2010</v>
      </c>
      <c r="J81" s="2" t="s">
        <v>31</v>
      </c>
      <c r="K81" s="2" t="s">
        <v>17</v>
      </c>
      <c r="L81" s="2">
        <v>1</v>
      </c>
      <c r="M81" s="40">
        <v>-8.5937358583285633E-2</v>
      </c>
      <c r="N81" s="2">
        <v>0</v>
      </c>
      <c r="O81" s="2">
        <v>5</v>
      </c>
      <c r="P81" s="42" t="str">
        <f t="shared" ref="P81:P96" si="8">P80</f>
        <v>Transportation Commuter Rail - ELC</v>
      </c>
    </row>
    <row r="82" spans="3:16" s="2" customFormat="1" x14ac:dyDescent="0.2">
      <c r="C82" s="20" t="s">
        <v>165</v>
      </c>
      <c r="E82" s="2" t="s">
        <v>164</v>
      </c>
      <c r="G82" s="2" t="s">
        <v>156</v>
      </c>
      <c r="H82" s="2" t="str">
        <f t="shared" si="6"/>
        <v>TRP</v>
      </c>
      <c r="I82" s="2">
        <v>2055</v>
      </c>
      <c r="J82" s="2" t="s">
        <v>31</v>
      </c>
      <c r="K82" s="2" t="s">
        <v>17</v>
      </c>
      <c r="L82" s="2">
        <v>1</v>
      </c>
      <c r="M82" s="40">
        <v>-8.6934892191074878E-2</v>
      </c>
      <c r="N82" s="2">
        <v>0</v>
      </c>
      <c r="P82" s="42" t="str">
        <f t="shared" si="8"/>
        <v>Transportation Commuter Rail - ELC</v>
      </c>
    </row>
    <row r="83" spans="3:16" s="2" customFormat="1" x14ac:dyDescent="0.2">
      <c r="C83" s="20" t="s">
        <v>165</v>
      </c>
      <c r="E83" s="2" t="s">
        <v>164</v>
      </c>
      <c r="G83" s="2" t="s">
        <v>156</v>
      </c>
      <c r="H83" s="2" t="str">
        <f t="shared" si="6"/>
        <v>TRP</v>
      </c>
      <c r="I83" s="2">
        <v>2010</v>
      </c>
      <c r="J83" s="2" t="s">
        <v>32</v>
      </c>
      <c r="K83" s="2" t="s">
        <v>17</v>
      </c>
      <c r="L83" s="2">
        <v>1</v>
      </c>
      <c r="M83" s="40">
        <v>-0.14255059519657592</v>
      </c>
      <c r="N83" s="2">
        <v>0</v>
      </c>
      <c r="O83" s="2">
        <v>5</v>
      </c>
      <c r="P83" s="42" t="str">
        <f t="shared" si="8"/>
        <v>Transportation Commuter Rail - ELC</v>
      </c>
    </row>
    <row r="84" spans="3:16" s="2" customFormat="1" x14ac:dyDescent="0.2">
      <c r="C84" s="20" t="s">
        <v>165</v>
      </c>
      <c r="E84" s="2" t="s">
        <v>164</v>
      </c>
      <c r="G84" s="2" t="s">
        <v>156</v>
      </c>
      <c r="H84" s="2" t="str">
        <f t="shared" si="6"/>
        <v>TRP</v>
      </c>
      <c r="I84" s="2">
        <v>2055</v>
      </c>
      <c r="J84" s="2" t="s">
        <v>32</v>
      </c>
      <c r="K84" s="2" t="s">
        <v>17</v>
      </c>
      <c r="L84" s="2">
        <v>1</v>
      </c>
      <c r="M84" s="40">
        <v>-0.14420527730297475</v>
      </c>
      <c r="N84" s="2">
        <v>0</v>
      </c>
      <c r="P84" s="42" t="str">
        <f t="shared" si="8"/>
        <v>Transportation Commuter Rail - ELC</v>
      </c>
    </row>
    <row r="85" spans="3:16" s="2" customFormat="1" x14ac:dyDescent="0.2">
      <c r="C85" s="20" t="s">
        <v>165</v>
      </c>
      <c r="E85" s="2" t="s">
        <v>164</v>
      </c>
      <c r="G85" s="2" t="s">
        <v>156</v>
      </c>
      <c r="H85" s="2" t="str">
        <f t="shared" si="6"/>
        <v>TRP</v>
      </c>
      <c r="I85" s="2">
        <v>2010</v>
      </c>
      <c r="J85" s="2" t="s">
        <v>33</v>
      </c>
      <c r="K85" s="2" t="s">
        <v>17</v>
      </c>
      <c r="L85" s="2">
        <v>1</v>
      </c>
      <c r="M85" s="40">
        <v>0</v>
      </c>
      <c r="N85" s="2">
        <v>0</v>
      </c>
      <c r="O85" s="2">
        <v>5</v>
      </c>
      <c r="P85" s="42" t="str">
        <f t="shared" si="8"/>
        <v>Transportation Commuter Rail - ELC</v>
      </c>
    </row>
    <row r="86" spans="3:16" s="2" customFormat="1" x14ac:dyDescent="0.2">
      <c r="C86" s="20" t="s">
        <v>165</v>
      </c>
      <c r="E86" s="2" t="s">
        <v>164</v>
      </c>
      <c r="G86" s="2" t="s">
        <v>156</v>
      </c>
      <c r="H86" s="2" t="str">
        <f t="shared" si="6"/>
        <v>TRP</v>
      </c>
      <c r="I86" s="2">
        <v>2055</v>
      </c>
      <c r="J86" s="2" t="s">
        <v>33</v>
      </c>
      <c r="K86" s="2" t="s">
        <v>17</v>
      </c>
      <c r="L86" s="2">
        <v>1</v>
      </c>
      <c r="M86" s="40">
        <v>0</v>
      </c>
      <c r="N86" s="2">
        <v>0</v>
      </c>
      <c r="P86" s="42" t="str">
        <f t="shared" si="8"/>
        <v>Transportation Commuter Rail - ELC</v>
      </c>
    </row>
    <row r="87" spans="3:16" s="2" customFormat="1" x14ac:dyDescent="0.2">
      <c r="C87" s="20" t="s">
        <v>165</v>
      </c>
      <c r="E87" s="2" t="s">
        <v>164</v>
      </c>
      <c r="G87" s="2" t="s">
        <v>156</v>
      </c>
      <c r="H87" s="2" t="str">
        <f t="shared" si="6"/>
        <v>TRP</v>
      </c>
      <c r="I87" s="2">
        <v>2010</v>
      </c>
      <c r="J87" s="2" t="s">
        <v>34</v>
      </c>
      <c r="K87" s="2" t="s">
        <v>17</v>
      </c>
      <c r="L87" s="2">
        <v>1</v>
      </c>
      <c r="M87" s="40">
        <v>-2.2418441369552775E-2</v>
      </c>
      <c r="N87" s="2">
        <v>0</v>
      </c>
      <c r="O87" s="2">
        <v>5</v>
      </c>
      <c r="P87" s="42" t="str">
        <f t="shared" si="8"/>
        <v>Transportation Commuter Rail - ELC</v>
      </c>
    </row>
    <row r="88" spans="3:16" s="2" customFormat="1" x14ac:dyDescent="0.2">
      <c r="C88" s="20" t="s">
        <v>165</v>
      </c>
      <c r="E88" s="2" t="s">
        <v>164</v>
      </c>
      <c r="G88" s="2" t="s">
        <v>156</v>
      </c>
      <c r="H88" s="2" t="str">
        <f t="shared" si="6"/>
        <v>TRP</v>
      </c>
      <c r="I88" s="2">
        <v>2055</v>
      </c>
      <c r="J88" s="2" t="s">
        <v>34</v>
      </c>
      <c r="K88" s="2" t="s">
        <v>17</v>
      </c>
      <c r="L88" s="2">
        <v>1</v>
      </c>
      <c r="M88" s="40">
        <v>-2.2678667528106489E-2</v>
      </c>
      <c r="N88" s="2">
        <v>0</v>
      </c>
      <c r="P88" s="42" t="str">
        <f t="shared" si="8"/>
        <v>Transportation Commuter Rail - ELC</v>
      </c>
    </row>
    <row r="89" spans="3:16" s="2" customFormat="1" x14ac:dyDescent="0.2">
      <c r="C89" s="20" t="s">
        <v>165</v>
      </c>
      <c r="E89" s="2" t="s">
        <v>164</v>
      </c>
      <c r="G89" s="2" t="s">
        <v>156</v>
      </c>
      <c r="H89" s="2" t="str">
        <f t="shared" si="6"/>
        <v>TRP</v>
      </c>
      <c r="I89" s="2">
        <v>2010</v>
      </c>
      <c r="J89" s="2" t="s">
        <v>35</v>
      </c>
      <c r="K89" s="2" t="s">
        <v>17</v>
      </c>
      <c r="L89" s="2">
        <v>1</v>
      </c>
      <c r="M89" s="40">
        <v>0</v>
      </c>
      <c r="N89" s="2">
        <v>0</v>
      </c>
      <c r="O89" s="2">
        <v>5</v>
      </c>
      <c r="P89" s="42" t="str">
        <f t="shared" si="8"/>
        <v>Transportation Commuter Rail - ELC</v>
      </c>
    </row>
    <row r="90" spans="3:16" s="2" customFormat="1" x14ac:dyDescent="0.2">
      <c r="C90" s="20" t="s">
        <v>165</v>
      </c>
      <c r="E90" s="2" t="s">
        <v>164</v>
      </c>
      <c r="G90" s="2" t="s">
        <v>156</v>
      </c>
      <c r="H90" s="2" t="str">
        <f t="shared" si="6"/>
        <v>TRP</v>
      </c>
      <c r="I90" s="2">
        <v>2055</v>
      </c>
      <c r="J90" s="2" t="s">
        <v>35</v>
      </c>
      <c r="K90" s="2" t="s">
        <v>17</v>
      </c>
      <c r="L90" s="2">
        <v>1</v>
      </c>
      <c r="M90" s="40">
        <v>0</v>
      </c>
      <c r="N90" s="2">
        <v>0</v>
      </c>
      <c r="P90" s="42" t="str">
        <f t="shared" si="8"/>
        <v>Transportation Commuter Rail - ELC</v>
      </c>
    </row>
    <row r="91" spans="3:16" s="2" customFormat="1" x14ac:dyDescent="0.2">
      <c r="C91" s="20" t="s">
        <v>165</v>
      </c>
      <c r="E91" s="2" t="s">
        <v>164</v>
      </c>
      <c r="G91" s="2" t="s">
        <v>156</v>
      </c>
      <c r="H91" s="2" t="str">
        <f t="shared" si="6"/>
        <v>TRP</v>
      </c>
      <c r="I91" s="2">
        <v>2010</v>
      </c>
      <c r="J91" s="2" t="s">
        <v>36</v>
      </c>
      <c r="K91" s="2" t="s">
        <v>17</v>
      </c>
      <c r="L91" s="2">
        <v>1</v>
      </c>
      <c r="M91" s="40">
        <v>-3.8264809897138444E-2</v>
      </c>
      <c r="N91" s="2">
        <v>0</v>
      </c>
      <c r="O91" s="2">
        <v>5</v>
      </c>
      <c r="P91" s="42" t="str">
        <f t="shared" si="8"/>
        <v>Transportation Commuter Rail - ELC</v>
      </c>
    </row>
    <row r="92" spans="3:16" s="2" customFormat="1" x14ac:dyDescent="0.2">
      <c r="C92" s="20" t="s">
        <v>165</v>
      </c>
      <c r="E92" s="2" t="s">
        <v>164</v>
      </c>
      <c r="G92" s="2" t="s">
        <v>156</v>
      </c>
      <c r="H92" s="2" t="str">
        <f t="shared" si="6"/>
        <v>TRP</v>
      </c>
      <c r="I92" s="2">
        <v>2055</v>
      </c>
      <c r="J92" s="2" t="s">
        <v>36</v>
      </c>
      <c r="K92" s="2" t="s">
        <v>17</v>
      </c>
      <c r="L92" s="2">
        <v>1</v>
      </c>
      <c r="M92" s="40">
        <v>-3.8708975676693666E-2</v>
      </c>
      <c r="N92" s="2">
        <v>0</v>
      </c>
      <c r="P92" s="42" t="str">
        <f t="shared" si="8"/>
        <v>Transportation Commuter Rail - ELC</v>
      </c>
    </row>
    <row r="93" spans="3:16" s="2" customFormat="1" x14ac:dyDescent="0.2">
      <c r="C93" s="20" t="s">
        <v>165</v>
      </c>
      <c r="E93" s="2" t="s">
        <v>164</v>
      </c>
      <c r="G93" s="2" t="s">
        <v>156</v>
      </c>
      <c r="H93" s="2" t="str">
        <f t="shared" si="6"/>
        <v>TRP</v>
      </c>
      <c r="I93" s="2">
        <v>2010</v>
      </c>
      <c r="J93" s="2" t="s">
        <v>37</v>
      </c>
      <c r="K93" s="2" t="s">
        <v>17</v>
      </c>
      <c r="L93" s="2">
        <v>1</v>
      </c>
      <c r="M93" s="40">
        <v>0</v>
      </c>
      <c r="N93" s="2">
        <v>0</v>
      </c>
      <c r="O93" s="2">
        <v>5</v>
      </c>
      <c r="P93" s="42" t="str">
        <f t="shared" si="8"/>
        <v>Transportation Commuter Rail - ELC</v>
      </c>
    </row>
    <row r="94" spans="3:16" s="2" customFormat="1" x14ac:dyDescent="0.2">
      <c r="C94" s="20" t="s">
        <v>165</v>
      </c>
      <c r="E94" s="2" t="s">
        <v>164</v>
      </c>
      <c r="G94" s="2" t="s">
        <v>156</v>
      </c>
      <c r="H94" s="2" t="str">
        <f t="shared" si="6"/>
        <v>TRP</v>
      </c>
      <c r="I94" s="2">
        <v>2055</v>
      </c>
      <c r="J94" s="2" t="s">
        <v>37</v>
      </c>
      <c r="K94" s="2" t="s">
        <v>17</v>
      </c>
      <c r="L94" s="2">
        <v>1</v>
      </c>
      <c r="M94" s="40">
        <v>0</v>
      </c>
      <c r="N94" s="2">
        <v>0</v>
      </c>
      <c r="P94" s="42" t="str">
        <f t="shared" si="8"/>
        <v>Transportation Commuter Rail - ELC</v>
      </c>
    </row>
    <row r="95" spans="3:16" s="2" customFormat="1" x14ac:dyDescent="0.2">
      <c r="C95" s="20" t="s">
        <v>165</v>
      </c>
      <c r="E95" s="2" t="s">
        <v>164</v>
      </c>
      <c r="G95" s="2" t="s">
        <v>156</v>
      </c>
      <c r="H95" s="2" t="str">
        <f t="shared" si="6"/>
        <v>TRP</v>
      </c>
      <c r="I95" s="2">
        <v>2010</v>
      </c>
      <c r="J95" s="2" t="s">
        <v>38</v>
      </c>
      <c r="K95" s="2" t="s">
        <v>17</v>
      </c>
      <c r="L95" s="2">
        <v>1</v>
      </c>
      <c r="M95" s="40">
        <v>-3.6696853432303653E-2</v>
      </c>
      <c r="N95" s="2">
        <v>0</v>
      </c>
      <c r="O95" s="2">
        <v>5</v>
      </c>
      <c r="P95" s="42" t="str">
        <f t="shared" si="8"/>
        <v>Transportation Commuter Rail - ELC</v>
      </c>
    </row>
    <row r="96" spans="3:16" s="2" customFormat="1" x14ac:dyDescent="0.2">
      <c r="C96" s="20" t="s">
        <v>165</v>
      </c>
      <c r="E96" s="2" t="s">
        <v>164</v>
      </c>
      <c r="G96" s="2" t="s">
        <v>156</v>
      </c>
      <c r="H96" s="2" t="str">
        <f t="shared" si="6"/>
        <v>TRP</v>
      </c>
      <c r="I96" s="2">
        <v>2055</v>
      </c>
      <c r="J96" s="2" t="s">
        <v>38</v>
      </c>
      <c r="K96" s="2" t="s">
        <v>17</v>
      </c>
      <c r="L96" s="2">
        <v>1</v>
      </c>
      <c r="M96" s="40">
        <v>-3.7122818870412411E-2</v>
      </c>
      <c r="N96" s="2">
        <v>0</v>
      </c>
      <c r="P96" s="42" t="str">
        <f t="shared" si="8"/>
        <v>Transportation Commuter Rail - ELC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3F3-1A80-4D13-BC5D-371F34F36DF0}">
  <sheetPr>
    <tabColor theme="0" tint="-4.9989318521683403E-2"/>
  </sheetPr>
  <dimension ref="A1:AR86"/>
  <sheetViews>
    <sheetView workbookViewId="0">
      <selection activeCell="P10" sqref="P10"/>
    </sheetView>
  </sheetViews>
  <sheetFormatPr defaultColWidth="9.140625" defaultRowHeight="11.25" x14ac:dyDescent="0.2"/>
  <cols>
    <col min="1" max="1" width="30.5703125" style="45" customWidth="1"/>
    <col min="2" max="11" width="9.7109375" style="45" customWidth="1"/>
    <col min="12" max="12" width="9.140625" style="45"/>
    <col min="13" max="13" width="8.140625" style="45" customWidth="1"/>
    <col min="14" max="17" width="9.140625" style="45"/>
    <col min="18" max="18" width="10.7109375" style="45" customWidth="1"/>
    <col min="19" max="16384" width="9.140625" style="45"/>
  </cols>
  <sheetData>
    <row r="1" spans="1:44" x14ac:dyDescent="0.2">
      <c r="A1" s="43"/>
      <c r="B1" s="44" t="s">
        <v>168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 x14ac:dyDescent="0.2">
      <c r="A2" s="43"/>
      <c r="B2" s="44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x14ac:dyDescent="0.2">
      <c r="E3" s="45" t="s">
        <v>169</v>
      </c>
      <c r="U3" s="46"/>
      <c r="X3" s="46"/>
      <c r="AB3" s="46"/>
      <c r="AC3" s="47" t="s">
        <v>170</v>
      </c>
      <c r="AD3" s="47" t="s">
        <v>170</v>
      </c>
      <c r="AE3" s="47" t="s">
        <v>170</v>
      </c>
      <c r="AF3" s="47" t="s">
        <v>170</v>
      </c>
      <c r="AG3" s="48" t="s">
        <v>170</v>
      </c>
      <c r="AH3" s="48"/>
      <c r="AI3" s="48"/>
      <c r="AJ3" s="48"/>
      <c r="AK3" s="48"/>
      <c r="AL3" s="48"/>
      <c r="AM3" s="47" t="s">
        <v>171</v>
      </c>
    </row>
    <row r="4" spans="1:44" x14ac:dyDescent="0.2">
      <c r="B4" s="47" t="s">
        <v>172</v>
      </c>
      <c r="C4" s="47">
        <v>2011</v>
      </c>
      <c r="D4" s="47" t="s">
        <v>173</v>
      </c>
      <c r="E4" s="47" t="s">
        <v>174</v>
      </c>
      <c r="F4" s="47" t="s">
        <v>175</v>
      </c>
      <c r="G4" s="47" t="s">
        <v>176</v>
      </c>
      <c r="H4" s="49">
        <v>2035</v>
      </c>
      <c r="I4" s="49">
        <v>2040</v>
      </c>
      <c r="J4" s="49">
        <v>2045</v>
      </c>
      <c r="K4" s="49">
        <v>2050</v>
      </c>
      <c r="L4" s="49"/>
      <c r="M4" s="49"/>
    </row>
    <row r="6" spans="1:44" ht="15.75" x14ac:dyDescent="0.25">
      <c r="A6" s="50" t="s">
        <v>177</v>
      </c>
    </row>
    <row r="8" spans="1:44" ht="12" customHeight="1" x14ac:dyDescent="0.2">
      <c r="A8" s="51" t="s">
        <v>178</v>
      </c>
    </row>
    <row r="9" spans="1:44" x14ac:dyDescent="0.2">
      <c r="A9" s="51" t="s">
        <v>179</v>
      </c>
      <c r="M9" s="52" t="s">
        <v>180</v>
      </c>
      <c r="N9" s="45">
        <v>2011</v>
      </c>
      <c r="O9" s="45">
        <v>2015</v>
      </c>
      <c r="P9" s="45">
        <v>2020</v>
      </c>
      <c r="Q9" s="45">
        <v>2025</v>
      </c>
    </row>
    <row r="10" spans="1:44" ht="12" x14ac:dyDescent="0.2">
      <c r="A10" s="53" t="s">
        <v>181</v>
      </c>
      <c r="B10" s="54">
        <v>34.570258599999988</v>
      </c>
      <c r="C10" s="55">
        <v>35.094996999999992</v>
      </c>
      <c r="D10" s="56">
        <v>37.718688999999998</v>
      </c>
      <c r="E10" s="56">
        <v>45.579323000000002</v>
      </c>
      <c r="F10" s="56">
        <v>49.203505999999997</v>
      </c>
      <c r="G10" s="56">
        <v>52.507007999999999</v>
      </c>
      <c r="H10" s="56">
        <v>56.425732000000004</v>
      </c>
      <c r="I10" s="56">
        <v>59.236854999999998</v>
      </c>
      <c r="J10" s="56">
        <v>61.204712000000001</v>
      </c>
      <c r="K10" s="56">
        <v>63.422764000000001</v>
      </c>
      <c r="L10" s="56"/>
      <c r="M10" s="57">
        <f>(B10+B21)/($B$19+$B$30)</f>
        <v>0.73412140818927352</v>
      </c>
      <c r="N10" s="85">
        <f>(C10+C21)/($C$19+$C$30)*0.98</f>
        <v>0.71918841269734357</v>
      </c>
      <c r="O10" s="85">
        <f>(D10+D21)/($D$19+$D$30)*0.98</f>
        <v>0.6821787583218667</v>
      </c>
      <c r="P10" s="85">
        <f>(E10+E21)/($E$19+$E$30)*0.98</f>
        <v>0.69451907818001501</v>
      </c>
      <c r="Q10" s="85"/>
      <c r="R10" s="87" t="s">
        <v>154</v>
      </c>
      <c r="T10" s="57"/>
      <c r="U10" s="57"/>
      <c r="V10" s="57"/>
      <c r="W10" s="57"/>
    </row>
    <row r="11" spans="1:44" ht="12" x14ac:dyDescent="0.2">
      <c r="A11" s="53" t="s">
        <v>182</v>
      </c>
      <c r="B11" s="54">
        <v>9.9136825999999996</v>
      </c>
      <c r="C11" s="55">
        <v>10.398740999999999</v>
      </c>
      <c r="D11" s="56">
        <v>12.824033</v>
      </c>
      <c r="E11" s="56">
        <v>13.030306</v>
      </c>
      <c r="F11" s="56">
        <v>14.483568</v>
      </c>
      <c r="G11" s="56">
        <v>16.345461</v>
      </c>
      <c r="H11" s="56">
        <v>19.073823999999998</v>
      </c>
      <c r="I11" s="56">
        <v>22.008989</v>
      </c>
      <c r="J11" s="56">
        <v>24.690767000000001</v>
      </c>
      <c r="K11" s="56">
        <v>27.608847000000001</v>
      </c>
      <c r="L11" s="56"/>
      <c r="M11" s="57">
        <f t="shared" ref="M11:M13" si="0">(B11+B22)/($B$19+$B$30)</f>
        <v>0.25777127357817364</v>
      </c>
      <c r="N11" s="85">
        <f t="shared" ref="N11:N13" si="1">(C11+C22)/($C$19+$C$30)*0.98</f>
        <v>0.25311530961315393</v>
      </c>
      <c r="O11" s="85">
        <f t="shared" ref="O11:O13" si="2">(D11+D22)/($D$19+$D$30)*0.98</f>
        <v>0.26898724779561328</v>
      </c>
      <c r="P11" s="85">
        <f t="shared" ref="P11:P13" si="3">(E11+E22)/($E$19+$E$30)*0.98</f>
        <v>0.24549130096302602</v>
      </c>
      <c r="Q11" s="85"/>
      <c r="R11" s="87" t="s">
        <v>143</v>
      </c>
      <c r="T11" s="57"/>
      <c r="U11" s="57"/>
      <c r="V11" s="57"/>
      <c r="W11" s="57"/>
    </row>
    <row r="12" spans="1:44" ht="12" x14ac:dyDescent="0.2">
      <c r="A12" s="59" t="s">
        <v>183</v>
      </c>
      <c r="B12" s="60">
        <v>0</v>
      </c>
      <c r="C12" s="60">
        <v>0</v>
      </c>
      <c r="D12" s="61">
        <v>1.8959999999999999E-3</v>
      </c>
      <c r="E12" s="61">
        <v>1.5478E-2</v>
      </c>
      <c r="F12" s="61">
        <v>3.619E-2</v>
      </c>
      <c r="G12" s="61">
        <v>5.6956E-2</v>
      </c>
      <c r="H12" s="61">
        <v>8.0746999999999999E-2</v>
      </c>
      <c r="I12" s="61">
        <v>0.107873</v>
      </c>
      <c r="J12" s="61">
        <v>0.13816899999999999</v>
      </c>
      <c r="K12" s="61">
        <v>0.17714099999999999</v>
      </c>
      <c r="L12" s="56"/>
      <c r="M12" s="57">
        <f t="shared" si="0"/>
        <v>3.8743676126591765E-3</v>
      </c>
      <c r="N12" s="85">
        <f t="shared" si="1"/>
        <v>3.76497708267386E-3</v>
      </c>
      <c r="O12" s="85">
        <f t="shared" si="2"/>
        <v>1.5215497259648349E-4</v>
      </c>
      <c r="P12" s="85">
        <f t="shared" si="3"/>
        <v>6.1544012511584539E-4</v>
      </c>
      <c r="Q12" s="85"/>
      <c r="R12" s="87" t="s">
        <v>141</v>
      </c>
      <c r="T12" s="57"/>
      <c r="U12" s="57"/>
      <c r="V12" s="57"/>
      <c r="W12" s="57"/>
    </row>
    <row r="13" spans="1:44" ht="12" x14ac:dyDescent="0.2">
      <c r="A13" s="59" t="s">
        <v>184</v>
      </c>
      <c r="B13" s="60">
        <v>0</v>
      </c>
      <c r="C13" s="60">
        <v>0</v>
      </c>
      <c r="D13" s="61">
        <v>0</v>
      </c>
      <c r="E13" s="61">
        <v>9.2479999999999993E-3</v>
      </c>
      <c r="F13" s="61">
        <v>2.0767000000000001E-2</v>
      </c>
      <c r="G13" s="61">
        <v>3.014E-2</v>
      </c>
      <c r="H13" s="61">
        <v>3.9712999999999998E-2</v>
      </c>
      <c r="I13" s="61">
        <v>5.2462000000000002E-2</v>
      </c>
      <c r="J13" s="61">
        <v>7.2900999999999994E-2</v>
      </c>
      <c r="K13" s="61">
        <v>0.111553</v>
      </c>
      <c r="L13" s="56"/>
      <c r="M13" s="57">
        <f t="shared" si="0"/>
        <v>4.3818441980203252E-3</v>
      </c>
      <c r="N13" s="85">
        <f t="shared" si="1"/>
        <v>4.0453834034729057E-3</v>
      </c>
      <c r="O13" s="85">
        <f t="shared" si="2"/>
        <v>4.2285428647342334E-4</v>
      </c>
      <c r="P13" s="85">
        <f t="shared" si="3"/>
        <v>6.1948907330739702E-4</v>
      </c>
      <c r="Q13" s="85"/>
      <c r="R13" s="87" t="s">
        <v>138</v>
      </c>
      <c r="T13" s="57"/>
      <c r="U13" s="57"/>
      <c r="V13" s="57"/>
      <c r="W13" s="57"/>
    </row>
    <row r="14" spans="1:44" ht="12" x14ac:dyDescent="0.2">
      <c r="A14" s="59" t="s">
        <v>185</v>
      </c>
      <c r="B14" s="60">
        <v>0</v>
      </c>
      <c r="C14" s="60">
        <v>0</v>
      </c>
      <c r="D14" s="61">
        <v>2.6146720000000001</v>
      </c>
      <c r="E14" s="61">
        <v>4.0085569999999997</v>
      </c>
      <c r="F14" s="61">
        <v>5.3593950000000001</v>
      </c>
      <c r="G14" s="61">
        <v>6.9447089999999996</v>
      </c>
      <c r="H14" s="61">
        <v>9.0147320000000004</v>
      </c>
      <c r="I14" s="61">
        <v>11.404234000000001</v>
      </c>
      <c r="J14" s="61">
        <v>14.487895</v>
      </c>
      <c r="K14" s="61">
        <v>18.551462000000001</v>
      </c>
      <c r="L14" s="56"/>
      <c r="M14" s="57"/>
      <c r="N14" s="85"/>
      <c r="O14" s="85">
        <f t="shared" ref="O14:O15" si="4">(D14+D25)/($D$19+$D$30)*0.98</f>
        <v>2.8244246071709993E-2</v>
      </c>
      <c r="P14" s="85">
        <f t="shared" ref="P14:P18" si="5">(E14+E25)/($E$19+$E$30)*0.98</f>
        <v>3.8409259491747567E-2</v>
      </c>
      <c r="Q14" s="85"/>
      <c r="R14" s="87" t="s">
        <v>218</v>
      </c>
    </row>
    <row r="15" spans="1:44" ht="12" x14ac:dyDescent="0.2">
      <c r="A15" s="59" t="s">
        <v>186</v>
      </c>
      <c r="B15" s="60">
        <v>0</v>
      </c>
      <c r="C15" s="60">
        <v>0</v>
      </c>
      <c r="D15" s="61">
        <v>1.614E-3</v>
      </c>
      <c r="E15" s="61">
        <v>6.3340000000000002E-3</v>
      </c>
      <c r="F15" s="61">
        <v>3.4109E-2</v>
      </c>
      <c r="G15" s="61">
        <v>6.3561999999999994E-2</v>
      </c>
      <c r="H15" s="61">
        <v>9.5546000000000006E-2</v>
      </c>
      <c r="I15" s="61">
        <v>0.132967</v>
      </c>
      <c r="J15" s="61">
        <v>0.175099</v>
      </c>
      <c r="K15" s="61">
        <v>0.22525100000000001</v>
      </c>
      <c r="L15" s="56"/>
      <c r="M15" s="61"/>
      <c r="N15" s="57"/>
      <c r="O15" s="85">
        <f t="shared" si="4"/>
        <v>1.5093922911538067E-5</v>
      </c>
      <c r="P15" s="85">
        <f t="shared" si="5"/>
        <v>9.5560196677880348E-5</v>
      </c>
      <c r="Q15" s="85"/>
      <c r="R15" s="87" t="s">
        <v>219</v>
      </c>
    </row>
    <row r="16" spans="1:44" ht="12" x14ac:dyDescent="0.2">
      <c r="A16" s="59" t="s">
        <v>187</v>
      </c>
      <c r="B16" s="60">
        <v>0</v>
      </c>
      <c r="C16" s="60">
        <v>0</v>
      </c>
      <c r="D16" s="61">
        <v>0</v>
      </c>
      <c r="E16" s="61">
        <v>5.7739999999999996E-3</v>
      </c>
      <c r="F16" s="61">
        <v>3.6741999999999997E-2</v>
      </c>
      <c r="G16" s="61">
        <v>6.9341E-2</v>
      </c>
      <c r="H16" s="61">
        <v>0.104876</v>
      </c>
      <c r="I16" s="61">
        <v>0.146234</v>
      </c>
      <c r="J16" s="61">
        <v>0.19264700000000001</v>
      </c>
      <c r="K16" s="61">
        <v>0.24788099999999999</v>
      </c>
      <c r="L16" s="56"/>
      <c r="M16" s="61"/>
      <c r="N16" s="57"/>
      <c r="O16" s="85"/>
      <c r="P16" s="85">
        <f t="shared" si="5"/>
        <v>9.4472669271058617E-5</v>
      </c>
      <c r="Q16" s="85"/>
      <c r="R16" s="87" t="s">
        <v>220</v>
      </c>
    </row>
    <row r="17" spans="1:19" ht="12" x14ac:dyDescent="0.2">
      <c r="A17" s="59" t="s">
        <v>188</v>
      </c>
      <c r="B17" s="60">
        <v>0</v>
      </c>
      <c r="C17" s="60">
        <v>0</v>
      </c>
      <c r="D17" s="61">
        <v>0</v>
      </c>
      <c r="E17" s="61">
        <v>5.3540000000000003E-3</v>
      </c>
      <c r="F17" s="61">
        <v>3.4068000000000001E-2</v>
      </c>
      <c r="G17" s="61">
        <v>6.4296000000000006E-2</v>
      </c>
      <c r="H17" s="61">
        <v>9.7243999999999997E-2</v>
      </c>
      <c r="I17" s="61">
        <v>0.13559299999999999</v>
      </c>
      <c r="J17" s="61">
        <v>0.17862800000000001</v>
      </c>
      <c r="K17" s="61">
        <v>0.22984399999999999</v>
      </c>
      <c r="L17" s="56"/>
      <c r="M17" s="61"/>
      <c r="N17" s="57"/>
      <c r="O17" s="85"/>
      <c r="P17" s="85">
        <f t="shared" si="5"/>
        <v>8.4576169868981048E-5</v>
      </c>
      <c r="Q17" s="85"/>
      <c r="R17" s="87" t="s">
        <v>221</v>
      </c>
    </row>
    <row r="18" spans="1:19" ht="12" x14ac:dyDescent="0.2">
      <c r="A18" s="59" t="s">
        <v>189</v>
      </c>
      <c r="B18" s="58">
        <v>0</v>
      </c>
      <c r="C18" s="58">
        <v>0</v>
      </c>
      <c r="D18" s="62">
        <v>0</v>
      </c>
      <c r="E18" s="62">
        <v>3.9999999999999998E-6</v>
      </c>
      <c r="F18" s="62">
        <v>2.1999999999999999E-5</v>
      </c>
      <c r="G18" s="62">
        <v>3.6999999999999998E-5</v>
      </c>
      <c r="H18" s="62">
        <v>4.8000000000000001E-5</v>
      </c>
      <c r="I18" s="62">
        <v>5.5000000000000002E-5</v>
      </c>
      <c r="J18" s="62">
        <v>5.8E-5</v>
      </c>
      <c r="K18" s="62">
        <v>5.8E-5</v>
      </c>
      <c r="L18" s="56"/>
      <c r="M18" s="61"/>
      <c r="N18" s="57"/>
      <c r="O18" s="85"/>
      <c r="P18" s="85">
        <f t="shared" si="5"/>
        <v>7.0990442879146696E-5</v>
      </c>
      <c r="Q18" s="85"/>
      <c r="R18" s="87" t="s">
        <v>222</v>
      </c>
    </row>
    <row r="19" spans="1:19" x14ac:dyDescent="0.2">
      <c r="A19" s="59" t="s">
        <v>190</v>
      </c>
      <c r="B19" s="55">
        <v>44.468475599999991</v>
      </c>
      <c r="C19" s="55">
        <v>45.481165999999995</v>
      </c>
      <c r="D19" s="56">
        <v>53.160873000000002</v>
      </c>
      <c r="E19" s="56">
        <v>62.660361999999999</v>
      </c>
      <c r="F19" s="56">
        <v>69.208374000000006</v>
      </c>
      <c r="G19" s="56">
        <v>76.081267999999994</v>
      </c>
      <c r="H19" s="56">
        <v>84.932426000000007</v>
      </c>
      <c r="I19" s="56">
        <v>93.225075000000004</v>
      </c>
      <c r="J19" s="56">
        <v>101.140862</v>
      </c>
      <c r="K19" s="56">
        <v>110.57487500000001</v>
      </c>
      <c r="L19" s="56"/>
      <c r="M19" s="61"/>
      <c r="N19" s="57">
        <f>SUM(N10:N18)</f>
        <v>0.98011408279664436</v>
      </c>
      <c r="O19" s="57">
        <f t="shared" ref="O19:P19" si="6">SUM(O10:O18)</f>
        <v>0.98000035537117136</v>
      </c>
      <c r="P19" s="57">
        <f t="shared" si="6"/>
        <v>0.98000016731190898</v>
      </c>
      <c r="Q19" s="57"/>
    </row>
    <row r="20" spans="1:19" x14ac:dyDescent="0.2">
      <c r="A20" s="51" t="s">
        <v>191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60"/>
    </row>
    <row r="21" spans="1:19" x14ac:dyDescent="0.2">
      <c r="A21" s="63" t="s">
        <v>181</v>
      </c>
      <c r="B21" s="54">
        <v>41.638675999999997</v>
      </c>
      <c r="C21" s="55">
        <v>44.229388999999998</v>
      </c>
      <c r="D21" s="56">
        <v>35.226993999999998</v>
      </c>
      <c r="E21" s="56">
        <v>37.441555000000001</v>
      </c>
      <c r="F21" s="56">
        <v>40.546951</v>
      </c>
      <c r="G21" s="56">
        <v>45.142581999999997</v>
      </c>
      <c r="H21" s="56">
        <v>50.785697999999996</v>
      </c>
      <c r="I21" s="56">
        <v>56.869289000000002</v>
      </c>
      <c r="J21" s="56">
        <v>64.629585000000006</v>
      </c>
      <c r="K21" s="56">
        <v>73.386977999999999</v>
      </c>
      <c r="L21" s="56"/>
      <c r="M21" s="61"/>
      <c r="O21" s="58"/>
      <c r="P21" s="58"/>
      <c r="Q21" s="58"/>
    </row>
    <row r="22" spans="1:19" x14ac:dyDescent="0.2">
      <c r="A22" s="63" t="s">
        <v>182</v>
      </c>
      <c r="B22" s="54">
        <v>16.845479999999998</v>
      </c>
      <c r="C22" s="55">
        <v>17.51914</v>
      </c>
      <c r="D22" s="56">
        <v>15.938895</v>
      </c>
      <c r="E22" s="56">
        <v>16.315041000000001</v>
      </c>
      <c r="F22" s="56">
        <v>16.780432000000001</v>
      </c>
      <c r="G22" s="56">
        <v>18.386461000000001</v>
      </c>
      <c r="H22" s="56">
        <v>20.665295</v>
      </c>
      <c r="I22" s="56">
        <v>23.110014</v>
      </c>
      <c r="J22" s="56">
        <v>26.020405</v>
      </c>
      <c r="K22" s="56">
        <v>28.991399999999999</v>
      </c>
      <c r="L22" s="56"/>
      <c r="M22" s="61"/>
      <c r="O22" s="58"/>
      <c r="P22" s="58"/>
      <c r="Q22" s="58"/>
    </row>
    <row r="23" spans="1:19" x14ac:dyDescent="0.2">
      <c r="A23" s="51" t="s">
        <v>183</v>
      </c>
      <c r="B23" s="64">
        <v>0.40219700000000003</v>
      </c>
      <c r="C23" s="65">
        <v>0.41526600000000002</v>
      </c>
      <c r="D23" s="66">
        <v>1.4374E-2</v>
      </c>
      <c r="E23" s="66">
        <v>5.8090000000000003E-2</v>
      </c>
      <c r="F23" s="66">
        <v>7.0231000000000002E-2</v>
      </c>
      <c r="G23" s="66">
        <v>8.0857999999999999E-2</v>
      </c>
      <c r="H23" s="66">
        <v>9.7658999999999996E-2</v>
      </c>
      <c r="I23" s="66">
        <v>0.1229</v>
      </c>
      <c r="J23" s="66">
        <v>0.160525</v>
      </c>
      <c r="K23" s="66">
        <v>0.20899999999999999</v>
      </c>
      <c r="L23" s="56"/>
      <c r="M23" s="61"/>
      <c r="O23" s="58"/>
      <c r="P23" s="58"/>
      <c r="Q23" s="58"/>
    </row>
    <row r="24" spans="1:19" x14ac:dyDescent="0.2">
      <c r="A24" s="51" t="s">
        <v>184</v>
      </c>
      <c r="B24" s="64">
        <v>0.454878</v>
      </c>
      <c r="C24" s="65">
        <v>0.44619399999999998</v>
      </c>
      <c r="D24" s="66">
        <v>4.5215999999999999E-2</v>
      </c>
      <c r="E24" s="66">
        <v>6.4804E-2</v>
      </c>
      <c r="F24" s="66">
        <v>0.107875</v>
      </c>
      <c r="G24" s="66">
        <v>0.14490700000000001</v>
      </c>
      <c r="H24" s="66">
        <v>0.177677</v>
      </c>
      <c r="I24" s="66">
        <v>0.212148</v>
      </c>
      <c r="J24" s="66">
        <v>0.25929799999999997</v>
      </c>
      <c r="K24" s="66">
        <v>0.32194600000000001</v>
      </c>
      <c r="L24" s="56"/>
      <c r="M24" s="61"/>
      <c r="O24" s="58"/>
      <c r="P24" s="58"/>
      <c r="Q24" s="58"/>
    </row>
    <row r="25" spans="1:19" x14ac:dyDescent="0.2">
      <c r="A25" s="51" t="s">
        <v>185</v>
      </c>
      <c r="B25" s="65">
        <v>0</v>
      </c>
      <c r="C25" s="65">
        <v>0</v>
      </c>
      <c r="D25" s="66">
        <v>0.40549800000000003</v>
      </c>
      <c r="E25" s="66">
        <v>0.58277900000000005</v>
      </c>
      <c r="F25" s="66">
        <v>0.81752199999999997</v>
      </c>
      <c r="G25" s="66">
        <v>1.069855</v>
      </c>
      <c r="H25" s="66">
        <v>1.418526</v>
      </c>
      <c r="I25" s="66">
        <v>1.8660669999999999</v>
      </c>
      <c r="J25" s="66">
        <v>2.470707</v>
      </c>
      <c r="K25" s="66">
        <v>3.2357179999999999</v>
      </c>
      <c r="L25" s="56"/>
      <c r="M25" s="61"/>
      <c r="O25" s="58"/>
      <c r="P25" s="58"/>
      <c r="Q25" s="58"/>
    </row>
    <row r="26" spans="1:19" x14ac:dyDescent="0.2">
      <c r="A26" s="51" t="s">
        <v>186</v>
      </c>
      <c r="B26" s="65">
        <v>0</v>
      </c>
      <c r="C26" s="65">
        <v>0</v>
      </c>
      <c r="D26" s="66">
        <v>0</v>
      </c>
      <c r="E26" s="66">
        <v>5.0889999999999998E-3</v>
      </c>
      <c r="F26" s="66">
        <v>2.7609000000000002E-2</v>
      </c>
      <c r="G26" s="66">
        <v>5.0639000000000003E-2</v>
      </c>
      <c r="H26" s="66">
        <v>7.7010999999999996E-2</v>
      </c>
      <c r="I26" s="66">
        <v>0.108192</v>
      </c>
      <c r="J26" s="66">
        <v>0.14857899999999999</v>
      </c>
      <c r="K26" s="66">
        <v>0.199153</v>
      </c>
      <c r="L26" s="56"/>
      <c r="M26" s="61"/>
      <c r="O26" s="58"/>
      <c r="P26" s="58"/>
      <c r="Q26" s="58"/>
    </row>
    <row r="27" spans="1:19" x14ac:dyDescent="0.2">
      <c r="A27" s="51" t="s">
        <v>187</v>
      </c>
      <c r="B27" s="65">
        <v>0</v>
      </c>
      <c r="C27" s="65">
        <v>0</v>
      </c>
      <c r="D27" s="66">
        <v>0</v>
      </c>
      <c r="E27" s="66">
        <v>5.5189999999999996E-3</v>
      </c>
      <c r="F27" s="66">
        <v>3.0335999999999998E-2</v>
      </c>
      <c r="G27" s="66">
        <v>5.5705999999999999E-2</v>
      </c>
      <c r="H27" s="66">
        <v>8.4749000000000005E-2</v>
      </c>
      <c r="I27" s="66">
        <v>0.11908000000000001</v>
      </c>
      <c r="J27" s="66">
        <v>0.16354399999999999</v>
      </c>
      <c r="K27" s="66">
        <v>0.219225</v>
      </c>
      <c r="L27" s="56"/>
      <c r="M27" s="61"/>
      <c r="O27" s="58"/>
      <c r="P27" s="58"/>
      <c r="Q27" s="58"/>
    </row>
    <row r="28" spans="1:19" x14ac:dyDescent="0.2">
      <c r="A28" s="51" t="s">
        <v>188</v>
      </c>
      <c r="B28" s="65">
        <v>0</v>
      </c>
      <c r="C28" s="65">
        <v>0</v>
      </c>
      <c r="D28" s="66">
        <v>0</v>
      </c>
      <c r="E28" s="66">
        <v>4.7559999999999998E-3</v>
      </c>
      <c r="F28" s="66">
        <v>2.6143E-2</v>
      </c>
      <c r="G28" s="66">
        <v>4.8007000000000001E-2</v>
      </c>
      <c r="H28" s="66">
        <v>7.3036000000000004E-2</v>
      </c>
      <c r="I28" s="66">
        <v>0.102622</v>
      </c>
      <c r="J28" s="66">
        <v>0.14094100000000001</v>
      </c>
      <c r="K28" s="66">
        <v>0.18892600000000001</v>
      </c>
      <c r="L28" s="56"/>
      <c r="M28" s="61"/>
      <c r="O28" s="58"/>
      <c r="P28" s="58"/>
      <c r="Q28" s="58"/>
      <c r="R28" s="7"/>
      <c r="S28" s="88"/>
    </row>
    <row r="29" spans="1:19" x14ac:dyDescent="0.2">
      <c r="A29" s="51" t="s">
        <v>189</v>
      </c>
      <c r="B29" s="65">
        <v>0</v>
      </c>
      <c r="C29" s="65">
        <v>0</v>
      </c>
      <c r="D29" s="66">
        <v>0</v>
      </c>
      <c r="E29" s="66">
        <v>8.482E-3</v>
      </c>
      <c r="F29" s="66">
        <v>4.6626000000000001E-2</v>
      </c>
      <c r="G29" s="66">
        <v>8.5619000000000001E-2</v>
      </c>
      <c r="H29" s="66">
        <v>0.13025600000000001</v>
      </c>
      <c r="I29" s="66">
        <v>0.18302299999999999</v>
      </c>
      <c r="J29" s="66">
        <v>0.25136199999999997</v>
      </c>
      <c r="K29" s="66">
        <v>0.33694299999999999</v>
      </c>
      <c r="L29" s="56"/>
      <c r="M29" s="61"/>
      <c r="O29" s="58"/>
      <c r="P29" s="58"/>
      <c r="Q29" s="58"/>
      <c r="R29" s="7"/>
      <c r="S29" s="88"/>
    </row>
    <row r="30" spans="1:19" x14ac:dyDescent="0.2">
      <c r="A30" s="51" t="s">
        <v>192</v>
      </c>
      <c r="B30" s="55">
        <v>59.341239999999999</v>
      </c>
      <c r="C30" s="55">
        <v>62.609977999999998</v>
      </c>
      <c r="D30" s="56">
        <v>51.630969999999998</v>
      </c>
      <c r="E30" s="56">
        <v>54.486111000000001</v>
      </c>
      <c r="F30" s="56">
        <v>58.453628999999999</v>
      </c>
      <c r="G30" s="56">
        <v>65.064635999999993</v>
      </c>
      <c r="H30" s="56">
        <v>73.509865000000005</v>
      </c>
      <c r="I30" s="56">
        <v>82.693191999999996</v>
      </c>
      <c r="J30" s="56">
        <v>94.244681999999997</v>
      </c>
      <c r="K30" s="56">
        <v>107.089401</v>
      </c>
      <c r="L30" s="56"/>
      <c r="M30" s="61"/>
      <c r="R30" s="7"/>
      <c r="S30" s="88"/>
    </row>
    <row r="31" spans="1:19" x14ac:dyDescent="0.2">
      <c r="A31" s="51" t="s">
        <v>193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0"/>
      <c r="R31" s="7"/>
      <c r="S31" s="88"/>
    </row>
    <row r="32" spans="1:19" ht="12" x14ac:dyDescent="0.2">
      <c r="A32" s="63" t="s">
        <v>181</v>
      </c>
      <c r="B32" s="54">
        <v>170.86520400000001</v>
      </c>
      <c r="C32" s="55">
        <v>172.724152</v>
      </c>
      <c r="D32" s="56">
        <v>175.414581</v>
      </c>
      <c r="E32" s="56">
        <v>186.35144</v>
      </c>
      <c r="F32" s="56">
        <v>193.70581100000001</v>
      </c>
      <c r="G32" s="56">
        <v>199.70950300000001</v>
      </c>
      <c r="H32" s="56">
        <v>204.734375</v>
      </c>
      <c r="I32" s="56">
        <v>207.310745</v>
      </c>
      <c r="J32" s="56">
        <v>211.29188500000001</v>
      </c>
      <c r="K32" s="56">
        <v>212.108093</v>
      </c>
      <c r="L32" s="56"/>
      <c r="M32" s="57">
        <f>B32/$B$41</f>
        <v>0.97013482691921671</v>
      </c>
      <c r="N32" s="86">
        <f>C32/$C$41*0.98</f>
        <v>0.95180477292650101</v>
      </c>
      <c r="O32" s="86">
        <f>D32/$D$41*0.98</f>
        <v>0.97124416435819572</v>
      </c>
      <c r="P32" s="86">
        <f>E32/$E$41*0.98</f>
        <v>0.96698144288720989</v>
      </c>
      <c r="Q32" s="86"/>
      <c r="R32" s="91" t="s">
        <v>227</v>
      </c>
      <c r="S32" s="88"/>
    </row>
    <row r="33" spans="1:23" ht="12" x14ac:dyDescent="0.2">
      <c r="A33" s="63" t="s">
        <v>182</v>
      </c>
      <c r="B33" s="54">
        <v>4.5445840000000004</v>
      </c>
      <c r="C33" s="55">
        <v>4.42272</v>
      </c>
      <c r="D33" s="56">
        <v>0.283188</v>
      </c>
      <c r="E33" s="56">
        <v>0.16338</v>
      </c>
      <c r="F33" s="56">
        <v>0.10238999999999999</v>
      </c>
      <c r="G33" s="56">
        <v>8.0883999999999998E-2</v>
      </c>
      <c r="H33" s="56">
        <v>7.3336999999999999E-2</v>
      </c>
      <c r="I33" s="56">
        <v>7.0521E-2</v>
      </c>
      <c r="J33" s="56">
        <v>7.0007E-2</v>
      </c>
      <c r="K33" s="56">
        <v>7.1809999999999999E-2</v>
      </c>
      <c r="L33" s="56"/>
      <c r="M33" s="57">
        <f t="shared" ref="M33:M35" si="7">B33/$B$41</f>
        <v>2.5803142530177424E-2</v>
      </c>
      <c r="N33" s="86">
        <f t="shared" ref="N33:N35" si="8">C33/$C$41*0.98</f>
        <v>2.4371611940624809E-2</v>
      </c>
      <c r="O33" s="86">
        <f t="shared" ref="O33:O35" si="9">D33/$D$41*0.98</f>
        <v>1.5679693834360824E-3</v>
      </c>
      <c r="P33" s="86">
        <f t="shared" ref="P33:P40" si="10">E33/$E$41*0.98</f>
        <v>8.4778216974825825E-4</v>
      </c>
      <c r="Q33" s="86"/>
      <c r="R33" s="91" t="s">
        <v>229</v>
      </c>
      <c r="S33" s="88"/>
    </row>
    <row r="34" spans="1:23" ht="12" x14ac:dyDescent="0.2">
      <c r="A34" s="51" t="s">
        <v>183</v>
      </c>
      <c r="B34" s="54">
        <v>0.62343199999999999</v>
      </c>
      <c r="C34" s="55">
        <v>0.58565900000000004</v>
      </c>
      <c r="D34" s="56">
        <v>1.1710999999999999E-2</v>
      </c>
      <c r="E34" s="56">
        <v>4.1971000000000001E-2</v>
      </c>
      <c r="F34" s="56">
        <v>5.2448000000000002E-2</v>
      </c>
      <c r="G34" s="56">
        <v>5.6097000000000001E-2</v>
      </c>
      <c r="H34" s="56">
        <v>5.7472000000000002E-2</v>
      </c>
      <c r="I34" s="56">
        <v>5.9603999999999997E-2</v>
      </c>
      <c r="J34" s="56">
        <v>6.3911999999999997E-2</v>
      </c>
      <c r="K34" s="56">
        <v>6.8751000000000007E-2</v>
      </c>
      <c r="L34" s="56"/>
      <c r="M34" s="57">
        <f t="shared" si="7"/>
        <v>3.5397089709142951E-3</v>
      </c>
      <c r="N34" s="86">
        <f t="shared" si="8"/>
        <v>3.2273021754789782E-3</v>
      </c>
      <c r="O34" s="86">
        <f t="shared" si="9"/>
        <v>6.4842046447660077E-5</v>
      </c>
      <c r="P34" s="86">
        <f t="shared" si="10"/>
        <v>2.1778837952322284E-4</v>
      </c>
      <c r="Q34" s="86"/>
      <c r="R34" s="91" t="s">
        <v>230</v>
      </c>
      <c r="S34" s="88"/>
    </row>
    <row r="35" spans="1:23" ht="12" x14ac:dyDescent="0.2">
      <c r="A35" s="51" t="s">
        <v>184</v>
      </c>
      <c r="B35" s="54">
        <v>9.2052999999999996E-2</v>
      </c>
      <c r="C35" s="55">
        <v>0.108249</v>
      </c>
      <c r="D35" s="56">
        <v>1.286899</v>
      </c>
      <c r="E35" s="56">
        <v>2.294092</v>
      </c>
      <c r="F35" s="56">
        <v>2.2891910000000002</v>
      </c>
      <c r="G35" s="56">
        <v>2.262235</v>
      </c>
      <c r="H35" s="56">
        <v>2.6308560000000001</v>
      </c>
      <c r="I35" s="56">
        <v>3.635866</v>
      </c>
      <c r="J35" s="56">
        <v>5.5101639999999996</v>
      </c>
      <c r="K35" s="56">
        <v>8.48447</v>
      </c>
      <c r="L35" s="56"/>
      <c r="M35" s="57">
        <f t="shared" si="7"/>
        <v>5.2265656863871861E-4</v>
      </c>
      <c r="N35" s="86">
        <f t="shared" si="8"/>
        <v>5.9651133713205782E-4</v>
      </c>
      <c r="O35" s="86">
        <f t="shared" si="9"/>
        <v>7.1253662993294598E-3</v>
      </c>
      <c r="P35" s="86">
        <f t="shared" si="10"/>
        <v>1.1904090423320609E-2</v>
      </c>
      <c r="Q35" s="86"/>
      <c r="R35" s="91" t="s">
        <v>228</v>
      </c>
      <c r="S35" s="88"/>
    </row>
    <row r="36" spans="1:23" ht="12" x14ac:dyDescent="0.2">
      <c r="A36" s="51" t="s">
        <v>185</v>
      </c>
      <c r="B36" s="55">
        <v>0</v>
      </c>
      <c r="C36" s="55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/>
      <c r="M36" s="61"/>
      <c r="N36" s="86"/>
      <c r="O36" s="86"/>
      <c r="P36" s="86"/>
      <c r="Q36" s="86"/>
      <c r="R36" s="89"/>
      <c r="S36" s="7"/>
    </row>
    <row r="37" spans="1:23" ht="12" x14ac:dyDescent="0.2">
      <c r="A37" s="51" t="s">
        <v>186</v>
      </c>
      <c r="B37" s="58">
        <v>0</v>
      </c>
      <c r="C37" s="58">
        <v>0</v>
      </c>
      <c r="D37" s="62">
        <v>0</v>
      </c>
      <c r="E37" s="62">
        <v>1.1169999999999999E-3</v>
      </c>
      <c r="F37" s="62">
        <v>6.4079999999999996E-3</v>
      </c>
      <c r="G37" s="62">
        <v>1.1978000000000001E-2</v>
      </c>
      <c r="H37" s="62">
        <v>1.7076000000000001E-2</v>
      </c>
      <c r="I37" s="62">
        <v>2.1418E-2</v>
      </c>
      <c r="J37" s="62">
        <v>2.6086000000000002E-2</v>
      </c>
      <c r="K37" s="62">
        <v>3.1376000000000001E-2</v>
      </c>
      <c r="L37" s="56"/>
      <c r="M37" s="61"/>
      <c r="N37" s="86"/>
      <c r="O37" s="86"/>
      <c r="P37" s="86">
        <f t="shared" si="10"/>
        <v>5.79613590163303E-6</v>
      </c>
      <c r="Q37" s="86">
        <f>F37/$F$41*0.98</f>
        <v>3.2009042683005145E-5</v>
      </c>
      <c r="R37" s="91" t="s">
        <v>223</v>
      </c>
      <c r="S37" s="90"/>
    </row>
    <row r="38" spans="1:23" ht="12" x14ac:dyDescent="0.2">
      <c r="A38" s="51" t="s">
        <v>187</v>
      </c>
      <c r="B38" s="55">
        <v>0</v>
      </c>
      <c r="C38" s="55">
        <v>0</v>
      </c>
      <c r="D38" s="56">
        <v>0</v>
      </c>
      <c r="E38" s="56">
        <v>2.483E-3</v>
      </c>
      <c r="F38" s="56">
        <v>9.6600000000000002E-3</v>
      </c>
      <c r="G38" s="56">
        <v>1.7038000000000001E-2</v>
      </c>
      <c r="H38" s="56">
        <v>2.3709000000000001E-2</v>
      </c>
      <c r="I38" s="56">
        <v>2.9509000000000001E-2</v>
      </c>
      <c r="J38" s="56">
        <v>3.5874999999999997E-2</v>
      </c>
      <c r="K38" s="56">
        <v>4.3084999999999998E-2</v>
      </c>
      <c r="L38" s="56"/>
      <c r="M38" s="61"/>
      <c r="N38" s="86"/>
      <c r="O38" s="86"/>
      <c r="P38" s="86">
        <f t="shared" si="10"/>
        <v>1.288433790846447E-5</v>
      </c>
      <c r="Q38" s="86"/>
      <c r="R38" s="91" t="s">
        <v>224</v>
      </c>
      <c r="S38" s="90"/>
    </row>
    <row r="39" spans="1:23" ht="12" x14ac:dyDescent="0.2">
      <c r="A39" s="51" t="s">
        <v>188</v>
      </c>
      <c r="B39" s="55">
        <v>0</v>
      </c>
      <c r="C39" s="55">
        <v>0</v>
      </c>
      <c r="D39" s="56">
        <v>0</v>
      </c>
      <c r="E39" s="56">
        <v>2.627E-3</v>
      </c>
      <c r="F39" s="56">
        <v>1.0130999999999999E-2</v>
      </c>
      <c r="G39" s="56">
        <v>1.7840999999999999E-2</v>
      </c>
      <c r="H39" s="56">
        <v>2.4809999999999999E-2</v>
      </c>
      <c r="I39" s="56">
        <v>3.0872E-2</v>
      </c>
      <c r="J39" s="56">
        <v>3.7529E-2</v>
      </c>
      <c r="K39" s="56">
        <v>4.5071E-2</v>
      </c>
      <c r="L39" s="56"/>
      <c r="M39" s="61"/>
      <c r="N39" s="86"/>
      <c r="O39" s="86"/>
      <c r="P39" s="86">
        <f t="shared" si="10"/>
        <v>1.3631556860868371E-5</v>
      </c>
      <c r="Q39" s="86"/>
      <c r="R39" s="91" t="s">
        <v>225</v>
      </c>
      <c r="S39" s="90"/>
    </row>
    <row r="40" spans="1:23" ht="12" x14ac:dyDescent="0.2">
      <c r="A40" s="51" t="s">
        <v>189</v>
      </c>
      <c r="B40" s="55">
        <v>0</v>
      </c>
      <c r="C40" s="55">
        <v>0</v>
      </c>
      <c r="D40" s="56">
        <v>0</v>
      </c>
      <c r="E40" s="56">
        <v>3.277E-3</v>
      </c>
      <c r="F40" s="56">
        <v>1.3439E-2</v>
      </c>
      <c r="G40" s="56">
        <v>2.393E-2</v>
      </c>
      <c r="H40" s="56">
        <v>3.3437000000000001E-2</v>
      </c>
      <c r="I40" s="56">
        <v>4.1672000000000001E-2</v>
      </c>
      <c r="J40" s="56">
        <v>5.0677E-2</v>
      </c>
      <c r="K40" s="56">
        <v>6.0879000000000003E-2</v>
      </c>
      <c r="L40" s="56"/>
      <c r="M40" s="61"/>
      <c r="N40" s="86"/>
      <c r="O40" s="86"/>
      <c r="P40" s="86">
        <f t="shared" si="10"/>
        <v>1.7004420187691531E-5</v>
      </c>
      <c r="Q40" s="86"/>
      <c r="R40" s="91" t="s">
        <v>226</v>
      </c>
      <c r="S40" s="90"/>
    </row>
    <row r="41" spans="1:23" ht="12" x14ac:dyDescent="0.2">
      <c r="A41" s="51" t="s">
        <v>194</v>
      </c>
      <c r="B41" s="55">
        <v>176.125214</v>
      </c>
      <c r="C41" s="55">
        <v>177.840744</v>
      </c>
      <c r="D41" s="56">
        <v>176.99595600000001</v>
      </c>
      <c r="E41" s="56">
        <v>188.86030600000001</v>
      </c>
      <c r="F41" s="56">
        <v>196.18956</v>
      </c>
      <c r="G41" s="56">
        <v>202.179306</v>
      </c>
      <c r="H41" s="56">
        <v>207.59449799999999</v>
      </c>
      <c r="I41" s="56">
        <v>211.20002700000001</v>
      </c>
      <c r="J41" s="56">
        <v>217.08587600000001</v>
      </c>
      <c r="K41" s="56">
        <v>220.91301000000001</v>
      </c>
      <c r="L41" s="56"/>
      <c r="M41" s="61"/>
      <c r="N41" s="93">
        <f>SUM(N32:N40)</f>
        <v>0.98000019837973673</v>
      </c>
      <c r="O41" s="93">
        <f t="shared" ref="O41:P41" si="11">SUM(O32:O40)</f>
        <v>0.98000234208740888</v>
      </c>
      <c r="P41" s="93">
        <f t="shared" si="11"/>
        <v>0.9800004203106607</v>
      </c>
      <c r="Q41" s="93"/>
      <c r="R41" s="89"/>
      <c r="S41" s="90"/>
    </row>
    <row r="42" spans="1:23" ht="12" x14ac:dyDescent="0.2">
      <c r="A42" s="51" t="s">
        <v>195</v>
      </c>
      <c r="B42" s="55">
        <v>279.93498260000001</v>
      </c>
      <c r="C42" s="55">
        <v>285.931895</v>
      </c>
      <c r="D42" s="67">
        <v>281.78808600000002</v>
      </c>
      <c r="E42" s="67">
        <v>306.00613399999997</v>
      </c>
      <c r="F42" s="67">
        <v>323.85064699999998</v>
      </c>
      <c r="G42" s="67">
        <v>343.32421900000003</v>
      </c>
      <c r="H42" s="67">
        <v>366.03659099999999</v>
      </c>
      <c r="I42" s="67">
        <v>387.11657700000001</v>
      </c>
      <c r="J42" s="67">
        <v>412.469604</v>
      </c>
      <c r="K42" s="67">
        <v>438.57507299999997</v>
      </c>
      <c r="L42" s="67"/>
      <c r="M42" s="68"/>
      <c r="R42" s="89"/>
      <c r="S42" s="90"/>
    </row>
    <row r="43" spans="1:23" ht="12" x14ac:dyDescent="0.2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60"/>
      <c r="R43" s="89"/>
      <c r="S43" s="90"/>
    </row>
    <row r="44" spans="1:23" ht="12.75" x14ac:dyDescent="0.2">
      <c r="S44" s="51"/>
      <c r="T44" s="69"/>
      <c r="U44" s="69"/>
      <c r="V44" s="69"/>
      <c r="W44" s="69"/>
    </row>
    <row r="45" spans="1:23" customFormat="1" ht="15" customHeight="1" x14ac:dyDescent="0.25">
      <c r="A45" s="50" t="s">
        <v>197</v>
      </c>
      <c r="R45" s="45"/>
      <c r="S45" s="51"/>
    </row>
    <row r="46" spans="1:23" customFormat="1" ht="15" customHeight="1" x14ac:dyDescent="0.2">
      <c r="A46" s="70" t="s">
        <v>198</v>
      </c>
      <c r="R46" s="45"/>
      <c r="S46" s="45"/>
    </row>
    <row r="47" spans="1:23" customFormat="1" ht="15" customHeight="1" x14ac:dyDescent="0.2">
      <c r="A47" s="70" t="s">
        <v>170</v>
      </c>
      <c r="B47" s="71" t="s">
        <v>170</v>
      </c>
      <c r="C47" s="71" t="s">
        <v>170</v>
      </c>
      <c r="D47" s="71" t="s">
        <v>170</v>
      </c>
      <c r="E47" s="71" t="s">
        <v>170</v>
      </c>
      <c r="F47" s="71" t="s">
        <v>170</v>
      </c>
      <c r="G47" s="71" t="s">
        <v>170</v>
      </c>
      <c r="H47" s="71" t="s">
        <v>170</v>
      </c>
      <c r="I47" s="71" t="s">
        <v>170</v>
      </c>
      <c r="J47" s="71" t="s">
        <v>170</v>
      </c>
      <c r="K47" s="71" t="s">
        <v>170</v>
      </c>
      <c r="R47" s="45"/>
      <c r="S47" s="45"/>
    </row>
    <row r="48" spans="1:23" customFormat="1" ht="15" customHeight="1" thickBot="1" x14ac:dyDescent="0.25">
      <c r="A48" s="72" t="s">
        <v>199</v>
      </c>
      <c r="B48" s="72">
        <v>2010</v>
      </c>
      <c r="C48" s="72">
        <v>2011</v>
      </c>
      <c r="D48" s="72">
        <v>2015</v>
      </c>
      <c r="E48" s="72">
        <v>2020</v>
      </c>
      <c r="F48" s="72">
        <v>2025</v>
      </c>
      <c r="G48" s="72">
        <v>2030</v>
      </c>
      <c r="H48" s="72">
        <v>2035</v>
      </c>
      <c r="I48" s="72">
        <v>2040</v>
      </c>
      <c r="J48" s="72">
        <v>2045</v>
      </c>
      <c r="K48" s="72">
        <v>2050</v>
      </c>
      <c r="M48" s="33">
        <f>SUM(M51:M52)</f>
        <v>0.99999999999999989</v>
      </c>
      <c r="N48" s="33">
        <f>SUM(N51:N58)</f>
        <v>1</v>
      </c>
      <c r="O48" s="33">
        <f t="shared" ref="O48:P48" si="12">SUM(O51:O58)</f>
        <v>1.0000000629806742</v>
      </c>
      <c r="P48" s="33">
        <f t="shared" si="12"/>
        <v>1.000000019932886</v>
      </c>
      <c r="Q48" s="33"/>
      <c r="R48" s="45"/>
      <c r="S48" s="51"/>
    </row>
    <row r="49" spans="1:19" customFormat="1" ht="15" customHeight="1" thickTop="1" x14ac:dyDescent="0.2">
      <c r="R49" s="45"/>
      <c r="S49" s="51"/>
    </row>
    <row r="50" spans="1:19" customFormat="1" ht="15" customHeight="1" x14ac:dyDescent="0.2">
      <c r="A50" s="73" t="s">
        <v>196</v>
      </c>
      <c r="M50" s="74" t="s">
        <v>180</v>
      </c>
      <c r="N50" s="45">
        <v>2011</v>
      </c>
      <c r="O50" s="45">
        <v>2015</v>
      </c>
      <c r="P50" s="45">
        <v>2020</v>
      </c>
      <c r="Q50" s="45"/>
      <c r="R50" s="45"/>
      <c r="S50" s="51"/>
    </row>
    <row r="51" spans="1:19" customFormat="1" ht="15" customHeight="1" x14ac:dyDescent="0.2">
      <c r="A51" s="75" t="s">
        <v>200</v>
      </c>
      <c r="B51" s="76">
        <v>49.301073899999999</v>
      </c>
      <c r="C51" s="76">
        <v>54.778970999999999</v>
      </c>
      <c r="D51" s="77">
        <v>51.303364000000002</v>
      </c>
      <c r="E51" s="77">
        <v>38.062561000000002</v>
      </c>
      <c r="F51" s="77">
        <v>34.749760000000002</v>
      </c>
      <c r="G51" s="77">
        <v>34.982292000000001</v>
      </c>
      <c r="H51" s="77">
        <v>34.320056999999998</v>
      </c>
      <c r="I51" s="77">
        <v>32.013751999999997</v>
      </c>
      <c r="J51" s="77">
        <v>27.801822999999999</v>
      </c>
      <c r="K51" s="77">
        <v>21.959178999999999</v>
      </c>
      <c r="M51" s="78">
        <f>B51/B60</f>
        <v>0.5997184554702214</v>
      </c>
      <c r="N51" s="92">
        <f>C51/C$60</f>
        <v>0.59971845547022151</v>
      </c>
      <c r="O51" s="92">
        <f t="shared" ref="O51:P58" si="13">D51/D$60</f>
        <v>0.53852007738351493</v>
      </c>
      <c r="P51" s="92">
        <f t="shared" si="13"/>
        <v>0.37934834412533008</v>
      </c>
      <c r="Q51" s="92"/>
      <c r="R51" s="87" t="s">
        <v>152</v>
      </c>
      <c r="S51" s="88"/>
    </row>
    <row r="52" spans="1:19" customFormat="1" ht="15" customHeight="1" x14ac:dyDescent="0.2">
      <c r="A52" s="75" t="s">
        <v>201</v>
      </c>
      <c r="B52" s="76">
        <v>32.9059575</v>
      </c>
      <c r="C52" s="76">
        <v>36.562174999999996</v>
      </c>
      <c r="D52" s="77">
        <v>33.455565999999997</v>
      </c>
      <c r="E52" s="77">
        <v>37.351151000000002</v>
      </c>
      <c r="F52" s="77">
        <v>41.212989999999998</v>
      </c>
      <c r="G52" s="77">
        <v>44.178364000000002</v>
      </c>
      <c r="H52" s="77">
        <v>46.206572999999999</v>
      </c>
      <c r="I52" s="77">
        <v>47.355437999999999</v>
      </c>
      <c r="J52" s="77">
        <v>49.371544</v>
      </c>
      <c r="K52" s="77">
        <v>51.354607000000001</v>
      </c>
      <c r="M52" s="78">
        <f>B52/B60</f>
        <v>0.40028154452977849</v>
      </c>
      <c r="N52" s="92">
        <f t="shared" ref="N52" si="14">C52/C$60</f>
        <v>0.40028154452977849</v>
      </c>
      <c r="O52" s="92">
        <f t="shared" si="13"/>
        <v>0.35117568491667112</v>
      </c>
      <c r="P52" s="92">
        <f t="shared" si="13"/>
        <v>0.37225811692032929</v>
      </c>
      <c r="Q52" s="92"/>
      <c r="R52" s="87" t="s">
        <v>150</v>
      </c>
      <c r="S52" s="88"/>
    </row>
    <row r="53" spans="1:19" customFormat="1" ht="15" customHeight="1" x14ac:dyDescent="0.2">
      <c r="A53" s="75" t="s">
        <v>202</v>
      </c>
      <c r="B53" s="77"/>
      <c r="C53" s="77"/>
      <c r="D53" s="79">
        <v>1.55E-4</v>
      </c>
      <c r="E53" s="77">
        <v>3.0136E-2</v>
      </c>
      <c r="F53" s="77">
        <v>6.9829000000000002E-2</v>
      </c>
      <c r="G53" s="77">
        <v>9.8288E-2</v>
      </c>
      <c r="H53" s="77">
        <v>0.12893299999999999</v>
      </c>
      <c r="I53" s="77">
        <v>0.16309999999999999</v>
      </c>
      <c r="J53" s="77">
        <v>0.203818</v>
      </c>
      <c r="K53" s="77">
        <v>0.251998</v>
      </c>
      <c r="N53" s="92"/>
      <c r="O53" s="92">
        <f t="shared" si="13"/>
        <v>1.6270007556316347E-6</v>
      </c>
      <c r="P53" s="92">
        <f t="shared" si="13"/>
        <v>3.0034872584009639E-4</v>
      </c>
      <c r="Q53" s="92"/>
      <c r="R53" s="87" t="s">
        <v>231</v>
      </c>
      <c r="S53" s="51"/>
    </row>
    <row r="54" spans="1:19" customFormat="1" ht="15" customHeight="1" x14ac:dyDescent="0.2">
      <c r="A54" s="80" t="s">
        <v>203</v>
      </c>
      <c r="B54" s="77"/>
      <c r="C54" s="77"/>
      <c r="D54" s="77">
        <v>0.13475500000000001</v>
      </c>
      <c r="E54" s="77">
        <v>8.6705000000000004E-2</v>
      </c>
      <c r="F54" s="77">
        <v>7.3774999999999993E-2</v>
      </c>
      <c r="G54" s="77">
        <v>6.8348000000000006E-2</v>
      </c>
      <c r="H54" s="77">
        <v>6.6849000000000006E-2</v>
      </c>
      <c r="I54" s="77">
        <v>7.0829000000000003E-2</v>
      </c>
      <c r="J54" s="77">
        <v>8.4546999999999997E-2</v>
      </c>
      <c r="K54" s="77">
        <v>0.11303000000000001</v>
      </c>
      <c r="N54" s="92"/>
      <c r="O54" s="92">
        <f t="shared" si="13"/>
        <v>1.4144934633880063E-3</v>
      </c>
      <c r="P54" s="92">
        <f t="shared" si="13"/>
        <v>8.6414043914141096E-4</v>
      </c>
      <c r="Q54" s="92"/>
      <c r="R54" s="87" t="s">
        <v>233</v>
      </c>
      <c r="S54" s="51"/>
    </row>
    <row r="55" spans="1:19" customFormat="1" ht="15" customHeight="1" x14ac:dyDescent="0.2">
      <c r="A55" s="75" t="s">
        <v>204</v>
      </c>
      <c r="B55" s="77"/>
      <c r="C55" s="77"/>
      <c r="D55" s="77">
        <v>10.373485000000001</v>
      </c>
      <c r="E55" s="77">
        <v>24.760556999999999</v>
      </c>
      <c r="F55" s="77">
        <v>29.198055</v>
      </c>
      <c r="G55" s="77">
        <v>32.716537000000002</v>
      </c>
      <c r="H55" s="77">
        <v>38.653595000000003</v>
      </c>
      <c r="I55" s="77">
        <v>46.763415999999999</v>
      </c>
      <c r="J55" s="77">
        <v>57.025852</v>
      </c>
      <c r="K55" s="77">
        <v>69.230637000000002</v>
      </c>
      <c r="N55" s="92"/>
      <c r="O55" s="92">
        <f t="shared" si="13"/>
        <v>0.10888818021634471</v>
      </c>
      <c r="P55" s="92">
        <f t="shared" si="13"/>
        <v>0.2467746796536063</v>
      </c>
      <c r="Q55" s="92"/>
      <c r="R55" s="87" t="s">
        <v>234</v>
      </c>
      <c r="S55" s="51"/>
    </row>
    <row r="56" spans="1:19" customFormat="1" ht="15" customHeight="1" x14ac:dyDescent="0.2">
      <c r="A56" s="75" t="s">
        <v>205</v>
      </c>
      <c r="B56" s="77"/>
      <c r="C56" s="77"/>
      <c r="D56" s="81"/>
      <c r="E56" s="77">
        <v>1.4321E-2</v>
      </c>
      <c r="F56" s="77">
        <v>7.5693999999999997E-2</v>
      </c>
      <c r="G56" s="77">
        <v>0.118908</v>
      </c>
      <c r="H56" s="77">
        <v>0.16104399999999999</v>
      </c>
      <c r="I56" s="77">
        <v>0.20652300000000001</v>
      </c>
      <c r="J56" s="77">
        <v>0.25955299999999998</v>
      </c>
      <c r="K56" s="77">
        <v>0.32209199999999999</v>
      </c>
      <c r="N56" s="92"/>
      <c r="O56" s="92"/>
      <c r="P56" s="92">
        <f t="shared" si="13"/>
        <v>1.4272943000915916E-4</v>
      </c>
      <c r="Q56" s="92"/>
      <c r="R56" s="87" t="s">
        <v>232</v>
      </c>
      <c r="S56" s="51"/>
    </row>
    <row r="57" spans="1:19" customFormat="1" ht="15" customHeight="1" x14ac:dyDescent="0.2">
      <c r="A57" s="75" t="s">
        <v>206</v>
      </c>
      <c r="B57" s="77"/>
      <c r="C57" s="77"/>
      <c r="D57" s="81"/>
      <c r="E57" s="77">
        <v>1.5559999999999999E-2</v>
      </c>
      <c r="F57" s="77">
        <v>8.2388000000000003E-2</v>
      </c>
      <c r="G57" s="77">
        <v>0.12945100000000001</v>
      </c>
      <c r="H57" s="77">
        <v>0.17533000000000001</v>
      </c>
      <c r="I57" s="77">
        <v>0.22484899999999999</v>
      </c>
      <c r="J57" s="77">
        <v>0.28258499999999998</v>
      </c>
      <c r="K57" s="77">
        <v>0.35067599999999999</v>
      </c>
      <c r="N57" s="92"/>
      <c r="O57" s="92"/>
      <c r="P57" s="92">
        <f t="shared" si="13"/>
        <v>1.5507785286938877E-4</v>
      </c>
      <c r="Q57" s="92"/>
      <c r="R57" s="87" t="s">
        <v>217</v>
      </c>
      <c r="S57" s="51"/>
    </row>
    <row r="58" spans="1:19" customFormat="1" ht="15" customHeight="1" x14ac:dyDescent="0.2">
      <c r="A58" s="75" t="s">
        <v>207</v>
      </c>
      <c r="B58" s="77"/>
      <c r="C58" s="77"/>
      <c r="D58" s="81"/>
      <c r="E58" s="77">
        <v>1.5710999999999999E-2</v>
      </c>
      <c r="F58" s="77">
        <v>8.3187999999999998E-2</v>
      </c>
      <c r="G58" s="77">
        <v>0.13070699999999999</v>
      </c>
      <c r="H58" s="77">
        <v>0.17703199999999999</v>
      </c>
      <c r="I58" s="77">
        <v>0.22703100000000001</v>
      </c>
      <c r="J58" s="77">
        <v>0.28532800000000003</v>
      </c>
      <c r="K58" s="77">
        <v>0.35407899999999998</v>
      </c>
      <c r="N58" s="92"/>
      <c r="O58" s="92"/>
      <c r="P58" s="92">
        <f t="shared" si="13"/>
        <v>1.5658278576034492E-4</v>
      </c>
      <c r="Q58" s="92"/>
      <c r="R58" s="87" t="s">
        <v>216</v>
      </c>
      <c r="S58" s="45"/>
    </row>
    <row r="59" spans="1:19" customFormat="1" ht="15" customHeight="1" x14ac:dyDescent="0.2">
      <c r="A59" s="75" t="s">
        <v>208</v>
      </c>
      <c r="B59" s="77"/>
      <c r="C59" s="77"/>
      <c r="D59" s="81"/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N59" s="92"/>
      <c r="O59" s="92"/>
      <c r="P59" s="92"/>
      <c r="Q59" s="92"/>
      <c r="R59" s="89"/>
      <c r="S59" s="45"/>
    </row>
    <row r="60" spans="1:19" customFormat="1" ht="15" customHeight="1" x14ac:dyDescent="0.2">
      <c r="A60" s="73" t="s">
        <v>209</v>
      </c>
      <c r="B60" s="82">
        <f>SUM(B51:B52)</f>
        <v>82.207031400000005</v>
      </c>
      <c r="C60" s="82">
        <f>SUM(C51:C52)</f>
        <v>91.341145999999995</v>
      </c>
      <c r="D60" s="82">
        <v>95.267319000000001</v>
      </c>
      <c r="E60" s="82">
        <v>100.33669999999999</v>
      </c>
      <c r="F60" s="82">
        <v>105.54568500000001</v>
      </c>
      <c r="G60" s="82">
        <v>112.42289</v>
      </c>
      <c r="H60" s="82">
        <v>119.88941199999999</v>
      </c>
      <c r="I60" s="82">
        <v>127.024925</v>
      </c>
      <c r="J60" s="82">
        <v>135.31506300000001</v>
      </c>
      <c r="K60" s="82">
        <v>143.93630999999999</v>
      </c>
      <c r="N60" s="94">
        <f>SUM(N51:N59)</f>
        <v>1</v>
      </c>
      <c r="O60" s="94">
        <f t="shared" ref="O60" si="15">SUM(O51:O59)</f>
        <v>1.0000000629806742</v>
      </c>
      <c r="P60" s="113">
        <f>SUM(P51:P59)</f>
        <v>1.000000019932886</v>
      </c>
      <c r="Q60" s="113"/>
      <c r="R60" s="89"/>
      <c r="S60" s="45"/>
    </row>
    <row r="61" spans="1:19" customFormat="1" ht="15" customHeight="1" thickBot="1" x14ac:dyDescent="0.25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R61" s="89"/>
      <c r="S61" s="45"/>
    </row>
    <row r="62" spans="1:19" customFormat="1" ht="15" customHeight="1" x14ac:dyDescent="0.2">
      <c r="A62" s="83" t="s">
        <v>210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45"/>
    </row>
    <row r="63" spans="1:19" customFormat="1" ht="15" customHeight="1" x14ac:dyDescent="0.2">
      <c r="A63" s="84" t="s">
        <v>211</v>
      </c>
      <c r="R63" s="45"/>
    </row>
    <row r="64" spans="1:19" customFormat="1" ht="15" customHeight="1" x14ac:dyDescent="0.2">
      <c r="A64" s="84" t="s">
        <v>212</v>
      </c>
      <c r="R64" s="45"/>
    </row>
    <row r="65" spans="1:19" customFormat="1" ht="15" customHeight="1" x14ac:dyDescent="0.2">
      <c r="A65" s="84" t="s">
        <v>213</v>
      </c>
      <c r="R65" s="45"/>
    </row>
    <row r="66" spans="1:19" customFormat="1" ht="15" customHeight="1" x14ac:dyDescent="0.2">
      <c r="A66" s="84" t="s">
        <v>214</v>
      </c>
      <c r="R66" s="45"/>
    </row>
    <row r="67" spans="1:19" customFormat="1" ht="15" customHeight="1" x14ac:dyDescent="0.2">
      <c r="A67" s="84" t="s">
        <v>215</v>
      </c>
      <c r="R67" s="45"/>
    </row>
    <row r="68" spans="1:19" customFormat="1" ht="15" customHeight="1" x14ac:dyDescent="0.2">
      <c r="A68" s="84"/>
      <c r="R68" s="45"/>
    </row>
    <row r="69" spans="1:19" customFormat="1" ht="15" customHeight="1" x14ac:dyDescent="0.2">
      <c r="B69" s="84"/>
      <c r="R69" s="45"/>
    </row>
    <row r="70" spans="1:19" ht="12.75" x14ac:dyDescent="0.2">
      <c r="S70"/>
    </row>
    <row r="71" spans="1:19" ht="12.75" x14ac:dyDescent="0.2">
      <c r="S71"/>
    </row>
    <row r="72" spans="1:19" ht="12.75" x14ac:dyDescent="0.2">
      <c r="S72"/>
    </row>
    <row r="73" spans="1:19" ht="12.75" x14ac:dyDescent="0.2">
      <c r="S73"/>
    </row>
    <row r="74" spans="1:19" ht="12.75" x14ac:dyDescent="0.2">
      <c r="S74"/>
    </row>
    <row r="75" spans="1:19" ht="12.75" x14ac:dyDescent="0.2">
      <c r="S75"/>
    </row>
    <row r="76" spans="1:19" ht="12.75" x14ac:dyDescent="0.2">
      <c r="S76"/>
    </row>
    <row r="77" spans="1:19" ht="12.75" x14ac:dyDescent="0.2">
      <c r="S77"/>
    </row>
    <row r="78" spans="1:19" ht="12.75" x14ac:dyDescent="0.2">
      <c r="S78"/>
    </row>
    <row r="79" spans="1:19" ht="12.75" x14ac:dyDescent="0.2">
      <c r="S79"/>
    </row>
    <row r="80" spans="1:19" ht="12.75" x14ac:dyDescent="0.2">
      <c r="S80"/>
    </row>
    <row r="81" spans="19:19" ht="12.75" x14ac:dyDescent="0.2">
      <c r="S81"/>
    </row>
    <row r="82" spans="19:19" ht="12.75" x14ac:dyDescent="0.2">
      <c r="S82"/>
    </row>
    <row r="83" spans="19:19" ht="12.75" x14ac:dyDescent="0.2">
      <c r="S83"/>
    </row>
    <row r="84" spans="19:19" ht="12.75" x14ac:dyDescent="0.2">
      <c r="S84"/>
    </row>
    <row r="85" spans="19:19" ht="12.75" x14ac:dyDescent="0.2">
      <c r="S85"/>
    </row>
    <row r="86" spans="19:19" ht="12.75" x14ac:dyDescent="0.2">
      <c r="S8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M15" sqref="M15"/>
    </sheetView>
  </sheetViews>
  <sheetFormatPr defaultRowHeight="12.75" x14ac:dyDescent="0.2"/>
  <cols>
    <col min="1" max="1" width="13.42578125" customWidth="1"/>
    <col min="2" max="2" width="11.5703125" customWidth="1"/>
    <col min="3" max="3" width="36.85546875" customWidth="1"/>
    <col min="4" max="4" width="10.28515625" customWidth="1"/>
    <col min="5" max="5" width="10.140625" customWidth="1"/>
    <col min="6" max="6" width="12.7109375" style="17" bestFit="1" customWidth="1"/>
    <col min="7" max="7" width="12.7109375" style="17" customWidth="1"/>
    <col min="8" max="8" width="11.7109375" bestFit="1" customWidth="1"/>
    <col min="13" max="13" width="9.28515625" bestFit="1" customWidth="1"/>
  </cols>
  <sheetData>
    <row r="1" spans="1:37" x14ac:dyDescent="0.2">
      <c r="A1" s="3"/>
      <c r="B1" s="2"/>
      <c r="F1" s="9"/>
      <c r="G1" s="9"/>
      <c r="H1" s="5"/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</row>
    <row r="2" spans="1:37" x14ac:dyDescent="0.2"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">
      <c r="F3" s="9"/>
      <c r="G3" s="9"/>
      <c r="H3" s="5"/>
      <c r="I3" s="19"/>
      <c r="J3" s="5"/>
      <c r="K3" s="5"/>
      <c r="L3" s="5"/>
      <c r="M3" s="5"/>
      <c r="N3" s="5"/>
      <c r="O3" s="5"/>
      <c r="P3" s="5"/>
      <c r="Q3" s="5"/>
      <c r="S3" s="5"/>
      <c r="T3" s="5"/>
      <c r="U3" s="5"/>
      <c r="V3" s="5"/>
      <c r="W3" s="5"/>
      <c r="X3" s="5"/>
      <c r="Y3" s="5"/>
      <c r="Z3" s="5"/>
      <c r="AA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7.25" customHeight="1" x14ac:dyDescent="0.2"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  <c r="AE4" s="5"/>
      <c r="AF4" s="5"/>
      <c r="AG4" s="5"/>
      <c r="AH4" s="5"/>
      <c r="AI4" s="5"/>
      <c r="AJ4" s="5"/>
      <c r="AK4" s="5"/>
    </row>
    <row r="5" spans="1:37" ht="26.25" customHeight="1" x14ac:dyDescent="0.2">
      <c r="F5" s="22" t="s">
        <v>19</v>
      </c>
      <c r="G5" s="23" t="s">
        <v>19</v>
      </c>
      <c r="H5" s="13" t="s">
        <v>41</v>
      </c>
      <c r="I5" s="13" t="s">
        <v>41</v>
      </c>
      <c r="J5" s="13" t="s">
        <v>41</v>
      </c>
      <c r="K5" s="13" t="s">
        <v>41</v>
      </c>
      <c r="L5" s="13" t="s">
        <v>41</v>
      </c>
      <c r="M5" s="13" t="s">
        <v>41</v>
      </c>
      <c r="N5" s="13" t="s">
        <v>41</v>
      </c>
      <c r="O5" s="13" t="s">
        <v>41</v>
      </c>
      <c r="P5" s="13" t="s">
        <v>41</v>
      </c>
      <c r="Q5" s="13" t="s">
        <v>41</v>
      </c>
      <c r="S5" s="13" t="s">
        <v>41</v>
      </c>
      <c r="T5" s="13" t="s">
        <v>41</v>
      </c>
      <c r="U5" s="13" t="s">
        <v>41</v>
      </c>
      <c r="V5" s="13" t="s">
        <v>41</v>
      </c>
      <c r="W5" s="13" t="s">
        <v>41</v>
      </c>
      <c r="X5" s="13" t="s">
        <v>41</v>
      </c>
      <c r="Y5" s="13" t="s">
        <v>41</v>
      </c>
      <c r="Z5" s="13" t="s">
        <v>41</v>
      </c>
      <c r="AA5" s="13" t="s">
        <v>41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41</v>
      </c>
      <c r="AH5" s="13" t="s">
        <v>41</v>
      </c>
      <c r="AI5" s="13" t="s">
        <v>41</v>
      </c>
      <c r="AJ5" s="13" t="s">
        <v>41</v>
      </c>
      <c r="AK5" s="13" t="s">
        <v>41</v>
      </c>
    </row>
    <row r="6" spans="1:37" ht="17.25" customHeight="1" x14ac:dyDescent="0.2">
      <c r="F6" s="22" t="s">
        <v>17</v>
      </c>
      <c r="G6" s="23" t="s">
        <v>20</v>
      </c>
      <c r="H6" s="7"/>
      <c r="I6" s="7"/>
      <c r="J6" s="7"/>
      <c r="K6" s="7"/>
      <c r="L6" s="7"/>
      <c r="M6" s="7"/>
      <c r="N6" s="7"/>
      <c r="O6" s="7"/>
      <c r="P6" s="7"/>
      <c r="Q6" s="7"/>
      <c r="S6" s="5"/>
      <c r="T6" s="5"/>
      <c r="U6" s="5"/>
      <c r="V6" s="5"/>
      <c r="W6" s="5"/>
      <c r="X6" s="5"/>
      <c r="Y6" s="5"/>
      <c r="Z6" s="5"/>
      <c r="AA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75" customHeight="1" x14ac:dyDescent="0.2">
      <c r="B7" s="3" t="s">
        <v>21</v>
      </c>
      <c r="C7" s="3" t="s">
        <v>22</v>
      </c>
      <c r="D7" s="3" t="s">
        <v>23</v>
      </c>
      <c r="E7" s="3" t="s">
        <v>24</v>
      </c>
      <c r="F7" s="24" t="s">
        <v>26</v>
      </c>
      <c r="G7" s="25" t="s">
        <v>25</v>
      </c>
      <c r="H7" s="14">
        <v>2010</v>
      </c>
      <c r="I7" s="14">
        <v>2015</v>
      </c>
      <c r="J7" s="14">
        <v>2020</v>
      </c>
      <c r="K7" s="14">
        <v>2025</v>
      </c>
      <c r="L7" s="14">
        <v>2030</v>
      </c>
      <c r="M7" s="14">
        <v>2035</v>
      </c>
      <c r="N7" s="14">
        <v>2040</v>
      </c>
      <c r="O7" s="14">
        <v>2045</v>
      </c>
      <c r="P7" s="14">
        <v>2050</v>
      </c>
      <c r="Q7" s="14">
        <v>2055</v>
      </c>
      <c r="S7" s="14">
        <v>2005</v>
      </c>
      <c r="T7" s="14">
        <v>2005</v>
      </c>
      <c r="U7" s="14">
        <v>2005</v>
      </c>
      <c r="V7" s="14">
        <v>2005</v>
      </c>
      <c r="W7" s="14">
        <v>2005</v>
      </c>
      <c r="X7" s="14">
        <v>2005</v>
      </c>
      <c r="Y7" s="14">
        <v>2005</v>
      </c>
      <c r="Z7" s="14">
        <v>2005</v>
      </c>
      <c r="AA7" s="14">
        <v>2005</v>
      </c>
      <c r="AC7" s="14">
        <v>2055</v>
      </c>
      <c r="AD7" s="14">
        <v>2055</v>
      </c>
      <c r="AE7" s="14">
        <v>2055</v>
      </c>
      <c r="AF7" s="14">
        <v>2055</v>
      </c>
      <c r="AG7" s="14">
        <v>2055</v>
      </c>
      <c r="AH7" s="14">
        <v>2055</v>
      </c>
      <c r="AI7" s="14">
        <v>2055</v>
      </c>
      <c r="AJ7" s="14">
        <v>2055</v>
      </c>
      <c r="AK7" s="14">
        <v>2055</v>
      </c>
    </row>
    <row r="8" spans="1:37" x14ac:dyDescent="0.2">
      <c r="A8" s="3" t="s">
        <v>42</v>
      </c>
      <c r="D8" s="6"/>
      <c r="E8" s="10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">
      <c r="A9" s="3"/>
      <c r="B9" s="26" t="s">
        <v>43</v>
      </c>
      <c r="C9" s="26" t="s">
        <v>44</v>
      </c>
      <c r="D9" s="6" t="s">
        <v>27</v>
      </c>
      <c r="E9" s="10" t="s">
        <v>45</v>
      </c>
      <c r="F9" s="10"/>
      <c r="G9" s="10">
        <v>0</v>
      </c>
      <c r="H9" s="19">
        <v>-1.2485715706918339E-2</v>
      </c>
      <c r="I9" s="19">
        <v>-1.2111144235710788E-2</v>
      </c>
      <c r="J9" s="19">
        <v>-1.1747809908639464E-2</v>
      </c>
      <c r="K9" s="19">
        <v>-1.1395375611380279E-2</v>
      </c>
      <c r="L9" s="19">
        <v>-1.105351434303887E-2</v>
      </c>
      <c r="M9" s="19">
        <v>-1.0721908912747704E-2</v>
      </c>
      <c r="N9" s="19">
        <v>-1.0400251645365273E-2</v>
      </c>
      <c r="O9" s="19">
        <v>-1.0088244096004314E-2</v>
      </c>
      <c r="P9" s="19">
        <v>-9.7855967731241833E-3</v>
      </c>
      <c r="Q9" s="19">
        <v>-9.4920288699304571E-3</v>
      </c>
      <c r="S9" s="5"/>
      <c r="T9" s="5"/>
      <c r="U9" s="5"/>
      <c r="V9" s="5"/>
      <c r="W9" s="5"/>
      <c r="X9" s="5"/>
      <c r="Y9" s="5"/>
      <c r="Z9" s="5"/>
      <c r="AA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">
      <c r="A10" s="3"/>
      <c r="B10" s="26"/>
      <c r="C10" s="26"/>
      <c r="D10" s="6"/>
      <c r="E10" s="10" t="s">
        <v>46</v>
      </c>
      <c r="F10" s="10"/>
      <c r="G10" s="10"/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">
      <c r="A11" s="3"/>
      <c r="B11" s="26" t="s">
        <v>47</v>
      </c>
      <c r="C11" s="26" t="s">
        <v>48</v>
      </c>
      <c r="D11" s="6" t="s">
        <v>27</v>
      </c>
      <c r="E11" s="10" t="s">
        <v>45</v>
      </c>
      <c r="F11" s="10">
        <v>0</v>
      </c>
      <c r="G11" s="10"/>
      <c r="H11" s="19">
        <v>-0.98709292324265363</v>
      </c>
      <c r="I11" s="19">
        <v>-0.98709292324265363</v>
      </c>
      <c r="J11" s="19">
        <v>-0.98709292324265363</v>
      </c>
      <c r="K11" s="19">
        <v>-0.98709292324265363</v>
      </c>
      <c r="L11" s="19">
        <v>-0.98709292324265363</v>
      </c>
      <c r="M11" s="19">
        <v>-0.98709292324265363</v>
      </c>
      <c r="N11" s="19">
        <v>-0.98709292324265363</v>
      </c>
      <c r="O11" s="19">
        <v>-0.98709292324265363</v>
      </c>
      <c r="P11" s="19">
        <v>-0.98709292324265363</v>
      </c>
      <c r="Q11" s="19">
        <v>-0.98709292324265363</v>
      </c>
      <c r="S11" s="5"/>
      <c r="T11" s="5"/>
      <c r="U11" s="5"/>
      <c r="V11" s="5"/>
      <c r="W11" s="5"/>
      <c r="X11" s="5"/>
      <c r="Y11" s="5"/>
      <c r="Z11" s="5"/>
      <c r="AA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">
      <c r="A12" s="3"/>
      <c r="B12" s="26"/>
      <c r="C12" s="26"/>
      <c r="D12" s="6"/>
      <c r="E12" s="10" t="s">
        <v>49</v>
      </c>
      <c r="F12" s="9"/>
      <c r="G12" s="9"/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S12" s="5"/>
      <c r="T12" s="5"/>
      <c r="U12" s="5"/>
      <c r="V12" s="5"/>
      <c r="W12" s="5"/>
      <c r="X12" s="5"/>
      <c r="Y12" s="5"/>
      <c r="Z12" s="5"/>
      <c r="AA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">
      <c r="A13" s="3"/>
      <c r="B13" s="26" t="s">
        <v>50</v>
      </c>
      <c r="C13" s="26" t="s">
        <v>51</v>
      </c>
      <c r="D13" s="6" t="s">
        <v>27</v>
      </c>
      <c r="E13" s="10" t="s">
        <v>52</v>
      </c>
      <c r="F13" s="9">
        <v>0</v>
      </c>
      <c r="G13" s="9"/>
      <c r="H13" s="19">
        <v>-3.7885611658265241E-2</v>
      </c>
      <c r="I13" s="19">
        <v>-3.6749043308517283E-2</v>
      </c>
      <c r="J13" s="19">
        <v>-3.5646572009261766E-2</v>
      </c>
      <c r="K13" s="19">
        <v>-3.4577174848983913E-2</v>
      </c>
      <c r="L13" s="19">
        <v>-3.3539859603514396E-2</v>
      </c>
      <c r="M13" s="19">
        <v>-3.2533663815408967E-2</v>
      </c>
      <c r="N13" s="19">
        <v>-3.1557653900946697E-2</v>
      </c>
      <c r="O13" s="19">
        <v>-3.0610924283918296E-2</v>
      </c>
      <c r="P13" s="19">
        <v>-2.9692596555400748E-2</v>
      </c>
      <c r="Q13" s="19">
        <v>-2.8801818658738723E-2</v>
      </c>
      <c r="S13" s="5"/>
      <c r="T13" s="5"/>
      <c r="U13" s="5"/>
      <c r="V13" s="5"/>
      <c r="W13" s="5"/>
      <c r="X13" s="5"/>
      <c r="Y13" s="5"/>
      <c r="Z13" s="5"/>
      <c r="AA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">
      <c r="A14" s="3"/>
      <c r="B14" s="26"/>
      <c r="C14" s="26"/>
      <c r="D14" s="6"/>
      <c r="E14" s="10" t="s">
        <v>53</v>
      </c>
      <c r="F14" s="9"/>
      <c r="G14" s="9"/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S14" s="5"/>
      <c r="T14" s="5"/>
      <c r="U14" s="5"/>
      <c r="V14" s="5"/>
      <c r="W14" s="5"/>
      <c r="X14" s="5"/>
      <c r="Y14" s="5"/>
      <c r="Z14" s="5"/>
      <c r="AA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s="5" customFormat="1" x14ac:dyDescent="0.2">
      <c r="A15" s="27"/>
      <c r="B15" s="26" t="s">
        <v>105</v>
      </c>
      <c r="C15" s="26" t="s">
        <v>106</v>
      </c>
      <c r="D15" s="28" t="s">
        <v>27</v>
      </c>
      <c r="E15" s="10" t="s">
        <v>52</v>
      </c>
      <c r="F15" s="9">
        <v>0</v>
      </c>
      <c r="G15" s="9"/>
      <c r="H15" s="19">
        <v>-8.1995471613726778E-2</v>
      </c>
      <c r="I15" s="19"/>
      <c r="J15" s="19"/>
      <c r="K15" s="19"/>
      <c r="L15" s="19"/>
      <c r="M15" s="19">
        <v>-0.24963801813455888</v>
      </c>
      <c r="N15" s="19"/>
      <c r="O15" s="19"/>
      <c r="P15" s="19"/>
      <c r="Q15" s="19">
        <v>-0.25918440165120793</v>
      </c>
    </row>
    <row r="16" spans="1:37" x14ac:dyDescent="0.2">
      <c r="A16" s="3"/>
      <c r="B16" s="26"/>
      <c r="C16" s="26"/>
      <c r="D16" s="6"/>
      <c r="E16" s="10" t="s">
        <v>54</v>
      </c>
      <c r="F16" s="9"/>
      <c r="G16" s="9"/>
      <c r="H16" s="19">
        <v>1</v>
      </c>
      <c r="I16" s="19"/>
      <c r="J16" s="19"/>
      <c r="K16" s="19"/>
      <c r="L16" s="19"/>
      <c r="M16" s="19">
        <v>1</v>
      </c>
      <c r="N16" s="19"/>
      <c r="O16" s="19"/>
      <c r="P16" s="19"/>
      <c r="Q16" s="19">
        <v>1</v>
      </c>
      <c r="S16" s="5"/>
      <c r="T16" s="5"/>
      <c r="U16" s="5"/>
      <c r="V16" s="5"/>
      <c r="W16" s="5"/>
      <c r="X16" s="5"/>
      <c r="Y16" s="5"/>
      <c r="Z16" s="5"/>
      <c r="AA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">
      <c r="A17" s="3"/>
      <c r="B17" s="26" t="s">
        <v>55</v>
      </c>
      <c r="C17" s="26" t="s">
        <v>56</v>
      </c>
      <c r="D17" s="6" t="s">
        <v>27</v>
      </c>
      <c r="E17" s="10" t="s">
        <v>57</v>
      </c>
      <c r="F17" s="9">
        <v>0</v>
      </c>
      <c r="G17" s="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1">
        <v>-0.27200000000000002</v>
      </c>
      <c r="T17" s="11">
        <v>-0.2576</v>
      </c>
      <c r="U17" s="11">
        <v>-0.42730000000000001</v>
      </c>
      <c r="V17" s="11">
        <v>0</v>
      </c>
      <c r="W17" s="11">
        <v>-6.7199999999999996E-2</v>
      </c>
      <c r="X17" s="11">
        <v>0</v>
      </c>
      <c r="Y17" s="11">
        <v>-0.1147</v>
      </c>
      <c r="Z17" s="11">
        <v>0</v>
      </c>
      <c r="AA17" s="11">
        <v>-0.11</v>
      </c>
      <c r="AB17" s="29"/>
      <c r="AC17" s="11">
        <v>-0.27200000000000002</v>
      </c>
      <c r="AD17" s="11">
        <v>-0.2576</v>
      </c>
      <c r="AE17" s="11">
        <v>-0.42730000000000001</v>
      </c>
      <c r="AF17" s="11">
        <v>0</v>
      </c>
      <c r="AG17" s="11">
        <v>-6.7199999999999996E-2</v>
      </c>
      <c r="AH17" s="11">
        <v>0</v>
      </c>
      <c r="AI17" s="11">
        <v>-0.1147</v>
      </c>
      <c r="AJ17" s="11">
        <v>0</v>
      </c>
      <c r="AK17" s="11">
        <v>-0.11</v>
      </c>
    </row>
    <row r="18" spans="1:37" x14ac:dyDescent="0.2">
      <c r="A18" s="3"/>
      <c r="B18" s="26"/>
      <c r="C18" s="26"/>
      <c r="D18" s="6"/>
      <c r="E18" s="10" t="s">
        <v>58</v>
      </c>
      <c r="F18" s="9"/>
      <c r="G18" s="9"/>
      <c r="H18" s="19"/>
      <c r="J18" s="19"/>
      <c r="K18" s="19"/>
      <c r="L18" s="19"/>
      <c r="M18" s="19"/>
      <c r="N18" s="19"/>
      <c r="O18" s="19"/>
      <c r="P18" s="19"/>
      <c r="Q18" s="19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29"/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</row>
    <row r="19" spans="1:37" x14ac:dyDescent="0.2">
      <c r="A19" s="3"/>
      <c r="B19" s="8" t="s">
        <v>107</v>
      </c>
      <c r="C19" s="8" t="s">
        <v>108</v>
      </c>
      <c r="D19" s="6" t="s">
        <v>27</v>
      </c>
      <c r="E19" s="10" t="s">
        <v>57</v>
      </c>
      <c r="F19" s="9">
        <v>0</v>
      </c>
      <c r="G19" s="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1">
        <v>-0.45440000000000003</v>
      </c>
      <c r="T19" s="11">
        <v>-0.60550000000000004</v>
      </c>
      <c r="U19" s="11">
        <v>-0.36849999999999999</v>
      </c>
      <c r="V19" s="11">
        <v>-0.33489999999999998</v>
      </c>
      <c r="W19" s="11">
        <v>-0.58830000000000005</v>
      </c>
      <c r="X19" s="11">
        <v>-2.4199999999999999E-2</v>
      </c>
      <c r="Y19" s="11">
        <v>-0.35699999999999998</v>
      </c>
      <c r="Z19" s="11">
        <v>-0.37580000000000002</v>
      </c>
      <c r="AA19" s="11">
        <v>-0.43769999999999998</v>
      </c>
      <c r="AB19" s="29"/>
      <c r="AC19" s="11">
        <v>-0.45440000000000003</v>
      </c>
      <c r="AD19" s="11">
        <v>-0.60550000000000004</v>
      </c>
      <c r="AE19" s="11">
        <v>-0.36849999999999999</v>
      </c>
      <c r="AF19" s="11">
        <v>-0.33489999999999998</v>
      </c>
      <c r="AG19" s="11">
        <v>-0.58830000000000005</v>
      </c>
      <c r="AH19" s="11">
        <v>-2.4199999999999999E-2</v>
      </c>
      <c r="AI19" s="11">
        <v>-0.35699999999999998</v>
      </c>
      <c r="AJ19" s="11">
        <v>-0.37580000000000002</v>
      </c>
      <c r="AK19" s="11">
        <v>-0.43769999999999998</v>
      </c>
    </row>
    <row r="20" spans="1:37" x14ac:dyDescent="0.2">
      <c r="A20" s="3"/>
      <c r="B20" s="26"/>
      <c r="C20" s="26"/>
      <c r="D20" s="6"/>
      <c r="E20" s="10" t="s">
        <v>59</v>
      </c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29"/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</row>
    <row r="21" spans="1:37" x14ac:dyDescent="0.2">
      <c r="A21" s="3"/>
      <c r="B21" s="8" t="s">
        <v>109</v>
      </c>
      <c r="C21" s="8" t="s">
        <v>110</v>
      </c>
      <c r="D21" s="6" t="s">
        <v>27</v>
      </c>
      <c r="E21" s="10" t="s">
        <v>57</v>
      </c>
      <c r="F21" s="9">
        <v>0</v>
      </c>
      <c r="G21" s="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1">
        <v>-0.27360000000000001</v>
      </c>
      <c r="T21" s="11">
        <v>-0.13689999999999999</v>
      </c>
      <c r="U21" s="11">
        <v>-0.20419999999999999</v>
      </c>
      <c r="V21" s="11">
        <v>-0.66510000000000002</v>
      </c>
      <c r="W21" s="11">
        <v>-0.34449999999999997</v>
      </c>
      <c r="X21" s="11">
        <v>-0.9758</v>
      </c>
      <c r="Y21" s="11">
        <v>-0.52829999999999999</v>
      </c>
      <c r="Z21" s="11">
        <v>-0.62419999999999998</v>
      </c>
      <c r="AA21" s="11">
        <v>-0.45229999999999998</v>
      </c>
      <c r="AB21" s="29"/>
      <c r="AC21" s="11">
        <v>-0.27360000000000001</v>
      </c>
      <c r="AD21" s="11">
        <v>-0.13689999999999999</v>
      </c>
      <c r="AE21" s="11">
        <v>-0.20419999999999999</v>
      </c>
      <c r="AF21" s="11">
        <v>-0.66510000000000002</v>
      </c>
      <c r="AG21" s="11">
        <v>-0.34449999999999997</v>
      </c>
      <c r="AH21" s="11">
        <v>-0.9758</v>
      </c>
      <c r="AI21" s="11">
        <v>-0.52829999999999999</v>
      </c>
      <c r="AJ21" s="11">
        <v>-0.62419999999999998</v>
      </c>
      <c r="AK21" s="11">
        <v>-0.45229999999999998</v>
      </c>
    </row>
    <row r="22" spans="1:37" x14ac:dyDescent="0.2">
      <c r="A22" s="3"/>
      <c r="B22" s="26"/>
      <c r="C22" s="26"/>
      <c r="D22" s="6"/>
      <c r="E22" s="10" t="s">
        <v>60</v>
      </c>
      <c r="F22" s="9"/>
      <c r="G22" s="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29"/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</row>
    <row r="23" spans="1:37" x14ac:dyDescent="0.2">
      <c r="A23" s="3"/>
      <c r="B23" s="8" t="s">
        <v>111</v>
      </c>
      <c r="C23" s="8" t="s">
        <v>112</v>
      </c>
      <c r="D23" s="6" t="s">
        <v>27</v>
      </c>
      <c r="E23" s="10" t="s">
        <v>58</v>
      </c>
      <c r="F23" s="9">
        <v>0</v>
      </c>
      <c r="G23" s="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1">
        <v>-0.66682250964381407</v>
      </c>
      <c r="T23" s="11">
        <v>-0.66682250964381407</v>
      </c>
      <c r="U23" s="11">
        <v>-0.66682250964381407</v>
      </c>
      <c r="V23" s="11">
        <v>0</v>
      </c>
      <c r="W23" s="11">
        <v>-0.66682250964381407</v>
      </c>
      <c r="X23" s="11">
        <v>0</v>
      </c>
      <c r="Y23" s="11">
        <v>-0.66682250964381407</v>
      </c>
      <c r="Z23" s="11">
        <v>0</v>
      </c>
      <c r="AA23" s="11">
        <v>-0.66682250964381407</v>
      </c>
      <c r="AB23" s="29"/>
      <c r="AC23" s="11">
        <v>-0.66251982845079627</v>
      </c>
      <c r="AD23" s="11">
        <v>-0.66251982845079627</v>
      </c>
      <c r="AE23" s="11">
        <v>-0.66251982845079627</v>
      </c>
      <c r="AF23" s="11">
        <v>0</v>
      </c>
      <c r="AG23" s="11">
        <v>-0.66251982845079627</v>
      </c>
      <c r="AH23" s="11">
        <v>0</v>
      </c>
      <c r="AI23" s="11">
        <v>-0.66251982845079627</v>
      </c>
      <c r="AJ23" s="11">
        <v>0</v>
      </c>
      <c r="AK23" s="11">
        <v>-0.66251982845079627</v>
      </c>
    </row>
    <row r="24" spans="1:37" x14ac:dyDescent="0.2">
      <c r="A24" s="3"/>
      <c r="B24" s="26"/>
      <c r="C24" s="26"/>
      <c r="D24" s="6"/>
      <c r="E24" s="10" t="s">
        <v>61</v>
      </c>
      <c r="F24" s="9"/>
      <c r="G24" s="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29"/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</row>
    <row r="25" spans="1:37" x14ac:dyDescent="0.2">
      <c r="A25" s="3"/>
      <c r="B25" s="8" t="s">
        <v>113</v>
      </c>
      <c r="C25" s="8" t="s">
        <v>114</v>
      </c>
      <c r="D25" s="6" t="s">
        <v>27</v>
      </c>
      <c r="E25" s="10" t="s">
        <v>58</v>
      </c>
      <c r="F25" s="9">
        <v>0</v>
      </c>
      <c r="G25" s="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1">
        <v>-0.33317749035618593</v>
      </c>
      <c r="T25" s="11">
        <v>-0.33317749035618593</v>
      </c>
      <c r="U25" s="11">
        <v>-0.33317749035618593</v>
      </c>
      <c r="V25" s="11">
        <v>0</v>
      </c>
      <c r="W25" s="11">
        <v>-0.33317749035618593</v>
      </c>
      <c r="X25" s="11">
        <v>0</v>
      </c>
      <c r="Y25" s="11">
        <v>-0.33317749035618593</v>
      </c>
      <c r="Z25" s="11">
        <v>0</v>
      </c>
      <c r="AA25" s="11">
        <v>-0.33317749035618593</v>
      </c>
      <c r="AB25" s="29"/>
      <c r="AC25" s="11">
        <v>-0.33748017154920373</v>
      </c>
      <c r="AD25" s="11">
        <v>-0.33748017154920373</v>
      </c>
      <c r="AE25" s="11">
        <v>-0.33748017154920373</v>
      </c>
      <c r="AF25" s="11">
        <v>0</v>
      </c>
      <c r="AG25" s="11">
        <v>-0.33748017154920373</v>
      </c>
      <c r="AH25" s="11">
        <v>0</v>
      </c>
      <c r="AI25" s="11">
        <v>-0.33748017154920373</v>
      </c>
      <c r="AJ25" s="11">
        <v>0</v>
      </c>
      <c r="AK25" s="11">
        <v>-0.33748017154920373</v>
      </c>
    </row>
    <row r="26" spans="1:37" x14ac:dyDescent="0.2">
      <c r="A26" s="3"/>
      <c r="B26" s="26"/>
      <c r="C26" s="26"/>
      <c r="D26" s="6"/>
      <c r="E26" s="10" t="s">
        <v>62</v>
      </c>
      <c r="F26" s="9"/>
      <c r="G26" s="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29"/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</row>
    <row r="27" spans="1:37" x14ac:dyDescent="0.2">
      <c r="A27" s="3"/>
      <c r="B27" s="26" t="s">
        <v>63</v>
      </c>
      <c r="C27" s="26" t="s">
        <v>64</v>
      </c>
      <c r="D27" s="6" t="s">
        <v>27</v>
      </c>
      <c r="E27" s="10" t="s">
        <v>65</v>
      </c>
      <c r="F27" s="9">
        <v>0</v>
      </c>
      <c r="G27" s="9"/>
      <c r="H27" s="19">
        <v>-0.65115981040313975</v>
      </c>
      <c r="I27" s="19">
        <v>-0.64985749078233346</v>
      </c>
      <c r="J27" s="19">
        <v>-0.64855777580076879</v>
      </c>
      <c r="K27" s="19">
        <v>-0.64726066024916729</v>
      </c>
      <c r="L27" s="19">
        <v>-0.64596613892866894</v>
      </c>
      <c r="M27" s="19">
        <v>-0.64467420665081165</v>
      </c>
      <c r="N27" s="19">
        <v>-0.64338485823751002</v>
      </c>
      <c r="O27" s="19">
        <v>-0.642098088521035</v>
      </c>
      <c r="P27" s="19">
        <v>-0.64081389234399289</v>
      </c>
      <c r="Q27" s="19">
        <v>-0.6395322645593049</v>
      </c>
      <c r="S27" s="19"/>
      <c r="T27" s="19"/>
      <c r="U27" s="19"/>
      <c r="V27" s="19"/>
      <c r="W27" s="19"/>
      <c r="X27" s="19"/>
      <c r="Y27" s="19"/>
      <c r="Z27" s="19"/>
      <c r="AA27" s="19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">
      <c r="A28" s="3"/>
      <c r="B28" s="26"/>
      <c r="C28" s="26"/>
      <c r="D28" s="6"/>
      <c r="E28" s="10" t="s">
        <v>66</v>
      </c>
      <c r="F28" s="9"/>
      <c r="G28" s="9"/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S28" s="5"/>
      <c r="T28" s="5"/>
      <c r="U28" s="5"/>
      <c r="V28" s="5"/>
      <c r="W28" s="5"/>
      <c r="X28" s="5"/>
      <c r="Y28" s="5"/>
      <c r="Z28" s="5"/>
      <c r="AA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">
      <c r="A29" s="3"/>
      <c r="B29" s="26" t="s">
        <v>67</v>
      </c>
      <c r="C29" s="26" t="s">
        <v>68</v>
      </c>
      <c r="D29" s="6" t="s">
        <v>27</v>
      </c>
      <c r="E29" s="10" t="s">
        <v>65</v>
      </c>
      <c r="F29" s="9">
        <v>0</v>
      </c>
      <c r="G29" s="9"/>
      <c r="H29" s="19">
        <v>-0.34684018959686025</v>
      </c>
      <c r="I29" s="19">
        <v>-0.34614650921766654</v>
      </c>
      <c r="J29" s="19">
        <v>-0.34545421619923122</v>
      </c>
      <c r="K29" s="19">
        <v>-0.34476330776683278</v>
      </c>
      <c r="L29" s="19">
        <v>-0.34407378115129911</v>
      </c>
      <c r="M29" s="19">
        <v>-0.34338563358899649</v>
      </c>
      <c r="N29" s="19">
        <v>-0.34269886232181851</v>
      </c>
      <c r="O29" s="19">
        <v>-0.34201346459717485</v>
      </c>
      <c r="P29" s="19">
        <v>-0.34132943766798052</v>
      </c>
      <c r="Q29" s="19">
        <v>-0.34064677879264454</v>
      </c>
      <c r="S29" s="5"/>
      <c r="T29" s="5"/>
      <c r="U29" s="5"/>
      <c r="V29" s="5"/>
      <c r="W29" s="5"/>
      <c r="X29" s="5"/>
      <c r="Y29" s="5"/>
      <c r="Z29" s="5"/>
      <c r="AA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">
      <c r="A30" s="3"/>
      <c r="D30" s="6"/>
      <c r="E30" s="10" t="s">
        <v>69</v>
      </c>
      <c r="F30" s="9"/>
      <c r="G30" s="9"/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S30" s="5"/>
      <c r="T30" s="5"/>
      <c r="U30" s="5"/>
      <c r="V30" s="5"/>
      <c r="W30" s="5"/>
      <c r="X30" s="5"/>
      <c r="Y30" s="5"/>
      <c r="Z30" s="5"/>
      <c r="AA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s="5" customFormat="1" x14ac:dyDescent="0.2">
      <c r="B31" s="30" t="s">
        <v>70</v>
      </c>
      <c r="C31" s="26" t="s">
        <v>71</v>
      </c>
      <c r="D31" s="28" t="s">
        <v>27</v>
      </c>
      <c r="E31" s="10" t="s">
        <v>72</v>
      </c>
      <c r="F31" s="9"/>
      <c r="G31" s="9">
        <v>0</v>
      </c>
      <c r="H31" s="19">
        <v>-5.2689522428632052E-4</v>
      </c>
      <c r="I31" s="19"/>
      <c r="J31" s="19"/>
      <c r="K31" s="19"/>
      <c r="L31" s="19"/>
      <c r="M31" s="31">
        <v>-1.9408765573807277E-2</v>
      </c>
      <c r="N31" s="31">
        <v>-4.8973027560989278E-2</v>
      </c>
      <c r="O31" s="31">
        <v>-5.0029312656121955E-2</v>
      </c>
      <c r="P31" s="31">
        <v>-5.1029898909244392E-2</v>
      </c>
      <c r="Q31" s="31">
        <v>-5.2050496887429278E-2</v>
      </c>
    </row>
    <row r="32" spans="1:37" x14ac:dyDescent="0.2">
      <c r="C32" s="26"/>
      <c r="D32" s="6"/>
      <c r="E32" s="10" t="s">
        <v>73</v>
      </c>
      <c r="F32" s="9"/>
      <c r="G32" s="9"/>
      <c r="H32" s="19">
        <v>1</v>
      </c>
      <c r="I32" s="19"/>
      <c r="J32" s="19"/>
      <c r="K32" s="19"/>
      <c r="L32" s="19"/>
      <c r="M32" s="19">
        <v>1</v>
      </c>
      <c r="N32" s="19">
        <v>1</v>
      </c>
      <c r="O32" s="19">
        <v>1</v>
      </c>
      <c r="P32" s="19">
        <v>1</v>
      </c>
      <c r="Q32" s="19">
        <v>1</v>
      </c>
      <c r="S32" s="5"/>
      <c r="T32" s="5"/>
      <c r="U32" s="5"/>
      <c r="V32" s="5"/>
      <c r="W32" s="5"/>
      <c r="X32" s="5"/>
      <c r="Y32" s="5"/>
      <c r="Z32" s="5"/>
      <c r="AA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">
      <c r="B33" t="s">
        <v>115</v>
      </c>
      <c r="C33" t="s">
        <v>116</v>
      </c>
      <c r="D33" s="6" t="s">
        <v>27</v>
      </c>
      <c r="E33" s="10" t="s">
        <v>72</v>
      </c>
      <c r="F33" s="9"/>
      <c r="G33" s="9">
        <v>0</v>
      </c>
      <c r="H33" s="19">
        <v>-9.0622431710374266E-3</v>
      </c>
      <c r="I33" s="19"/>
      <c r="J33" s="19"/>
      <c r="K33" s="19"/>
      <c r="L33" s="19"/>
      <c r="M33" s="19">
        <v>-8.5187126419003171E-3</v>
      </c>
      <c r="N33" s="19"/>
      <c r="O33" s="19"/>
      <c r="P33" s="19"/>
      <c r="Q33" s="19">
        <v>-8.1074555116471322E-3</v>
      </c>
      <c r="S33" s="5"/>
      <c r="T33" s="5"/>
      <c r="U33" s="5"/>
      <c r="V33" s="5"/>
      <c r="W33" s="5"/>
      <c r="X33" s="5"/>
      <c r="Y33" s="5"/>
      <c r="Z33" s="5"/>
      <c r="AA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">
      <c r="C34" s="26"/>
      <c r="D34" s="6"/>
      <c r="E34" s="10" t="s">
        <v>74</v>
      </c>
      <c r="F34" s="9"/>
      <c r="G34" s="9"/>
      <c r="H34" s="19">
        <v>1</v>
      </c>
      <c r="I34" s="19"/>
      <c r="J34" s="19"/>
      <c r="K34" s="19"/>
      <c r="L34" s="19"/>
      <c r="M34" s="19">
        <v>1</v>
      </c>
      <c r="N34" s="19"/>
      <c r="O34" s="19"/>
      <c r="P34" s="19"/>
      <c r="Q34" s="19">
        <v>1</v>
      </c>
      <c r="S34" s="5"/>
      <c r="T34" s="5"/>
      <c r="U34" s="5"/>
      <c r="V34" s="5"/>
      <c r="W34" s="5"/>
      <c r="X34" s="5"/>
      <c r="Y34" s="5"/>
      <c r="Z34" s="5"/>
      <c r="AA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s="5" customFormat="1" x14ac:dyDescent="0.2">
      <c r="B35" s="32" t="s">
        <v>117</v>
      </c>
      <c r="C35" s="32" t="s">
        <v>118</v>
      </c>
      <c r="D35" s="5" t="s">
        <v>27</v>
      </c>
      <c r="E35" s="10" t="s">
        <v>75</v>
      </c>
      <c r="F35" s="9">
        <v>0</v>
      </c>
      <c r="G35" s="9"/>
      <c r="H35" s="19">
        <v>-7.6244661590396338E-3</v>
      </c>
      <c r="I35" s="19"/>
      <c r="M35" s="19">
        <v>-2.3649041469493075E-3</v>
      </c>
      <c r="Q35" s="19">
        <v>-2.1284137322543769E-3</v>
      </c>
    </row>
    <row r="36" spans="1:37" x14ac:dyDescent="0.2">
      <c r="E36" s="10" t="s">
        <v>76</v>
      </c>
      <c r="F36" s="9"/>
      <c r="G36" s="9"/>
      <c r="H36" s="19">
        <v>1</v>
      </c>
      <c r="I36" s="19"/>
      <c r="J36" s="19"/>
      <c r="K36" s="19"/>
      <c r="L36" s="19"/>
      <c r="M36" s="19">
        <v>1</v>
      </c>
      <c r="N36" s="19"/>
      <c r="O36" s="19"/>
      <c r="P36" s="19"/>
      <c r="Q36" s="19">
        <v>1</v>
      </c>
      <c r="S36" s="5"/>
      <c r="T36" s="5"/>
      <c r="U36" s="5"/>
      <c r="V36" s="5"/>
      <c r="W36" s="5"/>
      <c r="X36" s="5"/>
      <c r="Y36" s="5"/>
      <c r="Z36" s="5"/>
      <c r="AA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">
      <c r="B37" s="5" t="s">
        <v>119</v>
      </c>
      <c r="C37" t="s">
        <v>120</v>
      </c>
      <c r="D37" t="s">
        <v>27</v>
      </c>
      <c r="E37" s="10" t="s">
        <v>75</v>
      </c>
      <c r="F37" s="9">
        <v>0</v>
      </c>
      <c r="G37" s="9"/>
      <c r="H37" s="19">
        <v>-6.741450269670689E-3</v>
      </c>
      <c r="I37" s="19"/>
      <c r="J37" s="5"/>
      <c r="K37" s="5"/>
      <c r="L37" s="5"/>
      <c r="M37" s="19">
        <v>-1.9121599353382067E-3</v>
      </c>
      <c r="N37" s="5"/>
      <c r="O37" s="5"/>
      <c r="P37" s="5"/>
      <c r="Q37" s="19">
        <v>-1.7209439418043862E-3</v>
      </c>
      <c r="S37" s="5"/>
      <c r="T37" s="5"/>
      <c r="U37" s="5"/>
      <c r="V37" s="5"/>
      <c r="W37" s="5"/>
      <c r="X37" s="5"/>
      <c r="Y37" s="5"/>
      <c r="Z37" s="5"/>
      <c r="AA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">
      <c r="E38" s="10" t="s">
        <v>77</v>
      </c>
      <c r="F38" s="9"/>
      <c r="G38" s="9"/>
      <c r="H38" s="19">
        <v>1</v>
      </c>
      <c r="I38" s="19"/>
      <c r="J38" s="19"/>
      <c r="K38" s="19"/>
      <c r="L38" s="19"/>
      <c r="M38" s="19">
        <v>1</v>
      </c>
      <c r="N38" s="19"/>
      <c r="O38" s="19"/>
      <c r="P38" s="19"/>
      <c r="Q38" s="19">
        <v>1</v>
      </c>
      <c r="S38" s="5"/>
      <c r="T38" s="5"/>
      <c r="U38" s="5"/>
      <c r="V38" s="5"/>
      <c r="W38" s="5"/>
      <c r="X38" s="5"/>
      <c r="Y38" s="5"/>
      <c r="Z38" s="5"/>
      <c r="AA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">
      <c r="B39" s="5" t="s">
        <v>121</v>
      </c>
      <c r="C39" t="s">
        <v>122</v>
      </c>
      <c r="D39" t="s">
        <v>27</v>
      </c>
      <c r="E39" s="10" t="s">
        <v>75</v>
      </c>
      <c r="F39" s="9">
        <v>0</v>
      </c>
      <c r="G39" s="9"/>
      <c r="H39" s="19">
        <v>-0.28357216957520698</v>
      </c>
      <c r="I39" s="19"/>
      <c r="J39" s="5"/>
      <c r="K39" s="5"/>
      <c r="L39" s="5"/>
      <c r="M39" s="19">
        <v>-0.21411406695075247</v>
      </c>
      <c r="N39" s="5"/>
      <c r="O39" s="5"/>
      <c r="P39" s="5"/>
      <c r="Q39" s="19">
        <v>-0.19270266025567723</v>
      </c>
      <c r="R39" s="33"/>
      <c r="S39" s="5"/>
      <c r="T39" s="5"/>
      <c r="U39" s="5"/>
      <c r="V39" s="5"/>
      <c r="W39" s="5"/>
      <c r="X39" s="5"/>
      <c r="Y39" s="5"/>
      <c r="Z39" s="5"/>
      <c r="AA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">
      <c r="E40" s="10" t="s">
        <v>78</v>
      </c>
      <c r="F40" s="9"/>
      <c r="G40" s="9"/>
      <c r="H40" s="19">
        <v>1</v>
      </c>
      <c r="I40" s="5"/>
      <c r="J40" s="5"/>
      <c r="K40" s="5"/>
      <c r="L40" s="5"/>
      <c r="M40" s="19">
        <v>1</v>
      </c>
      <c r="N40" s="5"/>
      <c r="O40" s="5"/>
      <c r="P40" s="5"/>
      <c r="Q40" s="19">
        <v>1</v>
      </c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">
      <c r="B41" s="5" t="s">
        <v>123</v>
      </c>
      <c r="C41" t="s">
        <v>124</v>
      </c>
      <c r="D41" t="s">
        <v>27</v>
      </c>
      <c r="E41" s="10" t="s">
        <v>79</v>
      </c>
      <c r="F41" s="9"/>
      <c r="G41" s="9">
        <v>0</v>
      </c>
      <c r="H41" s="19">
        <v>0</v>
      </c>
      <c r="I41" s="19"/>
      <c r="J41" s="5"/>
      <c r="K41" s="5"/>
      <c r="L41" s="5"/>
      <c r="M41" s="19">
        <v>-0.15</v>
      </c>
      <c r="N41" s="5"/>
      <c r="O41" s="5"/>
      <c r="P41" s="5"/>
      <c r="Q41" s="19">
        <v>-0.3</v>
      </c>
      <c r="S41" s="5"/>
      <c r="T41" s="5"/>
      <c r="U41" s="5"/>
      <c r="V41" s="5"/>
      <c r="W41" s="5"/>
      <c r="X41" s="5"/>
      <c r="Y41" s="5"/>
      <c r="Z41" s="5"/>
      <c r="AA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">
      <c r="E42" s="10" t="s">
        <v>80</v>
      </c>
      <c r="F42" s="9"/>
      <c r="G42" s="9"/>
      <c r="H42" s="19">
        <v>1</v>
      </c>
      <c r="I42" s="5"/>
      <c r="J42" s="5"/>
      <c r="K42" s="5"/>
      <c r="L42" s="5"/>
      <c r="M42" s="19">
        <v>1</v>
      </c>
      <c r="N42" s="5"/>
      <c r="O42" s="5"/>
      <c r="P42" s="5"/>
      <c r="Q42" s="19">
        <v>1</v>
      </c>
      <c r="S42" s="5"/>
      <c r="T42" s="5"/>
      <c r="U42" s="5"/>
      <c r="V42" s="5"/>
      <c r="W42" s="5"/>
      <c r="X42" s="5"/>
      <c r="Y42" s="5"/>
      <c r="Z42" s="5"/>
      <c r="AA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">
      <c r="A43" s="3" t="s">
        <v>81</v>
      </c>
      <c r="E43" s="10"/>
      <c r="F43" s="9"/>
      <c r="G43" s="9"/>
      <c r="H43" s="19"/>
      <c r="I43" s="5"/>
      <c r="J43" s="5"/>
      <c r="K43" s="5"/>
      <c r="L43" s="5"/>
      <c r="M43" s="19"/>
      <c r="N43" s="5"/>
      <c r="O43" s="5"/>
      <c r="P43" s="5"/>
      <c r="Q43" s="19"/>
      <c r="S43" s="5"/>
      <c r="T43" s="5"/>
      <c r="U43" s="5"/>
      <c r="V43" s="5"/>
      <c r="W43" s="5"/>
      <c r="X43" s="5"/>
      <c r="Y43" s="5"/>
      <c r="Z43" s="5"/>
      <c r="AA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">
      <c r="B44" s="26" t="s">
        <v>82</v>
      </c>
      <c r="C44" s="26" t="s">
        <v>83</v>
      </c>
      <c r="D44" s="6" t="s">
        <v>27</v>
      </c>
      <c r="E44" s="10" t="s">
        <v>52</v>
      </c>
      <c r="F44" s="9">
        <v>0</v>
      </c>
      <c r="G44" s="9"/>
      <c r="H44" s="19">
        <v>-0.87894719677981414</v>
      </c>
      <c r="I44" s="19"/>
      <c r="J44" s="19"/>
      <c r="K44" s="19"/>
      <c r="L44" s="19"/>
      <c r="M44" s="19">
        <v>-0.62709062191925213</v>
      </c>
      <c r="N44" s="19">
        <v>-0.60827790326167452</v>
      </c>
      <c r="O44" s="19">
        <v>-0.59002956616382429</v>
      </c>
      <c r="P44" s="19">
        <v>-0.57232867917890951</v>
      </c>
      <c r="Q44" s="19">
        <v>-0.55515881880354223</v>
      </c>
      <c r="S44" s="5"/>
      <c r="T44" s="5"/>
      <c r="U44" s="5"/>
      <c r="V44" s="5"/>
      <c r="W44" s="5"/>
      <c r="X44" s="5"/>
      <c r="Y44" s="5"/>
      <c r="Z44" s="5"/>
      <c r="AA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">
      <c r="B45" s="26"/>
      <c r="C45" s="26"/>
      <c r="D45" s="6"/>
      <c r="E45" s="10" t="s">
        <v>84</v>
      </c>
      <c r="F45" s="9"/>
      <c r="G45" s="9"/>
      <c r="H45" s="19">
        <v>1</v>
      </c>
      <c r="I45" s="19"/>
      <c r="J45" s="19"/>
      <c r="K45" s="19"/>
      <c r="L45" s="19"/>
      <c r="M45" s="19">
        <v>1</v>
      </c>
      <c r="N45" s="19">
        <v>1</v>
      </c>
      <c r="O45" s="19">
        <v>1</v>
      </c>
      <c r="P45" s="19">
        <v>1</v>
      </c>
      <c r="Q45" s="19">
        <v>1</v>
      </c>
      <c r="S45" s="5"/>
      <c r="T45" s="5"/>
      <c r="U45" s="5"/>
      <c r="V45" s="5"/>
      <c r="W45" s="5"/>
      <c r="X45" s="5"/>
      <c r="Y45" s="5"/>
      <c r="Z45" s="5"/>
      <c r="AA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">
      <c r="B46" s="32" t="s">
        <v>95</v>
      </c>
      <c r="C46" s="18" t="s">
        <v>96</v>
      </c>
      <c r="D46" t="s">
        <v>27</v>
      </c>
      <c r="E46" s="10" t="s">
        <v>85</v>
      </c>
      <c r="F46" s="9">
        <v>0</v>
      </c>
      <c r="G46" s="9"/>
      <c r="H46" s="19">
        <v>-0.4125995543142304</v>
      </c>
      <c r="I46" s="19">
        <v>-0.4084735587710881</v>
      </c>
      <c r="J46" s="19">
        <v>-0.40438882318337721</v>
      </c>
      <c r="K46" s="19">
        <v>-0.40034493495154344</v>
      </c>
      <c r="L46" s="19">
        <v>-0.39634148560202798</v>
      </c>
      <c r="M46" s="19">
        <v>-0.39237807074600767</v>
      </c>
      <c r="N46" s="19">
        <v>-0.38060672862362743</v>
      </c>
      <c r="O46" s="19">
        <v>-0.36918852676491859</v>
      </c>
      <c r="P46" s="19">
        <v>-0.35811287096197103</v>
      </c>
      <c r="Q46" s="19">
        <v>-0.34736948483311186</v>
      </c>
      <c r="S46" s="12"/>
      <c r="T46" s="5"/>
      <c r="U46" s="5"/>
      <c r="V46" s="5"/>
      <c r="W46" s="5"/>
      <c r="X46" s="5"/>
      <c r="Y46" s="5"/>
      <c r="Z46" s="5"/>
      <c r="AA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">
      <c r="E47" s="10" t="s">
        <v>86</v>
      </c>
      <c r="F47" s="9"/>
      <c r="G47" s="9"/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S47" s="34"/>
      <c r="T47" s="34"/>
      <c r="U47" s="34"/>
      <c r="V47" s="34"/>
      <c r="W47" s="34"/>
      <c r="X47" s="34"/>
      <c r="Y47" s="34"/>
      <c r="Z47" s="34"/>
      <c r="AA47" s="34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">
      <c r="B48" s="32" t="s">
        <v>98</v>
      </c>
      <c r="C48" s="18" t="s">
        <v>99</v>
      </c>
      <c r="D48" t="s">
        <v>27</v>
      </c>
      <c r="E48" s="10" t="s">
        <v>85</v>
      </c>
      <c r="F48" s="9">
        <v>0</v>
      </c>
      <c r="G48" s="9"/>
      <c r="H48" s="19">
        <v>-0.55740044568576952</v>
      </c>
      <c r="I48" s="19">
        <v>-0.55182644122891178</v>
      </c>
      <c r="J48" s="19">
        <v>-0.54630817681662269</v>
      </c>
      <c r="K48" s="19">
        <v>-0.54084509504845646</v>
      </c>
      <c r="L48" s="19">
        <v>-0.53543664409797187</v>
      </c>
      <c r="M48" s="19">
        <v>-0.53008227765699212</v>
      </c>
      <c r="N48" s="19">
        <v>-0.51417980932728236</v>
      </c>
      <c r="O48" s="19">
        <v>-0.49875441504746387</v>
      </c>
      <c r="P48" s="19">
        <v>-0.48379178259603994</v>
      </c>
      <c r="Q48" s="19">
        <v>-0.46927802911815875</v>
      </c>
      <c r="R48" s="33"/>
      <c r="S48" s="35"/>
      <c r="T48" s="35"/>
      <c r="U48" s="35"/>
      <c r="V48" s="35"/>
      <c r="W48" s="35"/>
      <c r="X48" s="35"/>
      <c r="Y48" s="35"/>
      <c r="Z48" s="35"/>
      <c r="AA48" s="3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">
      <c r="E49" s="10" t="s">
        <v>87</v>
      </c>
      <c r="F49" s="9"/>
      <c r="G49" s="9"/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S49" s="35"/>
      <c r="T49" s="35"/>
      <c r="U49" s="35"/>
      <c r="V49" s="35"/>
      <c r="W49" s="35"/>
      <c r="X49" s="35"/>
      <c r="Y49" s="35"/>
      <c r="Z49" s="35"/>
      <c r="AA49" s="3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">
      <c r="B50" s="32" t="s">
        <v>101</v>
      </c>
      <c r="C50" s="18" t="s">
        <v>102</v>
      </c>
      <c r="D50" t="s">
        <v>27</v>
      </c>
      <c r="E50" s="10" t="s">
        <v>75</v>
      </c>
      <c r="F50" s="9">
        <v>0</v>
      </c>
      <c r="G50" s="9"/>
      <c r="H50" s="19">
        <v>-0.69206218218108739</v>
      </c>
      <c r="I50" s="19"/>
      <c r="J50" s="5"/>
      <c r="K50" s="5"/>
      <c r="L50" s="5"/>
      <c r="M50" s="19">
        <v>-0.77161007875187004</v>
      </c>
      <c r="N50" s="5"/>
      <c r="O50" s="5"/>
      <c r="P50" s="5"/>
      <c r="Q50" s="19">
        <v>-0.69444907087668306</v>
      </c>
      <c r="S50" s="5"/>
      <c r="T50" s="5"/>
      <c r="U50" s="5"/>
      <c r="V50" s="5"/>
      <c r="W50" s="5"/>
      <c r="X50" s="5"/>
      <c r="Y50" s="5"/>
      <c r="Z50" s="5"/>
      <c r="AA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">
      <c r="E51" s="10" t="s">
        <v>88</v>
      </c>
      <c r="F51" s="9"/>
      <c r="G51" s="9"/>
      <c r="H51" s="19">
        <v>1</v>
      </c>
      <c r="I51" s="19"/>
      <c r="J51" s="19"/>
      <c r="K51" s="19"/>
      <c r="L51" s="19"/>
      <c r="M51" s="19">
        <v>1</v>
      </c>
      <c r="N51" s="19"/>
      <c r="O51" s="19"/>
      <c r="P51" s="19"/>
      <c r="Q51" s="19">
        <v>1</v>
      </c>
      <c r="S51" s="5"/>
      <c r="T51" s="5"/>
      <c r="U51" s="5"/>
      <c r="V51" s="5"/>
      <c r="W51" s="5"/>
      <c r="X51" s="5"/>
      <c r="Y51" s="5"/>
      <c r="Z51" s="5"/>
      <c r="AA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">
      <c r="B52" s="26" t="s">
        <v>89</v>
      </c>
      <c r="C52" s="26" t="s">
        <v>90</v>
      </c>
      <c r="D52" s="6" t="s">
        <v>27</v>
      </c>
      <c r="E52" s="10" t="s">
        <v>91</v>
      </c>
      <c r="F52" s="9">
        <v>0</v>
      </c>
      <c r="G52" s="9"/>
      <c r="H52" s="19">
        <v>-0.9480391778774202</v>
      </c>
      <c r="I52" s="19">
        <v>-0.93855878609864596</v>
      </c>
      <c r="J52" s="19">
        <v>-0.92917319823765954</v>
      </c>
      <c r="K52" s="19">
        <v>-0.91988146625528289</v>
      </c>
      <c r="L52" s="19">
        <v>-0.9106826515927301</v>
      </c>
      <c r="M52" s="19">
        <v>-0.90157582507680278</v>
      </c>
      <c r="N52" s="19">
        <v>-0.89256006682603473</v>
      </c>
      <c r="O52" s="19">
        <v>-0.88363446615777441</v>
      </c>
      <c r="P52" s="19">
        <v>-0.87479812149619662</v>
      </c>
      <c r="Q52" s="19">
        <v>-0.86605014028123462</v>
      </c>
      <c r="S52" s="5"/>
      <c r="T52" s="5"/>
      <c r="U52" s="5"/>
      <c r="V52" s="5"/>
      <c r="W52" s="5"/>
      <c r="X52" s="5"/>
      <c r="Y52" s="5"/>
      <c r="Z52" s="5"/>
      <c r="AA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">
      <c r="B53" s="26"/>
      <c r="C53" s="26"/>
      <c r="D53" s="6"/>
      <c r="E53" s="10" t="s">
        <v>92</v>
      </c>
      <c r="F53" s="9"/>
      <c r="G53" s="9"/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 x14ac:dyDescent="0.2">
      <c r="A54" s="3" t="s">
        <v>93</v>
      </c>
      <c r="E54" s="10"/>
      <c r="F54" s="9"/>
      <c r="G54" s="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 x14ac:dyDescent="0.2">
      <c r="A55" s="2" t="s">
        <v>18</v>
      </c>
      <c r="B55" s="26" t="s">
        <v>82</v>
      </c>
      <c r="C55" s="26" t="s">
        <v>83</v>
      </c>
      <c r="D55" s="6" t="s">
        <v>27</v>
      </c>
      <c r="E55" s="10" t="s">
        <v>52</v>
      </c>
      <c r="F55" s="9">
        <v>0</v>
      </c>
      <c r="G55" s="9"/>
      <c r="H55" s="19">
        <v>-0.87894719677981414</v>
      </c>
      <c r="I55" s="19"/>
      <c r="J55" s="19"/>
      <c r="K55" s="19"/>
      <c r="L55" s="19"/>
      <c r="M55" s="19">
        <v>-0.62709062191925213</v>
      </c>
      <c r="N55" s="19">
        <v>-0.60827790326167452</v>
      </c>
      <c r="O55" s="19">
        <v>-0.59002956616382429</v>
      </c>
      <c r="P55" s="19">
        <v>-0.57232867917890951</v>
      </c>
      <c r="Q55" s="19">
        <v>-0.55515881880354223</v>
      </c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 x14ac:dyDescent="0.2">
      <c r="A56" s="2" t="s">
        <v>18</v>
      </c>
      <c r="B56" s="26"/>
      <c r="C56" s="26"/>
      <c r="D56" s="6"/>
      <c r="E56" s="10" t="s">
        <v>94</v>
      </c>
      <c r="F56" s="9"/>
      <c r="G56" s="9"/>
      <c r="H56" s="19">
        <v>1</v>
      </c>
      <c r="I56" s="19"/>
      <c r="J56" s="19"/>
      <c r="K56" s="19"/>
      <c r="L56" s="19"/>
      <c r="M56" s="19">
        <v>1</v>
      </c>
      <c r="N56" s="19">
        <v>1</v>
      </c>
      <c r="O56" s="19">
        <v>1</v>
      </c>
      <c r="P56" s="19">
        <v>1</v>
      </c>
      <c r="Q56" s="19">
        <v>1</v>
      </c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 x14ac:dyDescent="0.2">
      <c r="A57" s="3" t="s">
        <v>18</v>
      </c>
      <c r="B57" s="32" t="s">
        <v>95</v>
      </c>
      <c r="C57" s="18" t="s">
        <v>96</v>
      </c>
      <c r="D57" t="s">
        <v>27</v>
      </c>
      <c r="E57" s="10" t="s">
        <v>85</v>
      </c>
      <c r="F57" s="9">
        <v>0</v>
      </c>
      <c r="G57" s="9"/>
      <c r="H57" s="19">
        <v>-0.4125995543142304</v>
      </c>
      <c r="I57" s="19">
        <v>-0.4084735587710881</v>
      </c>
      <c r="J57" s="19">
        <v>-0.40438882318337721</v>
      </c>
      <c r="K57" s="19">
        <v>-0.40034493495154344</v>
      </c>
      <c r="L57" s="19">
        <v>-0.39634148560202798</v>
      </c>
      <c r="M57" s="19">
        <v>-0.39237807074600767</v>
      </c>
      <c r="N57" s="19">
        <v>-0.38060672862362743</v>
      </c>
      <c r="O57" s="19">
        <v>-0.36918852676491859</v>
      </c>
      <c r="P57" s="19">
        <v>-0.35811287096197103</v>
      </c>
      <c r="Q57" s="19">
        <v>-0.34736948483311186</v>
      </c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 x14ac:dyDescent="0.2">
      <c r="A58" s="3" t="s">
        <v>18</v>
      </c>
      <c r="E58" s="10" t="s">
        <v>97</v>
      </c>
      <c r="F58" s="9"/>
      <c r="G58" s="9"/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 x14ac:dyDescent="0.2">
      <c r="A59" s="3" t="s">
        <v>18</v>
      </c>
      <c r="B59" s="32" t="s">
        <v>98</v>
      </c>
      <c r="C59" s="18" t="s">
        <v>99</v>
      </c>
      <c r="D59" t="s">
        <v>27</v>
      </c>
      <c r="E59" s="10" t="s">
        <v>85</v>
      </c>
      <c r="F59" s="9">
        <v>0</v>
      </c>
      <c r="G59" s="9"/>
      <c r="H59" s="19">
        <v>-0.55740044568576952</v>
      </c>
      <c r="I59" s="19">
        <v>-0.55182644122891178</v>
      </c>
      <c r="J59" s="19">
        <v>-0.54630817681662269</v>
      </c>
      <c r="K59" s="19">
        <v>-0.54084509504845646</v>
      </c>
      <c r="L59" s="19">
        <v>-0.53543664409797187</v>
      </c>
      <c r="M59" s="19">
        <v>-0.53008227765699212</v>
      </c>
      <c r="N59" s="19">
        <v>-0.51417980932728236</v>
      </c>
      <c r="O59" s="19">
        <v>-0.49875441504746387</v>
      </c>
      <c r="P59" s="19">
        <v>-0.48379178259603994</v>
      </c>
      <c r="Q59" s="19">
        <v>-0.46927802911815875</v>
      </c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 x14ac:dyDescent="0.2">
      <c r="A60" s="3" t="s">
        <v>18</v>
      </c>
      <c r="E60" s="10" t="s">
        <v>100</v>
      </c>
      <c r="F60" s="9"/>
      <c r="G60" s="9"/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 x14ac:dyDescent="0.2">
      <c r="A61" s="3" t="s">
        <v>18</v>
      </c>
      <c r="B61" s="32" t="s">
        <v>101</v>
      </c>
      <c r="C61" s="18" t="s">
        <v>102</v>
      </c>
      <c r="D61" t="s">
        <v>27</v>
      </c>
      <c r="E61" s="10" t="s">
        <v>75</v>
      </c>
      <c r="F61" s="9">
        <v>0</v>
      </c>
      <c r="G61" s="9"/>
      <c r="H61" s="19">
        <v>-0.69206218218108739</v>
      </c>
      <c r="I61" s="19"/>
      <c r="J61" s="19"/>
      <c r="K61" s="19"/>
      <c r="L61" s="19"/>
      <c r="M61" s="19">
        <v>-0.77161007875187004</v>
      </c>
      <c r="N61" s="19">
        <v>0</v>
      </c>
      <c r="O61" s="19">
        <v>0</v>
      </c>
      <c r="P61" s="19">
        <v>0</v>
      </c>
      <c r="Q61" s="19">
        <v>-0.69444907087668306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 x14ac:dyDescent="0.2">
      <c r="A62" s="3" t="s">
        <v>18</v>
      </c>
      <c r="E62" s="10" t="s">
        <v>103</v>
      </c>
      <c r="F62" s="9"/>
      <c r="G62" s="9"/>
      <c r="H62" s="19">
        <v>1</v>
      </c>
      <c r="I62" s="19"/>
      <c r="J62" s="19"/>
      <c r="K62" s="19"/>
      <c r="L62" s="19"/>
      <c r="M62" s="19">
        <v>1</v>
      </c>
      <c r="N62" s="19">
        <v>0</v>
      </c>
      <c r="O62" s="19">
        <v>0</v>
      </c>
      <c r="P62" s="19">
        <v>0</v>
      </c>
      <c r="Q62" s="19">
        <v>1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 x14ac:dyDescent="0.2">
      <c r="A63" s="3" t="s">
        <v>18</v>
      </c>
      <c r="B63" s="26" t="s">
        <v>89</v>
      </c>
      <c r="C63" s="26" t="s">
        <v>90</v>
      </c>
      <c r="D63" s="6" t="s">
        <v>27</v>
      </c>
      <c r="E63" s="10" t="s">
        <v>91</v>
      </c>
      <c r="F63" s="9">
        <v>0</v>
      </c>
      <c r="G63" s="9"/>
      <c r="H63" s="19">
        <v>-0.9480391778774202</v>
      </c>
      <c r="I63" s="19">
        <v>-0.93855878609864596</v>
      </c>
      <c r="J63" s="19">
        <v>-0.92917319823765954</v>
      </c>
      <c r="K63" s="19">
        <v>-0.91988146625528289</v>
      </c>
      <c r="L63" s="19">
        <v>-0.9106826515927301</v>
      </c>
      <c r="M63" s="19">
        <v>-0.90157582507680278</v>
      </c>
      <c r="N63" s="19">
        <v>-0.89256006682603473</v>
      </c>
      <c r="O63" s="19">
        <v>-0.88363446615777441</v>
      </c>
      <c r="P63" s="19">
        <v>-0.87479812149619662</v>
      </c>
      <c r="Q63" s="19">
        <v>-0.86605014028123462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 x14ac:dyDescent="0.2">
      <c r="A64" s="3" t="s">
        <v>18</v>
      </c>
      <c r="B64" s="26"/>
      <c r="C64" s="26"/>
      <c r="D64" s="6"/>
      <c r="E64" s="10" t="s">
        <v>104</v>
      </c>
      <c r="F64" s="9"/>
      <c r="G64" s="9"/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 x14ac:dyDescent="0.2">
      <c r="A65" s="3"/>
      <c r="B65" s="26"/>
      <c r="C65" s="26"/>
      <c r="D65" s="6"/>
      <c r="E65" s="10"/>
      <c r="F65" s="9"/>
      <c r="G65" s="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 x14ac:dyDescent="0.2">
      <c r="D66" s="2"/>
      <c r="E66" s="10"/>
      <c r="F66" s="9"/>
      <c r="G66" s="9"/>
      <c r="H66" s="19"/>
      <c r="I66" s="5"/>
      <c r="J66" s="5"/>
      <c r="K66" s="5"/>
      <c r="L66" s="5"/>
      <c r="M66" s="19"/>
      <c r="N66" s="5"/>
      <c r="O66" s="5"/>
      <c r="P66" s="5"/>
      <c r="Q66" s="19"/>
      <c r="S66" s="5"/>
      <c r="T66" s="5"/>
      <c r="U66" s="5"/>
      <c r="V66" s="5"/>
      <c r="W66" s="5"/>
      <c r="X66" s="5"/>
      <c r="Y66" s="5"/>
      <c r="Z66" s="5"/>
      <c r="AA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">
      <c r="E67" s="10"/>
      <c r="F67" s="9"/>
      <c r="G67" s="9"/>
      <c r="H67" s="19"/>
      <c r="I67" s="5"/>
      <c r="J67" s="5"/>
      <c r="K67" s="5"/>
      <c r="L67" s="5"/>
      <c r="M67" s="19"/>
      <c r="N67" s="5"/>
      <c r="O67" s="5"/>
      <c r="P67" s="5"/>
      <c r="Q67" s="19"/>
      <c r="S67" s="5"/>
      <c r="T67" s="5"/>
      <c r="U67" s="5"/>
      <c r="V67" s="5"/>
      <c r="W67" s="5"/>
      <c r="X67" s="5"/>
      <c r="Y67" s="5"/>
      <c r="Z67" s="5"/>
      <c r="AA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">
      <c r="A68" s="2"/>
      <c r="D68" s="2"/>
      <c r="E68" s="10"/>
      <c r="F68" s="9"/>
      <c r="G68" s="9"/>
      <c r="H68" s="19"/>
      <c r="I68" s="5"/>
      <c r="J68" s="5"/>
      <c r="K68" s="5"/>
      <c r="L68" s="5"/>
      <c r="M68" s="19"/>
      <c r="N68" s="5"/>
      <c r="O68" s="5"/>
      <c r="P68" s="5"/>
      <c r="Q68" s="19"/>
      <c r="S68" s="5"/>
      <c r="T68" s="5"/>
      <c r="U68" s="5"/>
      <c r="V68" s="5"/>
      <c r="W68" s="5"/>
      <c r="X68" s="5"/>
      <c r="Y68" s="5"/>
      <c r="Z68" s="5"/>
      <c r="AA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">
      <c r="A69" s="2"/>
      <c r="E69" s="10"/>
      <c r="F69" s="9"/>
      <c r="G69" s="9"/>
      <c r="H69" s="19"/>
      <c r="I69" s="5"/>
      <c r="J69" s="5"/>
      <c r="K69" s="5"/>
      <c r="L69" s="5"/>
      <c r="M69" s="19"/>
      <c r="N69" s="5"/>
      <c r="O69" s="5"/>
      <c r="P69" s="5"/>
      <c r="Q69" s="19"/>
      <c r="S69" s="5"/>
      <c r="T69" s="5"/>
      <c r="U69" s="5"/>
      <c r="V69" s="5"/>
      <c r="W69" s="5"/>
      <c r="X69" s="5"/>
      <c r="Y69" s="5"/>
      <c r="Z69" s="5"/>
      <c r="AA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">
      <c r="A70" s="2"/>
      <c r="D70" s="2"/>
      <c r="E70" s="10"/>
      <c r="F70" s="9"/>
      <c r="G70" s="9"/>
      <c r="H70" s="19"/>
      <c r="I70" s="5"/>
      <c r="J70" s="5"/>
      <c r="K70" s="5"/>
      <c r="L70" s="5"/>
      <c r="M70" s="19"/>
      <c r="N70" s="5"/>
      <c r="O70" s="5"/>
      <c r="P70" s="5"/>
      <c r="Q70" s="19"/>
      <c r="S70" s="5"/>
      <c r="T70" s="5"/>
      <c r="U70" s="5"/>
      <c r="V70" s="5"/>
      <c r="W70" s="5"/>
      <c r="X70" s="5"/>
      <c r="Y70" s="5"/>
      <c r="Z70" s="5"/>
      <c r="AA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">
      <c r="A71" s="2"/>
      <c r="E71" s="10"/>
      <c r="F71" s="9"/>
      <c r="G71" s="9"/>
      <c r="H71" s="19"/>
      <c r="I71" s="5"/>
      <c r="J71" s="5"/>
      <c r="K71" s="5"/>
      <c r="L71" s="5"/>
      <c r="M71" s="19"/>
      <c r="N71" s="5"/>
      <c r="O71" s="5"/>
      <c r="P71" s="5"/>
      <c r="Q71" s="19"/>
      <c r="S71" s="5"/>
      <c r="T71" s="5"/>
      <c r="U71" s="5"/>
      <c r="V71" s="5"/>
      <c r="W71" s="5"/>
      <c r="X71" s="5"/>
      <c r="Y71" s="5"/>
      <c r="Z71" s="5"/>
      <c r="AA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">
      <c r="A72" s="2"/>
      <c r="D72" s="2"/>
      <c r="E72" s="10"/>
      <c r="F72" s="9"/>
      <c r="G72" s="9"/>
      <c r="H72" s="19"/>
      <c r="I72" s="5"/>
      <c r="J72" s="5"/>
      <c r="K72" s="5"/>
      <c r="L72" s="5"/>
      <c r="M72" s="19"/>
      <c r="N72" s="5"/>
      <c r="O72" s="5"/>
      <c r="P72" s="5"/>
      <c r="Q72" s="19"/>
      <c r="S72" s="5"/>
      <c r="T72" s="5"/>
      <c r="U72" s="5"/>
      <c r="V72" s="5"/>
      <c r="W72" s="5"/>
      <c r="X72" s="5"/>
      <c r="Y72" s="5"/>
      <c r="Z72" s="5"/>
      <c r="AA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">
      <c r="A73" s="2"/>
      <c r="E73" s="10"/>
      <c r="F73" s="9"/>
      <c r="G73" s="9"/>
      <c r="H73" s="19"/>
      <c r="I73" s="5"/>
      <c r="J73" s="5"/>
      <c r="K73" s="5"/>
      <c r="L73" s="5"/>
      <c r="M73" s="19"/>
      <c r="N73" s="5"/>
      <c r="O73" s="5"/>
      <c r="P73" s="5"/>
      <c r="Q73" s="19"/>
      <c r="S73" s="5"/>
      <c r="T73" s="5"/>
      <c r="U73" s="5"/>
      <c r="V73" s="5"/>
      <c r="W73" s="5"/>
      <c r="X73" s="5"/>
      <c r="Y73" s="5"/>
      <c r="Z73" s="5"/>
      <c r="AA73" s="5"/>
      <c r="AC73" s="5"/>
      <c r="AD73" s="5"/>
      <c r="AE73" s="5"/>
      <c r="AF73" s="5"/>
      <c r="AG73" s="5"/>
      <c r="AH73" s="5"/>
      <c r="AI73" s="5"/>
      <c r="AJ73" s="5"/>
      <c r="AK7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DA0ACD-C7BB-40CB-B3A2-99AD2247D0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FEEA2-BC3A-4CD2-AFFF-BAC9DFCB0FA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7D0E0CD-4DEC-4D44-AF59-06CEEF3802BE}"/>
</file>

<file path=customXml/itemProps4.xml><?xml version="1.0" encoding="utf-8"?>
<ds:datastoreItem xmlns:ds="http://schemas.openxmlformats.org/officeDocument/2006/customXml" ds:itemID="{1DF0CEFF-B31A-4D4E-815F-4693A47EEA44}">
  <ds:schemaRefs>
    <ds:schemaRef ds:uri="4ffa91fb-a0ff-4ac5-b2db-65c790d184a4"/>
    <ds:schemaRef ds:uri="http://schemas.microsoft.com/sharepoint/v3/field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5e3f1aae-2956-4629-a4bc-aaa910a7cb56"/>
    <ds:schemaRef ds:uri="http://schemas.microsoft.com/sharepoint/v3"/>
    <ds:schemaRef ds:uri="http://purl.org/dc/elements/1.1/"/>
    <ds:schemaRef ds:uri="http://schemas.openxmlformats.org/package/2006/metadata/core-properties"/>
    <ds:schemaRef ds:uri="9380cd1d-721d-4dea-8999-040d87e03657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HDV_share_national</vt:lpstr>
      <vt:lpstr>HDV_share_regional</vt:lpstr>
      <vt:lpstr>AEO20 data</vt:lpstr>
      <vt:lpstr>ConstrData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cp:lastPrinted>2001-09-28T20:39:50Z</cp:lastPrinted>
  <dcterms:created xsi:type="dcterms:W3CDTF">2001-09-28T18:48:17Z</dcterms:created>
  <dcterms:modified xsi:type="dcterms:W3CDTF">2022-03-03T19:03:20Z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0x01010058D4D3544756FC4189396AED5C4815C6</vt:lpwstr>
  </property>
  <property fmtid="{D5CDD505-2E9C-101B-9397-08002B2CF9AE}" pid="3" name="SaveCode">
    <vt:r8>445980250835418</vt:r8>
  </property>
  <property fmtid="{D5CDD505-2E9C-101B-9397-08002B2CF9AE}" pid="4" name="WorkbookGuid">
    <vt:lpwstr>0b0a120b-55af-4506-908b-55a9ce6b1a91</vt:lpwstr>
  </property>
</Properties>
</file>