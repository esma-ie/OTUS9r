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8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12.xml" ContentType="application/vnd.openxmlformats-officedocument.drawing+xml"/>
  <Override PartName="/xl/drawings/drawing1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activeX/activeX23.xml" ContentType="application/vnd.ms-office.activeX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xl/activeX/activeX1.bin" ContentType="application/vnd.ms-office.activeX"/>
  <Override PartName="/xl/activeX/activeX5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5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6.bin" ContentType="application/vnd.ms-office.activeX"/>
  <Override PartName="/xl/activeX/activeX65.bin" ContentType="application/vnd.ms-office.activeX"/>
  <Override PartName="/xl/activeX/activeX66.xml" ContentType="application/vnd.ms-office.activeX+xml"/>
  <Override PartName="/xl/activeX/activeX69.xml" ContentType="application/vnd.ms-office.activeX+xml"/>
  <Override PartName="/xl/activeX/activeX69.bin" ContentType="application/vnd.ms-office.activeX"/>
  <Override PartName="/xl/activeX/activeX3.bin" ContentType="application/vnd.ms-office.activeX"/>
  <Override PartName="/xl/activeX/activeX3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docProps/app.xml" ContentType="application/vnd.openxmlformats-officedocument.extended-properties+xml"/>
  <Override PartName="/docProps/core.xml" ContentType="application/vnd.openxmlformats-package.core-properties+xml"/>
  <Override PartName="/xl/activeX/activeX4.bin" ContentType="application/vnd.ms-office.activeX"/>
  <Override PartName="/xl/activeX/activeX4.xml" ContentType="application/vnd.ms-office.activeX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activeX/activeX1.xml" ContentType="application/vnd.ms-office.activeX+xml"/>
  <Override PartName="/xl/activeX/activeX65.xml" ContentType="application/vnd.ms-office.activeX+xml"/>
  <Override PartName="/xl/activeX/activeX61.bin" ContentType="application/vnd.ms-office.activeX"/>
  <Override PartName="/xl/activeX/activeX64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1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6.bin" ContentType="application/vnd.ms-office.activeX"/>
  <Override PartName="/xl/activeX/activeX36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18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17.xml" ContentType="application/vnd.ms-office.activeX+xml"/>
  <Override PartName="/xl/activeX/activeX39.xml" ContentType="application/vnd.ms-office.activeX+xml"/>
  <Override PartName="/xl/activeX/activeX39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15.xml" ContentType="application/vnd.ms-office.activeX+xml"/>
  <Override PartName="/xl/activeX/activeX43.xml" ContentType="application/vnd.ms-office.activeX+xml"/>
  <Override PartName="/xl/activeX/activeX43.bin" ContentType="application/vnd.ms-office.activeX"/>
  <Override PartName="/xl/activeX/activeX15.bin" ContentType="application/vnd.ms-office.activeX"/>
  <Override PartName="/xl/activeX/activeX16.xml" ContentType="application/vnd.ms-office.activeX+xml"/>
  <Override PartName="/xl/activeX/activeX40.xml" ContentType="application/vnd.ms-office.activeX+xml"/>
  <Override PartName="/xl/activeX/activeX40.bin" ContentType="application/vnd.ms-office.activeX"/>
  <Override PartName="/xl/activeX/activeX16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34.bin" ContentType="application/vnd.ms-office.activeX"/>
  <Override PartName="/xl/activeX/activeX34.xml" ContentType="application/vnd.ms-office.activeX+xml"/>
  <Override PartName="/xl/activeX/activeX19.bin" ContentType="application/vnd.ms-office.activeX"/>
  <Override PartName="/xl/activeX/activeX26.bin" ContentType="application/vnd.ms-office.activeX"/>
  <Override PartName="/xl/activeX/activeX21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1.xml" ContentType="application/vnd.ms-office.activeX+xml"/>
  <Override PartName="/xl/activeX/activeX26.xml" ContentType="application/vnd.ms-office.activeX+xml"/>
  <Override PartName="/xl/activeX/activeX22.xml" ContentType="application/vnd.ms-office.activeX+xml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2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0.xml" ContentType="application/vnd.ms-office.activeX+xml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1.bin" ContentType="application/vnd.ms-office.activeX"/>
  <Override PartName="/xl/activeX/activeX31.xml" ContentType="application/vnd.ms-office.activeX+xml"/>
  <Override PartName="/xl/activeX/activeX20.bin" ContentType="application/vnd.ms-office.activeX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14.bin" ContentType="application/vnd.ms-office.activeX"/>
  <Override PartName="/xl/activeX/activeX57.bin" ContentType="application/vnd.ms-office.activeX"/>
  <Override PartName="/xl/activeX/activeX9.xml" ContentType="application/vnd.ms-office.activeX+xml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7.xml" ContentType="application/vnd.ms-office.activeX+xml"/>
  <Override PartName="/xl/activeX/activeX9.bin" ContentType="application/vnd.ms-office.activeX"/>
  <Override PartName="/xl/activeX/activeX56.bin" ContentType="application/vnd.ms-office.activeX"/>
  <Override PartName="/xl/activeX/activeX54.bin" ContentType="application/vnd.ms-office.activeX"/>
  <Override PartName="/xl/activeX/activeX10.xml" ContentType="application/vnd.ms-office.activeX+xml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9.bin" ContentType="application/vnd.ms-office.activeX"/>
  <Override PartName="/xl/activeX/activeX8.bin" ContentType="application/vnd.ms-office.activeX"/>
  <Override PartName="/xl/activeX/activeX60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.bin" ContentType="application/vnd.ms-office.activeX"/>
  <Override PartName="/xl/activeX/activeX64.xml" ContentType="application/vnd.ms-office.activeX+xml"/>
  <Override PartName="/xl/activeX/activeX62.xml" ContentType="application/vnd.ms-office.activeX+xml"/>
  <Override PartName="/xl/activeX/activeX7.xml" ContentType="application/vnd.ms-office.activeX+xml"/>
  <Override PartName="/xl/activeX/activeX23.bin" ContentType="application/vnd.ms-office.activeX"/>
  <Override PartName="/xl/activeX/activeX60.bin" ContentType="application/vnd.ms-office.activeX"/>
  <Override PartName="/xl/activeX/activeX8.xml" ContentType="application/vnd.ms-office.activeX+xml"/>
  <Override PartName="/xl/activeX/activeX7.bin" ContentType="application/vnd.ms-office.activeX"/>
  <Override PartName="/xl/activeX/activeX61.xml" ContentType="application/vnd.ms-office.activeX+xml"/>
  <Override PartName="/xl/activeX/activeX54.xml" ContentType="application/vnd.ms-office.activeX+xml"/>
  <Override PartName="/xl/activeX/activeX10.bin" ContentType="application/vnd.ms-office.activeX"/>
  <Override PartName="/xl/activeX/activeX13.xml" ContentType="application/vnd.ms-office.activeX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activeX/activeX13.bin" ContentType="application/vnd.ms-office.activeX"/>
  <Override PartName="/xl/activeX/activeX47.bin" ContentType="application/vnd.ms-office.activeX"/>
  <Override PartName="/xl/activeX/activeX47.xml" ContentType="application/vnd.ms-office.activeX+xml"/>
  <Override PartName="/xl/activeX/activeX45.xml" ContentType="application/vnd.ms-office.activeX+xml"/>
  <Override PartName="/xl/activeX/activeX45.bin" ContentType="application/vnd.ms-office.activeX"/>
  <Override PartName="/xl/activeX/activeX14.xml" ContentType="application/vnd.ms-office.activeX+xml"/>
  <Override PartName="/xl/activeX/activeX46.xml" ContentType="application/vnd.ms-office.activeX+xml"/>
  <Override PartName="/xl/activeX/activeX46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52.bin" ContentType="application/vnd.ms-office.activeX"/>
  <Override PartName="/xl/activeX/activeX11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11.xml" ContentType="application/vnd.ms-office.activeX+xml"/>
  <Override PartName="/xl/activeX/activeX52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49.bin" ContentType="application/vnd.ms-office.activeX"/>
  <Override PartName="/xl/activeX/activeX12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12.xml" ContentType="application/vnd.ms-office.activeX+xml"/>
  <Override PartName="/xl/activeX/activeX6.xml" ContentType="application/vnd.ms-office.activeX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codeName="ThisWorkbook"/>
  <mc:AlternateContent xmlns:mc="http://schemas.openxmlformats.org/markup-compatibility/2006">
    <mc:Choice Requires="x15">
      <x15ac:absPath xmlns:x15ac="http://schemas.microsoft.com/office/spreadsheetml/2010/11/ac" url="M:\TIMES workbooks\Workbooks_18.1.0\"/>
    </mc:Choice>
  </mc:AlternateContent>
  <bookViews>
    <workbookView xWindow="-1692" yWindow="2700" windowWidth="19260" windowHeight="6240" tabRatio="849" firstSheet="8" activeTab="8"/>
  </bookViews>
  <sheets>
    <sheet name="ANSv6.0-Technologies" sheetId="11" state="veryHidden" r:id="rId1"/>
    <sheet name="ANSv6.0-Commodities" sheetId="10" state="veryHidden" r:id="rId2"/>
    <sheet name="ANSv6.1-Commodities" sheetId="1" state="veryHidden" r:id="rId3"/>
    <sheet name="ANSv6.1-Technologies" sheetId="2" state="veryHidden" r:id="rId4"/>
    <sheet name="ANSv6.1-Constraints" sheetId="7" state="veryHidden" r:id="rId5"/>
    <sheet name="ANSv6.1-CommData" sheetId="4" state="veryHidden" r:id="rId6"/>
    <sheet name="ANSv6.1-TechData" sheetId="3" state="veryHidden" r:id="rId7"/>
    <sheet name="ANSv6.1-ConstrData" sheetId="8" state="veryHidden" r:id="rId8"/>
    <sheet name="AQ_TOT" sheetId="118" r:id="rId9"/>
    <sheet name="AQ_REG" sheetId="117" r:id="rId10"/>
    <sheet name="ANSv6.0-ConstrData" sheetId="42" state="veryHidden" r:id="rId11"/>
    <sheet name="ANSv6.0-TechData" sheetId="21" state="veryHidden" r:id="rId12"/>
    <sheet name="ANSv6.0-CommData" sheetId="18" state="veryHidden" r:id="rId13"/>
    <sheet name="ANSv6.0-Constraints" sheetId="17" state="veryHidden" r:id="rId14"/>
    <sheet name="DataSummary" sheetId="80" r:id="rId15"/>
    <sheet name="2000" sheetId="77" r:id="rId16"/>
    <sheet name="2005" sheetId="78" r:id="rId17"/>
    <sheet name="2010-2015" sheetId="79" r:id="rId18"/>
    <sheet name="Conversions" sheetId="51" r:id="rId19"/>
  </sheets>
  <externalReferences>
    <externalReference r:id="rId20"/>
  </externalReferences>
  <definedNames>
    <definedName name="_1_2007_InternetDataFile_ExistGenUnits">#REF!</definedName>
    <definedName name="AnswerData">#REF!</definedName>
    <definedName name="bprint">#REF!</definedName>
    <definedName name="cprint">#REF!</definedName>
    <definedName name="exch_rate">#REF!</definedName>
    <definedName name="fitfile">[1]MODEL!$D$38</definedName>
    <definedName name="INF">[1]MODEL!$H$14</definedName>
    <definedName name="PPP">[1]MODEL!$D$12</definedName>
    <definedName name="PPPEX">[1]MODEL!$D$13</definedName>
    <definedName name="rail_coal">#REF!</definedName>
  </definedNames>
  <calcPr calcId="171027"/>
</workbook>
</file>

<file path=xl/calcChain.xml><?xml version="1.0" encoding="utf-8"?>
<calcChain xmlns="http://schemas.openxmlformats.org/spreadsheetml/2006/main">
  <c r="N27" i="80" l="1"/>
  <c r="M27" i="80"/>
  <c r="G27" i="80"/>
  <c r="F27" i="80"/>
  <c r="E27" i="80"/>
  <c r="L27" i="80" s="1"/>
  <c r="D27" i="80"/>
  <c r="K27" i="80" s="1"/>
  <c r="N26" i="80"/>
  <c r="M26" i="80"/>
  <c r="G26" i="80"/>
  <c r="F26" i="80"/>
  <c r="E26" i="80"/>
  <c r="L26" i="80"/>
  <c r="D26" i="80"/>
  <c r="K26" i="80" s="1"/>
  <c r="N25" i="80"/>
  <c r="M25" i="80"/>
  <c r="G25" i="80"/>
  <c r="F25" i="80"/>
  <c r="E25" i="80"/>
  <c r="L25" i="80"/>
  <c r="D25" i="80"/>
  <c r="K25" i="80" s="1"/>
  <c r="N24" i="80"/>
  <c r="M24" i="80"/>
  <c r="G24" i="80"/>
  <c r="F24" i="80"/>
  <c r="E24" i="80"/>
  <c r="L24" i="80"/>
  <c r="D24" i="80"/>
  <c r="K24" i="80" s="1"/>
  <c r="N23" i="80"/>
  <c r="M23" i="80"/>
  <c r="G23" i="80"/>
  <c r="F23" i="80"/>
  <c r="E23" i="80"/>
  <c r="L23" i="80"/>
  <c r="D23" i="80"/>
  <c r="K23" i="80" s="1"/>
  <c r="N22" i="80"/>
  <c r="M22" i="80"/>
  <c r="G22" i="80"/>
  <c r="F22" i="80"/>
  <c r="E22" i="80"/>
  <c r="L22" i="80" s="1"/>
  <c r="D22" i="80"/>
  <c r="K22" i="80" s="1"/>
  <c r="N21" i="80"/>
  <c r="M21" i="80"/>
  <c r="G21" i="80"/>
  <c r="F21" i="80"/>
  <c r="E21" i="80"/>
  <c r="L21" i="80"/>
  <c r="D21" i="80"/>
  <c r="K21" i="80" s="1"/>
  <c r="N20" i="80"/>
  <c r="M20" i="80"/>
  <c r="G20" i="80"/>
  <c r="F20" i="80"/>
  <c r="E20" i="80"/>
  <c r="L20" i="80"/>
  <c r="D20" i="80"/>
  <c r="K20" i="80" s="1"/>
  <c r="N19" i="80"/>
  <c r="M19" i="80"/>
  <c r="K19" i="80"/>
  <c r="G19" i="80"/>
  <c r="F19" i="80"/>
  <c r="E19" i="80"/>
  <c r="L19" i="80" s="1"/>
  <c r="D19" i="80"/>
  <c r="N14" i="80"/>
  <c r="M14" i="80"/>
  <c r="G14" i="80"/>
  <c r="F14" i="80"/>
  <c r="E14" i="80"/>
  <c r="L14" i="80"/>
  <c r="D14" i="80"/>
  <c r="K14" i="80" s="1"/>
  <c r="N13" i="80"/>
  <c r="M13" i="80"/>
  <c r="G13" i="80"/>
  <c r="F13" i="80"/>
  <c r="E13" i="80"/>
  <c r="L13" i="80"/>
  <c r="D13" i="80"/>
  <c r="K13" i="80" s="1"/>
  <c r="N12" i="80"/>
  <c r="M12" i="80"/>
  <c r="G12" i="80"/>
  <c r="F12" i="80"/>
  <c r="E12" i="80"/>
  <c r="L12" i="80"/>
  <c r="D12" i="80"/>
  <c r="K12" i="80" s="1"/>
  <c r="N11" i="80"/>
  <c r="M11" i="80"/>
  <c r="G11" i="80"/>
  <c r="F11" i="80"/>
  <c r="E11" i="80"/>
  <c r="L11" i="80"/>
  <c r="D11" i="80"/>
  <c r="K11" i="80" s="1"/>
  <c r="N10" i="80"/>
  <c r="M10" i="80"/>
  <c r="G10" i="80"/>
  <c r="F10" i="80"/>
  <c r="E10" i="80"/>
  <c r="L10" i="80" s="1"/>
  <c r="D10" i="80"/>
  <c r="K10" i="80" s="1"/>
  <c r="N9" i="80"/>
  <c r="M9" i="80"/>
  <c r="G9" i="80"/>
  <c r="F9" i="80"/>
  <c r="E9" i="80"/>
  <c r="L9" i="80"/>
  <c r="D9" i="80"/>
  <c r="K9" i="80" s="1"/>
  <c r="N8" i="80"/>
  <c r="M8" i="80"/>
  <c r="G8" i="80"/>
  <c r="F8" i="80"/>
  <c r="E8" i="80"/>
  <c r="L8" i="80"/>
  <c r="D8" i="80"/>
  <c r="K8" i="80" s="1"/>
  <c r="N7" i="80"/>
  <c r="M7" i="80"/>
  <c r="G7" i="80"/>
  <c r="F7" i="80"/>
  <c r="E7" i="80"/>
  <c r="L7" i="80" s="1"/>
  <c r="D7" i="80"/>
  <c r="K7" i="80" s="1"/>
  <c r="N6" i="80"/>
  <c r="M6" i="80"/>
  <c r="G6" i="80"/>
  <c r="F6" i="80"/>
  <c r="E6" i="80"/>
  <c r="L6" i="80"/>
  <c r="D6" i="80"/>
  <c r="K6" i="80" s="1"/>
  <c r="C7" i="51"/>
  <c r="C8" i="51"/>
  <c r="C9" i="51"/>
  <c r="C10" i="51"/>
  <c r="C11" i="51"/>
  <c r="B13" i="51"/>
  <c r="B30" i="51" s="1"/>
  <c r="F15" i="51"/>
  <c r="F18" i="51"/>
  <c r="F19" i="51" s="1"/>
  <c r="B19" i="51"/>
  <c r="B23" i="51"/>
  <c r="B24" i="51" s="1"/>
  <c r="B31" i="51"/>
  <c r="B32" i="51"/>
  <c r="B33" i="51"/>
  <c r="C37" i="51"/>
  <c r="C38" i="51"/>
  <c r="C39" i="51"/>
  <c r="C40" i="51"/>
  <c r="C41" i="51"/>
  <c r="C42" i="51"/>
  <c r="C43" i="51"/>
  <c r="C44" i="51"/>
  <c r="C45" i="51"/>
  <c r="C46" i="51"/>
  <c r="C47" i="51"/>
  <c r="C48" i="51"/>
  <c r="C49" i="51"/>
  <c r="C50" i="51"/>
  <c r="C51" i="51"/>
  <c r="C52" i="51"/>
  <c r="C53" i="51"/>
  <c r="C54" i="51"/>
  <c r="C55" i="51"/>
  <c r="C56" i="51"/>
  <c r="C57" i="51"/>
  <c r="C58" i="51"/>
  <c r="C59" i="51"/>
  <c r="C60" i="51"/>
  <c r="C61" i="51"/>
  <c r="C62" i="51"/>
  <c r="C63" i="51"/>
</calcChain>
</file>

<file path=xl/comments1.xml><?xml version="1.0" encoding="utf-8"?>
<comments xmlns="http://schemas.openxmlformats.org/spreadsheetml/2006/main">
  <authors>
    <author>Gary Goldstein</author>
  </authors>
  <commentList>
    <comment ref="C2" authorId="0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>
  <authors>
    <author>Maurizio Gargiulo</author>
    <author>Gary Goldstein</author>
  </authors>
  <commentList>
    <comment ref="B2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P2" authorId="1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U2" authorId="1" shapeId="0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3.xml><?xml version="1.0" encoding="utf-8"?>
<comments xmlns="http://schemas.openxmlformats.org/spreadsheetml/2006/main">
  <authors>
    <author>Pat DeLaquil</author>
    <author>IRG</author>
  </authors>
  <commentList>
    <comment ref="B2" authorId="0" shapeId="0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Lower Heating Value</t>
        </r>
      </text>
    </comment>
    <comment ref="C7" authorId="0" shapeId="0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http://www.fpl.fs.fed.us/documnts/techline/fuel_value_calculator.pdf</t>
        </r>
      </text>
    </comment>
    <comment ref="B13" authorId="0" shapeId="0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CH4 = 55 GJ/MT</t>
        </r>
      </text>
    </comment>
    <comment ref="B21" authorId="1" shapeId="0">
      <text>
        <r>
          <rPr>
            <b/>
            <sz val="8"/>
            <color indexed="81"/>
            <rFont val="Tahoma"/>
            <family val="2"/>
          </rPr>
          <t>IRG:</t>
        </r>
        <r>
          <rPr>
            <sz val="8"/>
            <color indexed="81"/>
            <rFont val="Tahoma"/>
            <family val="2"/>
          </rPr>
          <t xml:space="preserve">
See GDP deflators below; where 2000 =&gt; 1995 used here.</t>
        </r>
      </text>
    </comment>
    <comment ref="B27" authorId="0" shapeId="0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EIA approximate energy content of domestic oil</t>
        </r>
      </text>
    </comment>
    <comment ref="B32" authorId="0" shapeId="0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Assumed 20 kg C/GJ</t>
        </r>
      </text>
    </comment>
  </commentList>
</comments>
</file>

<file path=xl/sharedStrings.xml><?xml version="1.0" encoding="utf-8"?>
<sst xmlns="http://schemas.openxmlformats.org/spreadsheetml/2006/main" count="775" uniqueCount="313">
  <si>
    <t>AK</t>
  </si>
  <si>
    <t>New York</t>
  </si>
  <si>
    <t>Pennsylvania</t>
  </si>
  <si>
    <t>Illinois</t>
  </si>
  <si>
    <t>Indiana</t>
  </si>
  <si>
    <t>Michigan</t>
  </si>
  <si>
    <t>Ohio</t>
  </si>
  <si>
    <t>Wisconsin</t>
  </si>
  <si>
    <t>1 short ton coal =</t>
  </si>
  <si>
    <t>Million Btu</t>
  </si>
  <si>
    <t>1 million short ton coal =</t>
  </si>
  <si>
    <t>ft3 CH4/short ton coal =</t>
  </si>
  <si>
    <t>kg CH4</t>
  </si>
  <si>
    <t>1 GW =</t>
  </si>
  <si>
    <t>PJa</t>
  </si>
  <si>
    <t>1 million barrels oil =</t>
  </si>
  <si>
    <t>Emission Factors</t>
  </si>
  <si>
    <t>1 PJ  CH4 released =</t>
  </si>
  <si>
    <t>kt CH4</t>
  </si>
  <si>
    <t>1 PJ  CH4 burned =</t>
  </si>
  <si>
    <t>mt CO2 (carbon)</t>
  </si>
  <si>
    <t>1 PJ MSW burned =</t>
  </si>
  <si>
    <t>1 kt CH4 burned =</t>
  </si>
  <si>
    <t>kt CO2 (carbon)</t>
  </si>
  <si>
    <t xml:space="preserve">Downloaded on 2/26/2010 At 2:20:02 PM    Last Revised February 26, 2010 </t>
  </si>
  <si>
    <t>Year</t>
  </si>
  <si>
    <t>Iowa</t>
  </si>
  <si>
    <t>Kansas</t>
  </si>
  <si>
    <t>Minnesota</t>
  </si>
  <si>
    <t>Missouri</t>
  </si>
  <si>
    <t>Nebraska</t>
  </si>
  <si>
    <t>North Dakota</t>
  </si>
  <si>
    <t>South Dakota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</si>
  <si>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</si>
  <si>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</si>
  <si>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</si>
  <si>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</si>
  <si>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</si>
  <si>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</si>
  <si>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</si>
  <si>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</si>
  <si>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Alabama</t>
  </si>
  <si>
    <t>kt/PJ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</si>
  <si>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</si>
  <si>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</si>
  <si>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</si>
  <si>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</si>
  <si>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</si>
  <si>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</si>
  <si>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</si>
  <si>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</si>
  <si>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</si>
  <si>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CO2</t>
  </si>
  <si>
    <t>SO2</t>
  </si>
  <si>
    <t xml:space="preserve">NIPA Table 1.1.9. Implicit Price Deflators for Gross Domestic Product                                                                                                                                                                                          </t>
  </si>
  <si>
    <t>Bureau of Economic Analysis</t>
  </si>
  <si>
    <t>Deflator</t>
  </si>
  <si>
    <t>Standard Conversions</t>
  </si>
  <si>
    <t>Heat capacity</t>
  </si>
  <si>
    <t>KJ/kg</t>
  </si>
  <si>
    <t>Mbtu/ton</t>
  </si>
  <si>
    <t>from</t>
  </si>
  <si>
    <t>to</t>
  </si>
  <si>
    <t>multiply  by</t>
  </si>
  <si>
    <t xml:space="preserve">[Index numbers, 2005=100]                                                                                                                                                                                                                                 </t>
  </si>
  <si>
    <t>Coal equivalent</t>
  </si>
  <si>
    <t>Mtce</t>
  </si>
  <si>
    <t>Chinese coal</t>
  </si>
  <si>
    <t>Btu</t>
  </si>
  <si>
    <t>J</t>
  </si>
  <si>
    <t>Petroleum</t>
  </si>
  <si>
    <t>kcal</t>
  </si>
  <si>
    <t>kJ</t>
  </si>
  <si>
    <t>Natural gas</t>
  </si>
  <si>
    <t>kWh</t>
  </si>
  <si>
    <t>MJ</t>
  </si>
  <si>
    <t>Wood and wood waste</t>
  </si>
  <si>
    <t>ft3</t>
  </si>
  <si>
    <t>m3</t>
  </si>
  <si>
    <t>Ag residues</t>
  </si>
  <si>
    <t>Trillion Btu</t>
  </si>
  <si>
    <t>LPG</t>
  </si>
  <si>
    <t>DME</t>
  </si>
  <si>
    <t>Methane Emission Parameters</t>
  </si>
  <si>
    <t xml:space="preserve">1 Gg CH4 = </t>
  </si>
  <si>
    <t>1 Tg =</t>
  </si>
  <si>
    <t>Bcf</t>
  </si>
  <si>
    <t>1 Bcf =</t>
  </si>
  <si>
    <t>1 kg CH4=</t>
  </si>
  <si>
    <t>MMTCE</t>
  </si>
  <si>
    <t>1scf NG=</t>
  </si>
  <si>
    <t>Lower heat value</t>
  </si>
  <si>
    <t>1 MMT MSW =</t>
  </si>
  <si>
    <t>1 Btu =</t>
  </si>
  <si>
    <t>1 m3 CH4 =</t>
  </si>
  <si>
    <t>1 $/TCE =</t>
  </si>
  <si>
    <t>m$/PJ</t>
  </si>
  <si>
    <t>1 m3 NG =</t>
  </si>
  <si>
    <t>1 kg CH4 =</t>
  </si>
  <si>
    <t>kg CO2 eq.</t>
  </si>
  <si>
    <t>1 gal gasoline =</t>
  </si>
  <si>
    <t>Model Monetary Units</t>
  </si>
  <si>
    <t>1995$US M</t>
  </si>
  <si>
    <t>1 kg =</t>
  </si>
  <si>
    <t>lb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</si>
  <si>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</si>
  <si>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</si>
  <si>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</si>
  <si>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</si>
  <si>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</si>
  <si>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</si>
  <si>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</si>
  <si>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</si>
  <si>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</si>
  <si>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</si>
  <si>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</si>
  <si>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</si>
  <si>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</si>
  <si>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</si>
  <si>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</si>
  <si>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</si>
  <si>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</si>
  <si>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</si>
  <si>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</si>
  <si>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</si>
  <si>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Maine</t>
  </si>
  <si>
    <t>Massachusetts</t>
  </si>
  <si>
    <t>New Hampshire</t>
  </si>
  <si>
    <t>Rhode Island</t>
  </si>
  <si>
    <t>Vermont</t>
  </si>
  <si>
    <t>New Jersey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</si>
  <si>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</si>
  <si>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</si>
  <si>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</si>
  <si>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</si>
  <si>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</si>
  <si>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</si>
  <si>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</si>
  <si>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</si>
  <si>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</si>
  <si>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PJ</t>
  </si>
  <si>
    <t>Kentucky</t>
  </si>
  <si>
    <t>Mississippi</t>
  </si>
  <si>
    <t>Tennessee</t>
  </si>
  <si>
    <t>Arkansas</t>
  </si>
  <si>
    <t>Louisiana</t>
  </si>
  <si>
    <t>Oklahoma</t>
  </si>
  <si>
    <t>Texas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</si>
  <si>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</si>
  <si>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</si>
  <si>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</si>
  <si>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</si>
  <si>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</si>
  <si>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</si>
  <si>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</si>
  <si>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</si>
  <si>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California</t>
  </si>
  <si>
    <t>Oregon</t>
  </si>
  <si>
    <t>Washington</t>
  </si>
  <si>
    <t>Name</t>
  </si>
  <si>
    <t>Grand Total</t>
  </si>
  <si>
    <t>Region</t>
  </si>
  <si>
    <t>Connecticut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</si>
  <si>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</si>
  <si>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</si>
  <si>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</si>
  <si>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</si>
  <si>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</si>
  <si>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</si>
  <si>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</si>
  <si>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Total</t>
  </si>
  <si>
    <t>Mountain</t>
  </si>
  <si>
    <t>Switchgrass</t>
  </si>
  <si>
    <t xml:space="preserve"> </t>
  </si>
  <si>
    <t>Multiply By (for $2005)</t>
  </si>
  <si>
    <t>GDP Deflators (Conversion to US$2005)</t>
  </si>
  <si>
    <t>Heating Values (LHV)</t>
  </si>
  <si>
    <t>NOx</t>
  </si>
  <si>
    <t>Data source: U.S. EPA Clean Air Markets Division’s “Data and Maps” web page (http://camddataandmaps.epa.gov/gdm/index.cfm)</t>
  </si>
  <si>
    <t>Units: thousand short tons</t>
  </si>
  <si>
    <t>Nox</t>
  </si>
  <si>
    <t>MMBTU</t>
  </si>
  <si>
    <t>AL </t>
  </si>
  <si>
    <t>2000 </t>
  </si>
  <si>
    <t>ARP </t>
  </si>
  <si>
    <t>AR </t>
  </si>
  <si>
    <t>AZ </t>
  </si>
  <si>
    <t>CA </t>
  </si>
  <si>
    <t>CO </t>
  </si>
  <si>
    <t>CT </t>
  </si>
  <si>
    <t>DC </t>
  </si>
  <si>
    <t>DE </t>
  </si>
  <si>
    <t>FL </t>
  </si>
  <si>
    <t>GA </t>
  </si>
  <si>
    <t>IA </t>
  </si>
  <si>
    <t>ID </t>
  </si>
  <si>
    <t>IL </t>
  </si>
  <si>
    <t>IN </t>
  </si>
  <si>
    <t>KS </t>
  </si>
  <si>
    <t>KY </t>
  </si>
  <si>
    <t>LA </t>
  </si>
  <si>
    <t>MA </t>
  </si>
  <si>
    <t>MD </t>
  </si>
  <si>
    <t>ME </t>
  </si>
  <si>
    <t>MI </t>
  </si>
  <si>
    <t>MN </t>
  </si>
  <si>
    <t>MO </t>
  </si>
  <si>
    <t>MS </t>
  </si>
  <si>
    <t>MT </t>
  </si>
  <si>
    <t>NC </t>
  </si>
  <si>
    <t>ND </t>
  </si>
  <si>
    <t>NE </t>
  </si>
  <si>
    <t>NH </t>
  </si>
  <si>
    <t>NJ </t>
  </si>
  <si>
    <t>NM </t>
  </si>
  <si>
    <t>NV </t>
  </si>
  <si>
    <t>NY </t>
  </si>
  <si>
    <t>OH </t>
  </si>
  <si>
    <t>OK </t>
  </si>
  <si>
    <t>OR </t>
  </si>
  <si>
    <t>PA </t>
  </si>
  <si>
    <t>RI </t>
  </si>
  <si>
    <t>SC </t>
  </si>
  <si>
    <t>SD </t>
  </si>
  <si>
    <t>TN </t>
  </si>
  <si>
    <t>TX </t>
  </si>
  <si>
    <t>UT </t>
  </si>
  <si>
    <t>VA </t>
  </si>
  <si>
    <t>VT </t>
  </si>
  <si>
    <t>WA </t>
  </si>
  <si>
    <t>WI </t>
  </si>
  <si>
    <t>WV </t>
  </si>
  <si>
    <t>WY </t>
  </si>
  <si>
    <t>11,202,079.3 </t>
  </si>
  <si>
    <t>5,104,515.8 </t>
  </si>
  <si>
    <t>2,451,561,151.4 </t>
  </si>
  <si>
    <t>25,606,076,726 </t>
  </si>
  <si>
    <t>From NEI</t>
  </si>
  <si>
    <t>HA</t>
  </si>
  <si>
    <t>Regional sums in annual short tons</t>
  </si>
  <si>
    <t>Region 9 - A</t>
  </si>
  <si>
    <t>Region 9 - B</t>
  </si>
  <si>
    <t>Converted to Million Metric Tonnes</t>
  </si>
  <si>
    <t>SO2 in 2000</t>
  </si>
  <si>
    <t>SO2 in 2005</t>
  </si>
  <si>
    <t>NOx in 2000</t>
  </si>
  <si>
    <t>NOx in 2005</t>
  </si>
  <si>
    <t>National Total</t>
  </si>
  <si>
    <t>2005 </t>
  </si>
  <si>
    <t>10,222,639.6 </t>
  </si>
  <si>
    <t>3,633,332.5 </t>
  </si>
  <si>
    <t>2,539,948,947.3 </t>
  </si>
  <si>
    <t>27,140,176,242 </t>
  </si>
  <si>
    <t>Regional totals in short tons</t>
  </si>
  <si>
    <t>Data Source - U.S. EPA Clean Air Markets Division’s “Clean Air Interstate Rule” web page (http://www.epa.gov/cair/technical.html#proposedrule)</t>
  </si>
  <si>
    <t>Technical Support Documents</t>
  </si>
  <si>
    <t>"State-level emission inventory summaries for all criteria pollutants for each sector for years 2001, 2010, and 2015, base and control cases"</t>
  </si>
  <si>
    <t>TSD_Appendix_2010.xls</t>
  </si>
  <si>
    <t>TSD_Appendix_2015.xls</t>
  </si>
  <si>
    <t>CAIR</t>
  </si>
  <si>
    <t>(from TSD_Appendix_2010)</t>
  </si>
  <si>
    <t>(from TSD_Appendix_2015)</t>
  </si>
  <si>
    <t>non-CAIR</t>
  </si>
  <si>
    <t>non-CAIR (from TSD_Appendix_2015)</t>
  </si>
  <si>
    <t>District Of Columbia</t>
  </si>
  <si>
    <t>(blank)</t>
  </si>
  <si>
    <t>CAIR Emissions</t>
  </si>
  <si>
    <t>Non-CAIR Emissions</t>
  </si>
  <si>
    <t>Nox 2010</t>
  </si>
  <si>
    <t>So2 2010</t>
  </si>
  <si>
    <t>Nox 2015</t>
  </si>
  <si>
    <t>So2 2015</t>
  </si>
  <si>
    <t>Region 9a</t>
  </si>
  <si>
    <t>Summary of emissions data from sheets "2000", "2005", "2010-2015"</t>
  </si>
  <si>
    <t>No-CAIR</t>
  </si>
  <si>
    <t>NOx Emission (Ktonnes/yr)</t>
  </si>
  <si>
    <t>NOx Emissions (Ktonnes/yr)</t>
  </si>
  <si>
    <t>Pacific (incl AK, HI)</t>
  </si>
  <si>
    <t>SO2 Emission (Ktonnes/yr)</t>
  </si>
  <si>
    <t>SO2 Emissions (Ktonnes/yr)</t>
  </si>
  <si>
    <t>Data Sources</t>
  </si>
  <si>
    <t>2000 and 2005 - U.S. EPA Clean Air Markets Division’s “Data and Maps” web page (http://camddataandmaps.epa.gov/gdm/index.cfm)</t>
  </si>
  <si>
    <t>2010 and 2015 - U.S. EPA Clean Air Markets Division’s “Clean Air Interstate Rule” web page (http://www.epa.gov/cair/technical.html#proposedrule)</t>
  </si>
  <si>
    <t>LimType</t>
  </si>
  <si>
    <t>UP</t>
  </si>
  <si>
    <t>Trans - Insert</t>
  </si>
  <si>
    <t>~TFM_INS</t>
  </si>
  <si>
    <t>TimeSlice</t>
  </si>
  <si>
    <t>Attribute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</si>
  <si>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</si>
  <si>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</si>
  <si>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</si>
  <si>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</si>
  <si>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</si>
  <si>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</si>
  <si>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</si>
  <si>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</si>
  <si>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</si>
  <si>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COM_BNDNET</t>
  </si>
  <si>
    <t>UC - All Regions/Each Period</t>
  </si>
  <si>
    <t>~UC_Sets: R_S: AllRegions</t>
  </si>
  <si>
    <t>UC_N</t>
  </si>
  <si>
    <t>UC_COMNET</t>
  </si>
  <si>
    <t>UC_RHSTS</t>
  </si>
  <si>
    <t>UC_RHSTS~0</t>
  </si>
  <si>
    <t>UC_Desc</t>
  </si>
  <si>
    <t>AQREG_NOX_AllRegions</t>
  </si>
  <si>
    <t>NOX upper bound on the total emissions of All Regions</t>
  </si>
  <si>
    <t>ELCNOX</t>
  </si>
  <si>
    <t>ELCSO2</t>
  </si>
  <si>
    <t>ELCPM10</t>
  </si>
  <si>
    <t>AQREG_SO2_AllRegions</t>
  </si>
  <si>
    <t>SO2 upper bound on the total emissions of All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</si>
</sst>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0.000"/>
    <numFmt numFmtId="167" formatCode="0.00000"/>
    <numFmt numFmtId="168" formatCode="0.0000"/>
    <numFmt numFmtId="169" formatCode="0.0"/>
    <numFmt numFmtId="170" formatCode="0.000000"/>
    <numFmt numFmtId="171" formatCode="#.00"/>
    <numFmt numFmtId="172" formatCode="#."/>
    <numFmt numFmtId="173" formatCode="m\o\n\th\ d\,\ yyyy"/>
    <numFmt numFmtId="174" formatCode="#,##0.00000"/>
    <numFmt numFmtId="175" formatCode="#,##0.0"/>
    <numFmt numFmtId="176" formatCode="_(* #,##0_);_(* \(#,##0\);_(* &quot;-&quot;??_);_(@_)"/>
  </numFmts>
  <fonts count="3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sz val="11"/>
      <name val="Calibri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6EFCE"/>
      </patternFill>
    </fill>
  </fills>
  <borders count="2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22"/>
      </left>
      <right/>
      <top style="medium">
        <color indexed="22"/>
      </top>
      <bottom/>
      <diagonal/>
    </border>
    <border>
      <left/>
      <right/>
      <top style="medium">
        <color indexed="22"/>
      </top>
      <bottom/>
      <diagonal/>
    </border>
    <border>
      <left style="medium">
        <color indexed="22"/>
      </left>
      <right/>
      <top/>
      <bottom/>
      <diagonal/>
    </border>
    <border>
      <left style="medium">
        <color indexed="22"/>
      </left>
      <right/>
      <top/>
      <bottom style="medium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 style="medium">
        <color indexed="22"/>
      </right>
      <top/>
      <bottom style="medium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6" fillId="10" borderId="0" applyNumberFormat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73" fontId="10" fillId="0" borderId="0">
      <protection locked="0"/>
    </xf>
    <xf numFmtId="171" fontId="10" fillId="0" borderId="0">
      <protection locked="0"/>
    </xf>
    <xf numFmtId="172" fontId="11" fillId="0" borderId="0">
      <protection locked="0"/>
    </xf>
    <xf numFmtId="172" fontId="11" fillId="0" borderId="0">
      <protection locked="0"/>
    </xf>
    <xf numFmtId="0" fontId="27" fillId="11" borderId="22" applyNumberFormat="0" applyAlignment="0" applyProtection="0"/>
    <xf numFmtId="0" fontId="28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29" fillId="0" borderId="0"/>
    <xf numFmtId="0" fontId="24" fillId="0" borderId="0"/>
    <xf numFmtId="0" fontId="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14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2" fontId="10" fillId="0" borderId="2">
      <protection locked="0"/>
    </xf>
    <xf numFmtId="172" fontId="10" fillId="0" borderId="2">
      <protection locked="0"/>
    </xf>
    <xf numFmtId="0" fontId="1" fillId="0" borderId="0"/>
    <xf numFmtId="0" fontId="30" fillId="17" borderId="0" applyNumberFormat="0" applyBorder="0" applyAlignment="0" applyProtection="0"/>
    <xf numFmtId="0" fontId="31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4" fillId="0" borderId="0" xfId="0" applyFont="1" applyFill="1"/>
    <xf numFmtId="49" fontId="4" fillId="0" borderId="0" xfId="0" applyNumberFormat="1" applyFont="1" applyFill="1"/>
    <xf numFmtId="11" fontId="4" fillId="0" borderId="0" xfId="0" applyNumberFormat="1" applyFont="1" applyFill="1"/>
    <xf numFmtId="0" fontId="4" fillId="0" borderId="0" xfId="0" applyNumberFormat="1" applyFont="1" applyFill="1"/>
    <xf numFmtId="0" fontId="0" fillId="0" borderId="0" xfId="0" applyFill="1"/>
    <xf numFmtId="0" fontId="7" fillId="0" borderId="0" xfId="0" applyFont="1"/>
    <xf numFmtId="0" fontId="7" fillId="0" borderId="0" xfId="0" applyFont="1" applyFill="1"/>
    <xf numFmtId="0" fontId="8" fillId="0" borderId="0" xfId="0" applyFont="1" applyFill="1"/>
    <xf numFmtId="49" fontId="7" fillId="0" borderId="0" xfId="0" applyNumberFormat="1" applyFont="1" applyFill="1"/>
    <xf numFmtId="0" fontId="9" fillId="0" borderId="0" xfId="0" applyFont="1" applyFill="1"/>
    <xf numFmtId="0" fontId="12" fillId="0" borderId="0" xfId="0" applyFont="1"/>
    <xf numFmtId="166" fontId="12" fillId="0" borderId="0" xfId="36" applyNumberFormat="1" applyFont="1"/>
    <xf numFmtId="0" fontId="18" fillId="0" borderId="0" xfId="35" applyFont="1"/>
    <xf numFmtId="0" fontId="18" fillId="0" borderId="0" xfId="35" applyFont="1" applyFill="1" applyAlignment="1">
      <alignment horizontal="right"/>
    </xf>
    <xf numFmtId="3" fontId="18" fillId="0" borderId="0" xfId="35" applyNumberFormat="1" applyFont="1" applyFill="1" applyAlignment="1">
      <alignment horizontal="center"/>
    </xf>
    <xf numFmtId="166" fontId="18" fillId="0" borderId="0" xfId="35" applyNumberFormat="1" applyFont="1" applyFill="1" applyAlignment="1">
      <alignment horizontal="center"/>
    </xf>
    <xf numFmtId="0" fontId="18" fillId="0" borderId="0" xfId="35" applyFont="1" applyFill="1" applyAlignment="1">
      <alignment horizontal="center"/>
    </xf>
    <xf numFmtId="2" fontId="18" fillId="0" borderId="0" xfId="35" applyNumberFormat="1" applyFont="1" applyFill="1" applyAlignment="1">
      <alignment horizontal="center"/>
    </xf>
    <xf numFmtId="3" fontId="18" fillId="0" borderId="0" xfId="12" applyNumberFormat="1" applyFont="1" applyFill="1" applyAlignment="1">
      <alignment horizontal="center"/>
    </xf>
    <xf numFmtId="0" fontId="18" fillId="0" borderId="0" xfId="35" applyFont="1" applyAlignment="1">
      <alignment horizontal="center"/>
    </xf>
    <xf numFmtId="0" fontId="18" fillId="0" borderId="0" xfId="35" applyFont="1" applyFill="1" applyBorder="1" applyAlignment="1">
      <alignment horizontal="right" vertical="top" wrapText="1"/>
    </xf>
    <xf numFmtId="167" fontId="18" fillId="0" borderId="0" xfId="35" applyNumberFormat="1" applyFont="1" applyBorder="1"/>
    <xf numFmtId="0" fontId="18" fillId="0" borderId="0" xfId="35" applyFont="1" applyBorder="1"/>
    <xf numFmtId="0" fontId="18" fillId="0" borderId="0" xfId="35" applyFont="1" applyBorder="1" applyAlignment="1">
      <alignment horizontal="right"/>
    </xf>
    <xf numFmtId="0" fontId="18" fillId="0" borderId="0" xfId="35" applyFont="1" applyAlignment="1">
      <alignment horizontal="right"/>
    </xf>
    <xf numFmtId="0" fontId="18" fillId="0" borderId="0" xfId="35" applyFont="1" applyFill="1" applyBorder="1"/>
    <xf numFmtId="0" fontId="18" fillId="0" borderId="0" xfId="35" applyFont="1" applyFill="1"/>
    <xf numFmtId="174" fontId="18" fillId="0" borderId="0" xfId="35" applyNumberFormat="1" applyFont="1" applyBorder="1" applyAlignment="1">
      <alignment vertical="top" wrapText="1"/>
    </xf>
    <xf numFmtId="2" fontId="18" fillId="0" borderId="0" xfId="35" applyNumberFormat="1" applyFont="1"/>
    <xf numFmtId="0" fontId="18" fillId="0" borderId="0" xfId="35" applyFont="1" applyFill="1" applyBorder="1" applyAlignment="1">
      <alignment horizontal="right"/>
    </xf>
    <xf numFmtId="169" fontId="18" fillId="0" borderId="0" xfId="35" applyNumberFormat="1" applyFont="1" applyFill="1" applyBorder="1"/>
    <xf numFmtId="170" fontId="18" fillId="0" borderId="0" xfId="35" applyNumberFormat="1" applyFont="1"/>
    <xf numFmtId="0" fontId="19" fillId="0" borderId="0" xfId="35" applyFont="1" applyFill="1" applyBorder="1" applyAlignment="1">
      <alignment vertical="top" wrapText="1"/>
    </xf>
    <xf numFmtId="168" fontId="18" fillId="0" borderId="0" xfId="35" applyNumberFormat="1" applyFont="1" applyBorder="1"/>
    <xf numFmtId="0" fontId="19" fillId="0" borderId="0" xfId="35" applyFont="1"/>
    <xf numFmtId="0" fontId="13" fillId="0" borderId="0" xfId="36" applyFont="1"/>
    <xf numFmtId="0" fontId="12" fillId="0" borderId="0" xfId="36" applyFont="1"/>
    <xf numFmtId="0" fontId="3" fillId="0" borderId="0" xfId="34" applyFont="1"/>
    <xf numFmtId="0" fontId="3" fillId="0" borderId="0" xfId="34" applyFont="1" applyBorder="1"/>
    <xf numFmtId="0" fontId="4" fillId="0" borderId="1" xfId="33" applyFont="1" applyFill="1" applyBorder="1" applyAlignment="1">
      <alignment horizontal="right" wrapText="1"/>
    </xf>
    <xf numFmtId="165" fontId="18" fillId="0" borderId="0" xfId="7" applyNumberFormat="1" applyFont="1"/>
    <xf numFmtId="0" fontId="21" fillId="0" borderId="0" xfId="0" applyFont="1"/>
    <xf numFmtId="0" fontId="19" fillId="0" borderId="0" xfId="35" applyFont="1" applyFill="1" applyBorder="1" applyAlignment="1">
      <alignment horizontal="center" vertical="top" wrapText="1"/>
    </xf>
    <xf numFmtId="0" fontId="19" fillId="0" borderId="0" xfId="35" applyFont="1" applyFill="1" applyAlignment="1">
      <alignment horizontal="center"/>
    </xf>
    <xf numFmtId="0" fontId="19" fillId="13" borderId="0" xfId="35" applyFont="1" applyFill="1" applyAlignment="1">
      <alignment horizontal="right"/>
    </xf>
    <xf numFmtId="0" fontId="19" fillId="13" borderId="0" xfId="35" applyFont="1" applyFill="1" applyAlignment="1">
      <alignment horizontal="center"/>
    </xf>
    <xf numFmtId="0" fontId="18" fillId="0" borderId="0" xfId="35" applyFont="1" applyFill="1" applyBorder="1" applyAlignment="1">
      <alignment horizontal="center"/>
    </xf>
    <xf numFmtId="0" fontId="18" fillId="0" borderId="0" xfId="0" applyFont="1"/>
    <xf numFmtId="0" fontId="13" fillId="13" borderId="0" xfId="36" applyFont="1" applyFill="1" applyBorder="1" applyAlignment="1">
      <alignment horizontal="right"/>
    </xf>
    <xf numFmtId="0" fontId="13" fillId="13" borderId="0" xfId="36" applyFont="1" applyFill="1" applyAlignment="1">
      <alignment horizontal="right"/>
    </xf>
    <xf numFmtId="0" fontId="3" fillId="0" borderId="0" xfId="19"/>
    <xf numFmtId="0" fontId="22" fillId="0" borderId="6" xfId="19" applyFont="1" applyBorder="1" applyAlignment="1">
      <alignment horizontal="left" vertical="top" wrapText="1"/>
    </xf>
    <xf numFmtId="0" fontId="22" fillId="0" borderId="7" xfId="19" applyFont="1" applyBorder="1" applyAlignment="1">
      <alignment horizontal="left" vertical="top" wrapText="1"/>
    </xf>
    <xf numFmtId="0" fontId="22" fillId="0" borderId="8" xfId="19" applyFont="1" applyBorder="1" applyAlignment="1">
      <alignment horizontal="left" vertical="top" wrapText="1"/>
    </xf>
    <xf numFmtId="0" fontId="22" fillId="0" borderId="0" xfId="19" applyFont="1" applyAlignment="1">
      <alignment horizontal="left" vertical="top" wrapText="1"/>
    </xf>
    <xf numFmtId="0" fontId="23" fillId="3" borderId="9" xfId="19" applyFont="1" applyFill="1" applyBorder="1" applyAlignment="1">
      <alignment horizontal="left" vertical="center" wrapText="1"/>
    </xf>
    <xf numFmtId="0" fontId="23" fillId="3" borderId="10" xfId="19" applyFont="1" applyFill="1" applyBorder="1" applyAlignment="1">
      <alignment horizontal="center" vertical="center" wrapText="1"/>
    </xf>
    <xf numFmtId="0" fontId="23" fillId="3" borderId="10" xfId="19" applyFont="1" applyFill="1" applyBorder="1" applyAlignment="1">
      <alignment horizontal="right" vertical="top" wrapText="1"/>
    </xf>
    <xf numFmtId="0" fontId="23" fillId="3" borderId="11" xfId="19" applyFont="1" applyFill="1" applyBorder="1" applyAlignment="1">
      <alignment horizontal="right" vertical="top" wrapText="1"/>
    </xf>
    <xf numFmtId="0" fontId="23" fillId="3" borderId="8" xfId="19" applyFont="1" applyFill="1" applyBorder="1" applyAlignment="1">
      <alignment horizontal="left" vertical="center" wrapText="1"/>
    </xf>
    <xf numFmtId="0" fontId="23" fillId="3" borderId="0" xfId="19" applyFont="1" applyFill="1" applyBorder="1" applyAlignment="1">
      <alignment horizontal="center" vertical="center" wrapText="1"/>
    </xf>
    <xf numFmtId="0" fontId="23" fillId="3" borderId="0" xfId="19" applyFont="1" applyFill="1" applyBorder="1" applyAlignment="1">
      <alignment horizontal="right" vertical="top" wrapText="1"/>
    </xf>
    <xf numFmtId="0" fontId="22" fillId="0" borderId="8" xfId="19" applyFont="1" applyFill="1" applyBorder="1" applyAlignment="1">
      <alignment horizontal="left" vertical="top" wrapText="1"/>
    </xf>
    <xf numFmtId="0" fontId="22" fillId="0" borderId="0" xfId="19" applyFont="1" applyFill="1" applyBorder="1" applyAlignment="1">
      <alignment horizontal="left" vertical="top" wrapText="1"/>
    </xf>
    <xf numFmtId="176" fontId="3" fillId="0" borderId="0" xfId="11" applyNumberFormat="1"/>
    <xf numFmtId="0" fontId="3" fillId="0" borderId="0" xfId="19" applyAlignment="1">
      <alignment horizontal="left"/>
    </xf>
    <xf numFmtId="3" fontId="2" fillId="0" borderId="12" xfId="19" applyNumberFormat="1" applyFont="1" applyBorder="1" applyAlignment="1">
      <alignment horizontal="center"/>
    </xf>
    <xf numFmtId="0" fontId="3" fillId="0" borderId="13" xfId="19" applyBorder="1"/>
    <xf numFmtId="3" fontId="3" fillId="0" borderId="0" xfId="19" quotePrefix="1" applyNumberFormat="1"/>
    <xf numFmtId="3" fontId="3" fillId="0" borderId="0" xfId="32" applyNumberFormat="1" applyFont="1"/>
    <xf numFmtId="3" fontId="20" fillId="0" borderId="0" xfId="32" applyNumberFormat="1"/>
    <xf numFmtId="0" fontId="3" fillId="0" borderId="14" xfId="19" applyBorder="1"/>
    <xf numFmtId="0" fontId="3" fillId="0" borderId="14" xfId="19" applyFill="1" applyBorder="1"/>
    <xf numFmtId="175" fontId="3" fillId="0" borderId="0" xfId="19" applyNumberFormat="1"/>
    <xf numFmtId="175" fontId="3" fillId="0" borderId="0" xfId="19" applyNumberFormat="1" applyFont="1"/>
    <xf numFmtId="0" fontId="3" fillId="0" borderId="15" xfId="19" applyBorder="1"/>
    <xf numFmtId="3" fontId="2" fillId="0" borderId="0" xfId="19" applyNumberFormat="1" applyFont="1"/>
    <xf numFmtId="0" fontId="3" fillId="0" borderId="16" xfId="19" applyBorder="1"/>
    <xf numFmtId="0" fontId="3" fillId="0" borderId="16" xfId="19" applyBorder="1" applyAlignment="1">
      <alignment horizontal="right"/>
    </xf>
    <xf numFmtId="0" fontId="3" fillId="0" borderId="17" xfId="19" applyBorder="1" applyAlignment="1">
      <alignment horizontal="right"/>
    </xf>
    <xf numFmtId="0" fontId="3" fillId="0" borderId="17" xfId="19" applyBorder="1"/>
    <xf numFmtId="0" fontId="3" fillId="0" borderId="18" xfId="19" applyBorder="1" applyAlignment="1">
      <alignment horizontal="right"/>
    </xf>
    <xf numFmtId="0" fontId="3" fillId="0" borderId="18" xfId="19" applyBorder="1"/>
    <xf numFmtId="0" fontId="3" fillId="0" borderId="0" xfId="19" applyAlignment="1">
      <alignment horizontal="right"/>
    </xf>
    <xf numFmtId="0" fontId="3" fillId="0" borderId="19" xfId="19" applyBorder="1"/>
    <xf numFmtId="0" fontId="3" fillId="0" borderId="20" xfId="19" applyBorder="1"/>
    <xf numFmtId="0" fontId="3" fillId="0" borderId="21" xfId="19" applyBorder="1"/>
    <xf numFmtId="176" fontId="3" fillId="0" borderId="0" xfId="11" applyNumberFormat="1" applyBorder="1"/>
    <xf numFmtId="176" fontId="3" fillId="0" borderId="3" xfId="11" applyNumberFormat="1" applyBorder="1"/>
    <xf numFmtId="176" fontId="3" fillId="0" borderId="4" xfId="11" applyNumberFormat="1" applyBorder="1"/>
    <xf numFmtId="176" fontId="3" fillId="0" borderId="5" xfId="11" applyNumberFormat="1" applyBorder="1"/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15" borderId="23" xfId="0" applyFont="1" applyFill="1" applyBorder="1"/>
    <xf numFmtId="0" fontId="2" fillId="16" borderId="23" xfId="0" applyFont="1" applyFill="1" applyBorder="1"/>
    <xf numFmtId="0" fontId="1" fillId="15" borderId="23" xfId="0" applyFont="1" applyFill="1" applyBorder="1"/>
    <xf numFmtId="1" fontId="0" fillId="0" borderId="0" xfId="0" applyNumberFormat="1"/>
    <xf numFmtId="0" fontId="32" fillId="0" borderId="0" xfId="44" applyFont="1"/>
    <xf numFmtId="0" fontId="30" fillId="17" borderId="0" xfId="43"/>
    <xf numFmtId="9" fontId="30" fillId="17" borderId="0" xfId="43" applyNumberFormat="1"/>
    <xf numFmtId="169" fontId="0" fillId="0" borderId="0" xfId="0" applyNumberFormat="1"/>
    <xf numFmtId="0" fontId="17" fillId="14" borderId="0" xfId="35" applyFont="1" applyFill="1" applyBorder="1" applyAlignment="1">
      <alignment horizontal="center" vertical="top" wrapText="1"/>
    </xf>
    <xf numFmtId="0" fontId="19" fillId="14" borderId="0" xfId="35" applyFont="1" applyFill="1" applyBorder="1" applyAlignment="1">
      <alignment horizontal="center" vertical="top" wrapText="1"/>
    </xf>
    <xf numFmtId="0" fontId="19" fillId="4" borderId="0" xfId="35" applyFont="1" applyFill="1" applyAlignment="1">
      <alignment horizontal="center"/>
    </xf>
    <xf numFmtId="0" fontId="17" fillId="14" borderId="0" xfId="35" applyFont="1" applyFill="1" applyBorder="1" applyAlignment="1">
      <alignment horizontal="center"/>
    </xf>
    <xf numFmtId="0" fontId="19" fillId="14" borderId="0" xfId="35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5">
    <cellStyle name="40% - Accent3 2" xfId="1"/>
    <cellStyle name="Accent2 2" xfId="2"/>
    <cellStyle name="Accent3 2" xfId="3"/>
    <cellStyle name="Accent4 2" xfId="4"/>
    <cellStyle name="Accent5 2" xfId="5"/>
    <cellStyle name="Bad 2" xfId="6"/>
    <cellStyle name="Comma" xfId="7" builtinId="3"/>
    <cellStyle name="Comma 2" xfId="8"/>
    <cellStyle name="Comma 3" xfId="9"/>
    <cellStyle name="Comma 4" xfId="10"/>
    <cellStyle name="Comma_EPAUS9r_10_AQREG_v0.1" xfId="11"/>
    <cellStyle name="Comma_US9r Markal Biomass Resource Data-export" xfId="12"/>
    <cellStyle name="Date" xfId="13"/>
    <cellStyle name="Fixed" xfId="14"/>
    <cellStyle name="Good" xfId="43" builtinId="26"/>
    <cellStyle name="Heading1" xfId="15"/>
    <cellStyle name="Heading2" xfId="16"/>
    <cellStyle name="Input 2" xfId="17"/>
    <cellStyle name="Neutral 2" xfId="18"/>
    <cellStyle name="Normal" xfId="0" builtinId="0"/>
    <cellStyle name="Normal 10" xfId="42"/>
    <cellStyle name="Normal 2" xfId="19"/>
    <cellStyle name="Normal 2 2" xfId="20"/>
    <cellStyle name="Normal 2 2 2" xfId="21"/>
    <cellStyle name="Normal 2 3" xfId="22"/>
    <cellStyle name="Normal 3" xfId="23"/>
    <cellStyle name="Normal 3 2" xfId="24"/>
    <cellStyle name="Normal 4" xfId="25"/>
    <cellStyle name="Normal 4 2" xfId="26"/>
    <cellStyle name="Normal 4 3" xfId="27"/>
    <cellStyle name="Normal 5" xfId="28"/>
    <cellStyle name="Normal 5 2" xfId="29"/>
    <cellStyle name="Normal 6" xfId="30"/>
    <cellStyle name="Normal 6 2" xfId="31"/>
    <cellStyle name="Normal_2015Base_ST" xfId="32"/>
    <cellStyle name="Normal_Conv" xfId="33"/>
    <cellStyle name="Normal_conversion factors" xfId="34"/>
    <cellStyle name="Normal_Data Improvement Calcs" xfId="35"/>
    <cellStyle name="Normal_EPAUS9r_08_SRC_Coal_v0.1a" xfId="36"/>
    <cellStyle name="Normale_Scen_UC_IND-StrucConst" xfId="44"/>
    <cellStyle name="Percent 2" xfId="37"/>
    <cellStyle name="Percent 3" xfId="38"/>
    <cellStyle name="Percent 4" xfId="39"/>
    <cellStyle name="Total" xfId="40" builtinId="25" customBuiltin="1"/>
    <cellStyle name="Total 2" xfId="41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6.emf"/><Relationship Id="rId2" Type="http://schemas.openxmlformats.org/officeDocument/2006/relationships/image" Target="../media/image11.emf"/><Relationship Id="rId1" Type="http://schemas.openxmlformats.org/officeDocument/2006/relationships/image" Target="../media/image12.emf"/><Relationship Id="rId6" Type="http://schemas.openxmlformats.org/officeDocument/2006/relationships/image" Target="../media/image7.emf"/><Relationship Id="rId5" Type="http://schemas.openxmlformats.org/officeDocument/2006/relationships/image" Target="../media/image8.emf"/><Relationship Id="rId4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3" Type="http://schemas.openxmlformats.org/officeDocument/2006/relationships/image" Target="../media/image18.emf"/><Relationship Id="rId7" Type="http://schemas.openxmlformats.org/officeDocument/2006/relationships/image" Target="../media/image14.emf"/><Relationship Id="rId2" Type="http://schemas.openxmlformats.org/officeDocument/2006/relationships/image" Target="../media/image19.emf"/><Relationship Id="rId1" Type="http://schemas.openxmlformats.org/officeDocument/2006/relationships/image" Target="../media/image20.emf"/><Relationship Id="rId6" Type="http://schemas.openxmlformats.org/officeDocument/2006/relationships/image" Target="../media/image15.emf"/><Relationship Id="rId5" Type="http://schemas.openxmlformats.org/officeDocument/2006/relationships/image" Target="../media/image16.emf"/><Relationship Id="rId4" Type="http://schemas.openxmlformats.org/officeDocument/2006/relationships/image" Target="../media/image1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4.emf"/><Relationship Id="rId1" Type="http://schemas.openxmlformats.org/officeDocument/2006/relationships/image" Target="../media/image25.emf"/><Relationship Id="rId5" Type="http://schemas.openxmlformats.org/officeDocument/2006/relationships/image" Target="../media/image21.emf"/><Relationship Id="rId4" Type="http://schemas.openxmlformats.org/officeDocument/2006/relationships/image" Target="../media/image22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image" Target="../media/image28.emf"/><Relationship Id="rId1" Type="http://schemas.openxmlformats.org/officeDocument/2006/relationships/image" Target="../media/image29.emf"/><Relationship Id="rId4" Type="http://schemas.openxmlformats.org/officeDocument/2006/relationships/image" Target="../media/image26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3.emf"/><Relationship Id="rId1" Type="http://schemas.openxmlformats.org/officeDocument/2006/relationships/image" Target="../media/image34.emf"/><Relationship Id="rId5" Type="http://schemas.openxmlformats.org/officeDocument/2006/relationships/image" Target="../media/image30.emf"/><Relationship Id="rId4" Type="http://schemas.openxmlformats.org/officeDocument/2006/relationships/image" Target="../media/image31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9.emf"/><Relationship Id="rId7" Type="http://schemas.openxmlformats.org/officeDocument/2006/relationships/image" Target="../media/image35.emf"/><Relationship Id="rId2" Type="http://schemas.openxmlformats.org/officeDocument/2006/relationships/image" Target="../media/image40.emf"/><Relationship Id="rId1" Type="http://schemas.openxmlformats.org/officeDocument/2006/relationships/image" Target="../media/image41.emf"/><Relationship Id="rId6" Type="http://schemas.openxmlformats.org/officeDocument/2006/relationships/image" Target="../media/image36.emf"/><Relationship Id="rId5" Type="http://schemas.openxmlformats.org/officeDocument/2006/relationships/image" Target="../media/image37.emf"/><Relationship Id="rId4" Type="http://schemas.openxmlformats.org/officeDocument/2006/relationships/image" Target="../media/image38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5.emf"/><Relationship Id="rId2" Type="http://schemas.openxmlformats.org/officeDocument/2006/relationships/image" Target="../media/image46.emf"/><Relationship Id="rId1" Type="http://schemas.openxmlformats.org/officeDocument/2006/relationships/image" Target="../media/image47.emf"/><Relationship Id="rId6" Type="http://schemas.openxmlformats.org/officeDocument/2006/relationships/image" Target="../media/image42.emf"/><Relationship Id="rId5" Type="http://schemas.openxmlformats.org/officeDocument/2006/relationships/image" Target="../media/image43.emf"/><Relationship Id="rId4" Type="http://schemas.openxmlformats.org/officeDocument/2006/relationships/image" Target="../media/image44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52.emf"/><Relationship Id="rId1" Type="http://schemas.openxmlformats.org/officeDocument/2006/relationships/image" Target="../media/image53.emf"/><Relationship Id="rId6" Type="http://schemas.openxmlformats.org/officeDocument/2006/relationships/image" Target="../media/image48.emf"/><Relationship Id="rId5" Type="http://schemas.openxmlformats.org/officeDocument/2006/relationships/image" Target="../media/image49.emf"/><Relationship Id="rId4" Type="http://schemas.openxmlformats.org/officeDocument/2006/relationships/image" Target="../media/image50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8.emf"/><Relationship Id="rId7" Type="http://schemas.openxmlformats.org/officeDocument/2006/relationships/image" Target="../media/image54.emf"/><Relationship Id="rId2" Type="http://schemas.openxmlformats.org/officeDocument/2006/relationships/image" Target="../media/image59.emf"/><Relationship Id="rId1" Type="http://schemas.openxmlformats.org/officeDocument/2006/relationships/image" Target="../media/image60.emf"/><Relationship Id="rId6" Type="http://schemas.openxmlformats.org/officeDocument/2006/relationships/image" Target="../media/image55.emf"/><Relationship Id="rId5" Type="http://schemas.openxmlformats.org/officeDocument/2006/relationships/image" Target="../media/image56.emf"/><Relationship Id="rId4" Type="http://schemas.openxmlformats.org/officeDocument/2006/relationships/image" Target="../media/image57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3.emf"/><Relationship Id="rId2" Type="http://schemas.openxmlformats.org/officeDocument/2006/relationships/image" Target="../media/image64.emf"/><Relationship Id="rId1" Type="http://schemas.openxmlformats.org/officeDocument/2006/relationships/image" Target="../media/image65.emf"/><Relationship Id="rId5" Type="http://schemas.openxmlformats.org/officeDocument/2006/relationships/image" Target="../media/image61.emf"/><Relationship Id="rId4" Type="http://schemas.openxmlformats.org/officeDocument/2006/relationships/image" Target="../media/image62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67.emf"/><Relationship Id="rId2" Type="http://schemas.openxmlformats.org/officeDocument/2006/relationships/image" Target="../media/image68.emf"/><Relationship Id="rId1" Type="http://schemas.openxmlformats.org/officeDocument/2006/relationships/image" Target="../media/image69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</xdr:colOff>
          <xdr:row>4</xdr:row>
          <xdr:rowOff>15240</xdr:rowOff>
        </xdr:from>
        <xdr:to>
          <xdr:col>5</xdr:col>
          <xdr:colOff>1813560</xdr:colOff>
          <xdr:row>5</xdr:row>
          <xdr:rowOff>83820</xdr:rowOff>
        </xdr:to>
        <xdr:sp macro="" textlink="">
          <xdr:nvSpPr>
            <xdr:cNvPr id="56321" name="cmdTechnologySets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0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121920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6322" name="cmdCheckTechnologiesSheet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00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15240</xdr:rowOff>
        </xdr:from>
        <xdr:to>
          <xdr:col>3</xdr:col>
          <xdr:colOff>647700</xdr:colOff>
          <xdr:row>5</xdr:row>
          <xdr:rowOff>83820</xdr:rowOff>
        </xdr:to>
        <xdr:sp macro="" textlink="">
          <xdr:nvSpPr>
            <xdr:cNvPr id="56323" name="cmdTACTUnit" hidden="1">
              <a:extLst>
                <a:ext uri="{63B3BB69-23CF-44E3-9099-C40C66FF867C}">
                  <a14:compatExt spid="_x0000_s56323"/>
                </a:ext>
                <a:ext uri="{FF2B5EF4-FFF2-40B4-BE49-F238E27FC236}">
                  <a16:creationId xmlns:a16="http://schemas.microsoft.com/office/drawing/2014/main" id="{00000000-0008-0000-0000-00000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15240</xdr:rowOff>
        </xdr:from>
        <xdr:to>
          <xdr:col>4</xdr:col>
          <xdr:colOff>647700</xdr:colOff>
          <xdr:row>5</xdr:row>
          <xdr:rowOff>83820</xdr:rowOff>
        </xdr:to>
        <xdr:sp macro="" textlink="">
          <xdr:nvSpPr>
            <xdr:cNvPr id="56324" name="cmdTCAPUnit" hidden="1">
              <a:extLst>
                <a:ext uri="{63B3BB69-23CF-44E3-9099-C40C66FF867C}">
                  <a14:compatExt spid="_x0000_s56324"/>
                </a:ext>
                <a:ext uri="{FF2B5EF4-FFF2-40B4-BE49-F238E27FC236}">
                  <a16:creationId xmlns:a16="http://schemas.microsoft.com/office/drawing/2014/main" id="{00000000-0008-0000-0000-00000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</xdr:row>
          <xdr:rowOff>121920</xdr:rowOff>
        </xdr:from>
        <xdr:to>
          <xdr:col>4</xdr:col>
          <xdr:colOff>198120</xdr:colOff>
          <xdr:row>3</xdr:row>
          <xdr:rowOff>160020</xdr:rowOff>
        </xdr:to>
        <xdr:sp macro="" textlink="">
          <xdr:nvSpPr>
            <xdr:cNvPr id="56325" name="cmdRefreshUnits" hidden="1">
              <a:extLst>
                <a:ext uri="{63B3BB69-23CF-44E3-9099-C40C66FF867C}">
                  <a14:compatExt spid="_x0000_s56325"/>
                </a:ext>
                <a:ext uri="{FF2B5EF4-FFF2-40B4-BE49-F238E27FC236}">
                  <a16:creationId xmlns:a16="http://schemas.microsoft.com/office/drawing/2014/main" id="{00000000-0008-0000-0000-000005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76200</xdr:rowOff>
        </xdr:from>
        <xdr:to>
          <xdr:col>4</xdr:col>
          <xdr:colOff>982980</xdr:colOff>
          <xdr:row>4</xdr:row>
          <xdr:rowOff>99060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1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137160</xdr:rowOff>
        </xdr:from>
        <xdr:to>
          <xdr:col>4</xdr:col>
          <xdr:colOff>982980</xdr:colOff>
          <xdr:row>5</xdr:row>
          <xdr:rowOff>160020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1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4</xdr:row>
          <xdr:rowOff>137160</xdr:rowOff>
        </xdr:from>
        <xdr:to>
          <xdr:col>4</xdr:col>
          <xdr:colOff>1775460</xdr:colOff>
          <xdr:row>5</xdr:row>
          <xdr:rowOff>160020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1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3</xdr:row>
          <xdr:rowOff>76200</xdr:rowOff>
        </xdr:from>
        <xdr:to>
          <xdr:col>4</xdr:col>
          <xdr:colOff>1775460</xdr:colOff>
          <xdr:row>4</xdr:row>
          <xdr:rowOff>99060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1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114300</xdr:rowOff>
        </xdr:from>
        <xdr:to>
          <xdr:col>0</xdr:col>
          <xdr:colOff>662940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1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137160</xdr:rowOff>
        </xdr:from>
        <xdr:to>
          <xdr:col>3</xdr:col>
          <xdr:colOff>670560</xdr:colOff>
          <xdr:row>5</xdr:row>
          <xdr:rowOff>160020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1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</xdr:colOff>
          <xdr:row>2</xdr:row>
          <xdr:rowOff>91440</xdr:rowOff>
        </xdr:from>
        <xdr:to>
          <xdr:col>3</xdr:col>
          <xdr:colOff>609600</xdr:colOff>
          <xdr:row>4</xdr:row>
          <xdr:rowOff>83820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1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76200</xdr:rowOff>
        </xdr:from>
        <xdr:to>
          <xdr:col>4</xdr:col>
          <xdr:colOff>982980</xdr:colOff>
          <xdr:row>4</xdr:row>
          <xdr:rowOff>99060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137160</xdr:rowOff>
        </xdr:from>
        <xdr:to>
          <xdr:col>4</xdr:col>
          <xdr:colOff>982980</xdr:colOff>
          <xdr:row>5</xdr:row>
          <xdr:rowOff>160020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4</xdr:row>
          <xdr:rowOff>137160</xdr:rowOff>
        </xdr:from>
        <xdr:to>
          <xdr:col>4</xdr:col>
          <xdr:colOff>1775460</xdr:colOff>
          <xdr:row>5</xdr:row>
          <xdr:rowOff>160020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3</xdr:row>
          <xdr:rowOff>76200</xdr:rowOff>
        </xdr:from>
        <xdr:to>
          <xdr:col>4</xdr:col>
          <xdr:colOff>1775460</xdr:colOff>
          <xdr:row>4</xdr:row>
          <xdr:rowOff>99060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114300</xdr:rowOff>
        </xdr:from>
        <xdr:to>
          <xdr:col>0</xdr:col>
          <xdr:colOff>662940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137160</xdr:rowOff>
        </xdr:from>
        <xdr:to>
          <xdr:col>3</xdr:col>
          <xdr:colOff>670560</xdr:colOff>
          <xdr:row>5</xdr:row>
          <xdr:rowOff>160020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</xdr:colOff>
          <xdr:row>2</xdr:row>
          <xdr:rowOff>91440</xdr:rowOff>
        </xdr:from>
        <xdr:to>
          <xdr:col>3</xdr:col>
          <xdr:colOff>609600</xdr:colOff>
          <xdr:row>4</xdr:row>
          <xdr:rowOff>83820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434340</xdr:colOff>
          <xdr:row>2</xdr:row>
          <xdr:rowOff>0</xdr:rowOff>
        </xdr:from>
        <xdr:to>
          <xdr:col>4</xdr:col>
          <xdr:colOff>1409700</xdr:colOff>
          <xdr:row>3</xdr:row>
          <xdr:rowOff>68580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</xdr:colOff>
          <xdr:row>4</xdr:row>
          <xdr:rowOff>15240</xdr:rowOff>
        </xdr:from>
        <xdr:to>
          <xdr:col>5</xdr:col>
          <xdr:colOff>1813560</xdr:colOff>
          <xdr:row>5</xdr:row>
          <xdr:rowOff>83820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121920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15240</xdr:rowOff>
        </xdr:from>
        <xdr:to>
          <xdr:col>3</xdr:col>
          <xdr:colOff>647700</xdr:colOff>
          <xdr:row>5</xdr:row>
          <xdr:rowOff>83820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15240</xdr:rowOff>
        </xdr:from>
        <xdr:to>
          <xdr:col>4</xdr:col>
          <xdr:colOff>647700</xdr:colOff>
          <xdr:row>5</xdr:row>
          <xdr:rowOff>83820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</xdr:row>
          <xdr:rowOff>121920</xdr:rowOff>
        </xdr:from>
        <xdr:to>
          <xdr:col>4</xdr:col>
          <xdr:colOff>198120</xdr:colOff>
          <xdr:row>3</xdr:row>
          <xdr:rowOff>160020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4</xdr:row>
          <xdr:rowOff>15240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4</xdr:row>
          <xdr:rowOff>7620</xdr:rowOff>
        </xdr:from>
        <xdr:to>
          <xdr:col>3</xdr:col>
          <xdr:colOff>571500</xdr:colOff>
          <xdr:row>5</xdr:row>
          <xdr:rowOff>30480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2</xdr:row>
          <xdr:rowOff>38100</xdr:rowOff>
        </xdr:from>
        <xdr:to>
          <xdr:col>3</xdr:col>
          <xdr:colOff>571500</xdr:colOff>
          <xdr:row>4</xdr:row>
          <xdr:rowOff>7620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4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15240</xdr:rowOff>
        </xdr:from>
        <xdr:to>
          <xdr:col>2</xdr:col>
          <xdr:colOff>1112520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15240</xdr:rowOff>
        </xdr:from>
        <xdr:to>
          <xdr:col>0</xdr:col>
          <xdr:colOff>693420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1127760</xdr:colOff>
          <xdr:row>2</xdr:row>
          <xdr:rowOff>60960</xdr:rowOff>
        </xdr:from>
        <xdr:to>
          <xdr:col>3</xdr:col>
          <xdr:colOff>38100</xdr:colOff>
          <xdr:row>3</xdr:row>
          <xdr:rowOff>243840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</xdr:row>
          <xdr:rowOff>121920</xdr:rowOff>
        </xdr:from>
        <xdr:to>
          <xdr:col>2</xdr:col>
          <xdr:colOff>1546860</xdr:colOff>
          <xdr:row>3</xdr:row>
          <xdr:rowOff>190500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114300</xdr:rowOff>
        </xdr:from>
        <xdr:to>
          <xdr:col>4</xdr:col>
          <xdr:colOff>594360</xdr:colOff>
          <xdr:row>3</xdr:row>
          <xdr:rowOff>182880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114300</xdr:rowOff>
        </xdr:from>
        <xdr:to>
          <xdr:col>5</xdr:col>
          <xdr:colOff>701040</xdr:colOff>
          <xdr:row>3</xdr:row>
          <xdr:rowOff>182880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160020</xdr:rowOff>
        </xdr:from>
        <xdr:to>
          <xdr:col>0</xdr:col>
          <xdr:colOff>693420</xdr:colOff>
          <xdr:row>4</xdr:row>
          <xdr:rowOff>182880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22860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121920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15240</xdr:rowOff>
        </xdr:from>
        <xdr:to>
          <xdr:col>4</xdr:col>
          <xdr:colOff>15240</xdr:colOff>
          <xdr:row>4</xdr:row>
          <xdr:rowOff>7620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</xdr:colOff>
          <xdr:row>3</xdr:row>
          <xdr:rowOff>0</xdr:rowOff>
        </xdr:from>
        <xdr:to>
          <xdr:col>2</xdr:col>
          <xdr:colOff>800100</xdr:colOff>
          <xdr:row>4</xdr:row>
          <xdr:rowOff>15240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121920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7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807720</xdr:colOff>
          <xdr:row>2</xdr:row>
          <xdr:rowOff>22860</xdr:rowOff>
        </xdr:from>
        <xdr:to>
          <xdr:col>3</xdr:col>
          <xdr:colOff>160020</xdr:colOff>
          <xdr:row>4</xdr:row>
          <xdr:rowOff>15240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7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</xdr:colOff>
          <xdr:row>3</xdr:row>
          <xdr:rowOff>0</xdr:rowOff>
        </xdr:from>
        <xdr:to>
          <xdr:col>2</xdr:col>
          <xdr:colOff>800100</xdr:colOff>
          <xdr:row>4</xdr:row>
          <xdr:rowOff>15240</xdr:rowOff>
        </xdr:to>
        <xdr:sp macro="" textlink="">
          <xdr:nvSpPr>
            <xdr:cNvPr id="81921" name="cmdConstrNameAndDesc" hidden="1">
              <a:extLst>
                <a:ext uri="{63B3BB69-23CF-44E3-9099-C40C66FF867C}">
                  <a14:compatExt spid="_x0000_s81921"/>
                </a:ext>
                <a:ext uri="{FF2B5EF4-FFF2-40B4-BE49-F238E27FC236}">
                  <a16:creationId xmlns:a16="http://schemas.microsoft.com/office/drawing/2014/main" id="{00000000-0008-0000-0C00-000001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81922" name="cmdTechName" hidden="1">
              <a:extLst>
                <a:ext uri="{63B3BB69-23CF-44E3-9099-C40C66FF867C}">
                  <a14:compatExt spid="_x0000_s81922"/>
                </a:ext>
                <a:ext uri="{FF2B5EF4-FFF2-40B4-BE49-F238E27FC236}">
                  <a16:creationId xmlns:a16="http://schemas.microsoft.com/office/drawing/2014/main" id="{00000000-0008-0000-0C00-000002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81923" name="cmdAddParameter" hidden="1">
              <a:extLst>
                <a:ext uri="{63B3BB69-23CF-44E3-9099-C40C66FF867C}">
                  <a14:compatExt spid="_x0000_s81923"/>
                </a:ext>
                <a:ext uri="{FF2B5EF4-FFF2-40B4-BE49-F238E27FC236}">
                  <a16:creationId xmlns:a16="http://schemas.microsoft.com/office/drawing/2014/main" id="{00000000-0008-0000-0C00-000003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121920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81924" name="cmdCheckConstrDataSheet" hidden="1">
              <a:extLst>
                <a:ext uri="{63B3BB69-23CF-44E3-9099-C40C66FF867C}">
                  <a14:compatExt spid="_x0000_s81924"/>
                </a:ext>
                <a:ext uri="{FF2B5EF4-FFF2-40B4-BE49-F238E27FC236}">
                  <a16:creationId xmlns:a16="http://schemas.microsoft.com/office/drawing/2014/main" id="{00000000-0008-0000-0C00-000004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81925" name="cmdAddParamQualifier" hidden="1">
              <a:extLst>
                <a:ext uri="{63B3BB69-23CF-44E3-9099-C40C66FF867C}">
                  <a14:compatExt spid="_x0000_s81925"/>
                </a:ext>
                <a:ext uri="{FF2B5EF4-FFF2-40B4-BE49-F238E27FC236}">
                  <a16:creationId xmlns:a16="http://schemas.microsoft.com/office/drawing/2014/main" id="{00000000-0008-0000-0C00-000005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807720</xdr:colOff>
          <xdr:row>2</xdr:row>
          <xdr:rowOff>22860</xdr:rowOff>
        </xdr:from>
        <xdr:to>
          <xdr:col>3</xdr:col>
          <xdr:colOff>160020</xdr:colOff>
          <xdr:row>4</xdr:row>
          <xdr:rowOff>15240</xdr:rowOff>
        </xdr:to>
        <xdr:sp macro="" textlink="">
          <xdr:nvSpPr>
            <xdr:cNvPr id="81926" name="cmdRefreshUnits" hidden="1">
              <a:extLst>
                <a:ext uri="{63B3BB69-23CF-44E3-9099-C40C66FF867C}">
                  <a14:compatExt spid="_x0000_s81926"/>
                </a:ext>
                <a:ext uri="{FF2B5EF4-FFF2-40B4-BE49-F238E27FC236}">
                  <a16:creationId xmlns:a16="http://schemas.microsoft.com/office/drawing/2014/main" id="{00000000-0008-0000-0C00-000006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</xdr:row>
          <xdr:rowOff>121920</xdr:rowOff>
        </xdr:from>
        <xdr:to>
          <xdr:col>2</xdr:col>
          <xdr:colOff>1546860</xdr:colOff>
          <xdr:row>3</xdr:row>
          <xdr:rowOff>190500</xdr:rowOff>
        </xdr:to>
        <xdr:sp macro="" textlink="">
          <xdr:nvSpPr>
            <xdr:cNvPr id="64513" name="cmdTechNameAndDesc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0D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114300</xdr:rowOff>
        </xdr:from>
        <xdr:to>
          <xdr:col>4</xdr:col>
          <xdr:colOff>594360</xdr:colOff>
          <xdr:row>3</xdr:row>
          <xdr:rowOff>182880</xdr:rowOff>
        </xdr:to>
        <xdr:sp macro="" textlink="">
          <xdr:nvSpPr>
            <xdr:cNvPr id="64514" name="cmdCommIN" hidden="1">
              <a:extLst>
                <a:ext uri="{63B3BB69-23CF-44E3-9099-C40C66FF867C}">
                  <a14:compatExt spid="_x0000_s64514"/>
                </a:ext>
                <a:ext uri="{FF2B5EF4-FFF2-40B4-BE49-F238E27FC236}">
                  <a16:creationId xmlns:a16="http://schemas.microsoft.com/office/drawing/2014/main" id="{00000000-0008-0000-0D00-00000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114300</xdr:rowOff>
        </xdr:from>
        <xdr:to>
          <xdr:col>5</xdr:col>
          <xdr:colOff>701040</xdr:colOff>
          <xdr:row>3</xdr:row>
          <xdr:rowOff>182880</xdr:rowOff>
        </xdr:to>
        <xdr:sp macro="" textlink="">
          <xdr:nvSpPr>
            <xdr:cNvPr id="64515" name="cmdCommOUT" hidden="1">
              <a:extLst>
                <a:ext uri="{63B3BB69-23CF-44E3-9099-C40C66FF867C}">
                  <a14:compatExt spid="_x0000_s64515"/>
                </a:ext>
                <a:ext uri="{FF2B5EF4-FFF2-40B4-BE49-F238E27FC236}">
                  <a16:creationId xmlns:a16="http://schemas.microsoft.com/office/drawing/2014/main" id="{00000000-0008-0000-0D00-000003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160020</xdr:rowOff>
        </xdr:from>
        <xdr:to>
          <xdr:col>0</xdr:col>
          <xdr:colOff>693420</xdr:colOff>
          <xdr:row>4</xdr:row>
          <xdr:rowOff>182880</xdr:rowOff>
        </xdr:to>
        <xdr:sp macro="" textlink="">
          <xdr:nvSpPr>
            <xdr:cNvPr id="64516" name="cmdAddParameter" hidden="1">
              <a:extLst>
                <a:ext uri="{63B3BB69-23CF-44E3-9099-C40C66FF867C}">
                  <a14:compatExt spid="_x0000_s64516"/>
                </a:ext>
                <a:ext uri="{FF2B5EF4-FFF2-40B4-BE49-F238E27FC236}">
                  <a16:creationId xmlns:a16="http://schemas.microsoft.com/office/drawing/2014/main" id="{00000000-0008-0000-0D00-00000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22860</xdr:rowOff>
        </xdr:to>
        <xdr:sp macro="" textlink="">
          <xdr:nvSpPr>
            <xdr:cNvPr id="64517" name="cmdAddParamQualifier" hidden="1">
              <a:extLst>
                <a:ext uri="{63B3BB69-23CF-44E3-9099-C40C66FF867C}">
                  <a14:compatExt spid="_x0000_s64517"/>
                </a:ext>
                <a:ext uri="{FF2B5EF4-FFF2-40B4-BE49-F238E27FC236}">
                  <a16:creationId xmlns:a16="http://schemas.microsoft.com/office/drawing/2014/main" id="{00000000-0008-0000-0D00-00000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121920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64518" name="cmdCheckTechDataSheet" hidden="1">
              <a:extLst>
                <a:ext uri="{63B3BB69-23CF-44E3-9099-C40C66FF867C}">
                  <a14:compatExt spid="_x0000_s64518"/>
                </a:ext>
                <a:ext uri="{FF2B5EF4-FFF2-40B4-BE49-F238E27FC236}">
                  <a16:creationId xmlns:a16="http://schemas.microsoft.com/office/drawing/2014/main" id="{00000000-0008-0000-0D00-000006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15240</xdr:rowOff>
        </xdr:from>
        <xdr:to>
          <xdr:col>4</xdr:col>
          <xdr:colOff>15240</xdr:colOff>
          <xdr:row>4</xdr:row>
          <xdr:rowOff>7620</xdr:rowOff>
        </xdr:to>
        <xdr:sp macro="" textlink="">
          <xdr:nvSpPr>
            <xdr:cNvPr id="64519" name="cmdRefreshUnits" hidden="1">
              <a:extLst>
                <a:ext uri="{63B3BB69-23CF-44E3-9099-C40C66FF867C}">
                  <a14:compatExt spid="_x0000_s64519"/>
                </a:ext>
                <a:ext uri="{FF2B5EF4-FFF2-40B4-BE49-F238E27FC236}">
                  <a16:creationId xmlns:a16="http://schemas.microsoft.com/office/drawing/2014/main" id="{00000000-0008-0000-0D00-000007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E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15240</xdr:rowOff>
        </xdr:from>
        <xdr:to>
          <xdr:col>2</xdr:col>
          <xdr:colOff>1112520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E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E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15240</xdr:rowOff>
        </xdr:from>
        <xdr:to>
          <xdr:col>0</xdr:col>
          <xdr:colOff>693420</xdr:colOff>
          <xdr:row>4</xdr:row>
          <xdr:rowOff>0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E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1127760</xdr:colOff>
          <xdr:row>2</xdr:row>
          <xdr:rowOff>60960</xdr:rowOff>
        </xdr:from>
        <xdr:to>
          <xdr:col>3</xdr:col>
          <xdr:colOff>38100</xdr:colOff>
          <xdr:row>3</xdr:row>
          <xdr:rowOff>243840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E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4</xdr:row>
          <xdr:rowOff>15240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60417" name="cmdConstraintSets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0F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60418" name="cmdCheckConstraintsSheet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0F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4</xdr:row>
          <xdr:rowOff>7620</xdr:rowOff>
        </xdr:from>
        <xdr:to>
          <xdr:col>3</xdr:col>
          <xdr:colOff>571500</xdr:colOff>
          <xdr:row>5</xdr:row>
          <xdr:rowOff>30480</xdr:rowOff>
        </xdr:to>
        <xdr:sp macro="" textlink="">
          <xdr:nvSpPr>
            <xdr:cNvPr id="60419" name="cmdConstraintUnit" hidden="1">
              <a:extLst>
                <a:ext uri="{63B3BB69-23CF-44E3-9099-C40C66FF867C}">
                  <a14:compatExt spid="_x0000_s60419"/>
                </a:ext>
                <a:ext uri="{FF2B5EF4-FFF2-40B4-BE49-F238E27FC236}">
                  <a16:creationId xmlns:a16="http://schemas.microsoft.com/office/drawing/2014/main" id="{00000000-0008-0000-0F00-000003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2</xdr:row>
          <xdr:rowOff>38100</xdr:rowOff>
        </xdr:from>
        <xdr:to>
          <xdr:col>3</xdr:col>
          <xdr:colOff>571500</xdr:colOff>
          <xdr:row>4</xdr:row>
          <xdr:rowOff>7620</xdr:rowOff>
        </xdr:to>
        <xdr:sp macro="" textlink="">
          <xdr:nvSpPr>
            <xdr:cNvPr id="60420" name="cmdRefreshUnits" hidden="1">
              <a:extLst>
                <a:ext uri="{63B3BB69-23CF-44E3-9099-C40C66FF867C}">
                  <a14:compatExt spid="_x0000_s60420"/>
                </a:ext>
                <a:ext uri="{FF2B5EF4-FFF2-40B4-BE49-F238E27FC236}">
                  <a16:creationId xmlns:a16="http://schemas.microsoft.com/office/drawing/2014/main" id="{00000000-0008-0000-0F00-000004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24</xdr:row>
      <xdr:rowOff>95250</xdr:rowOff>
    </xdr:from>
    <xdr:to>
      <xdr:col>11</xdr:col>
      <xdr:colOff>600075</xdr:colOff>
      <xdr:row>27</xdr:row>
      <xdr:rowOff>142875</xdr:rowOff>
    </xdr:to>
    <xdr:pic>
      <xdr:nvPicPr>
        <xdr:cNvPr id="85354" name="Picture 16">
          <a:extLst>
            <a:ext uri="{FF2B5EF4-FFF2-40B4-BE49-F238E27FC236}">
              <a16:creationId xmlns:a16="http://schemas.microsoft.com/office/drawing/2014/main" id="{00000000-0008-0000-1500-00006A4D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962400" y="3752850"/>
          <a:ext cx="5943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1019175</xdr:colOff>
      <xdr:row>25</xdr:row>
      <xdr:rowOff>85725</xdr:rowOff>
    </xdr:from>
    <xdr:to>
      <xdr:col>4</xdr:col>
      <xdr:colOff>0</xdr:colOff>
      <xdr:row>25</xdr:row>
      <xdr:rowOff>85725</xdr:rowOff>
    </xdr:to>
    <xdr:cxnSp macro="">
      <xdr:nvCxnSpPr>
        <xdr:cNvPr id="85355" name="Straight Arrow Connector 7">
          <a:extLst>
            <a:ext uri="{FF2B5EF4-FFF2-40B4-BE49-F238E27FC236}">
              <a16:creationId xmlns:a16="http://schemas.microsoft.com/office/drawing/2014/main" id="{00000000-0008-0000-1500-00006B4D0100}"/>
            </a:ext>
          </a:extLst>
        </xdr:cNvPr>
        <xdr:cNvCxnSpPr>
          <a:cxnSpLocks noChangeShapeType="1"/>
        </xdr:cNvCxnSpPr>
      </xdr:nvCxnSpPr>
      <xdr:spPr bwMode="auto">
        <a:xfrm rot="10800000">
          <a:off x="3219450" y="3933825"/>
          <a:ext cx="609600" cy="0"/>
        </a:xfrm>
        <a:prstGeom prst="straightConnector1">
          <a:avLst/>
        </a:prstGeom>
        <a:noFill/>
        <a:ln w="19050" algn="ctr">
          <a:solidFill>
            <a:srgbClr val="C00000"/>
          </a:solidFill>
          <a:round/>
          <a:headEnd/>
          <a:tailEnd type="arrow" w="med" len="med"/>
        </a:ln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rdodder$\EMODEL\China\Anhui\Scen4\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.xml"/><Relationship Id="rId13" Type="http://schemas.openxmlformats.org/officeDocument/2006/relationships/image" Target="../media/image10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12" Type="http://schemas.openxmlformats.org/officeDocument/2006/relationships/control" Target="../activeX/activeX10.xml"/><Relationship Id="rId17" Type="http://schemas.openxmlformats.org/officeDocument/2006/relationships/image" Target="../media/image12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.xml"/><Relationship Id="rId11" Type="http://schemas.openxmlformats.org/officeDocument/2006/relationships/image" Target="../media/image9.emf"/><Relationship Id="rId5" Type="http://schemas.openxmlformats.org/officeDocument/2006/relationships/image" Target="../media/image6.emf"/><Relationship Id="rId15" Type="http://schemas.openxmlformats.org/officeDocument/2006/relationships/image" Target="../media/image11.emf"/><Relationship Id="rId10" Type="http://schemas.openxmlformats.org/officeDocument/2006/relationships/control" Target="../activeX/activeX9.xml"/><Relationship Id="rId4" Type="http://schemas.openxmlformats.org/officeDocument/2006/relationships/control" Target="../activeX/activeX6.xml"/><Relationship Id="rId9" Type="http://schemas.openxmlformats.org/officeDocument/2006/relationships/image" Target="../media/image8.emf"/><Relationship Id="rId14" Type="http://schemas.openxmlformats.org/officeDocument/2006/relationships/control" Target="../activeX/activeX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17.emf"/><Relationship Id="rId18" Type="http://schemas.openxmlformats.org/officeDocument/2006/relationships/control" Target="../activeX/activeX2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12" Type="http://schemas.openxmlformats.org/officeDocument/2006/relationships/control" Target="../activeX/activeX17.xml"/><Relationship Id="rId17" Type="http://schemas.openxmlformats.org/officeDocument/2006/relationships/image" Target="../media/image19.emf"/><Relationship Id="rId2" Type="http://schemas.openxmlformats.org/officeDocument/2006/relationships/drawing" Target="../drawings/drawing3.xml"/><Relationship Id="rId16" Type="http://schemas.openxmlformats.org/officeDocument/2006/relationships/control" Target="../activeX/activeX19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5" Type="http://schemas.openxmlformats.org/officeDocument/2006/relationships/image" Target="../media/image18.emf"/><Relationship Id="rId10" Type="http://schemas.openxmlformats.org/officeDocument/2006/relationships/control" Target="../activeX/activeX16.xml"/><Relationship Id="rId19" Type="http://schemas.openxmlformats.org/officeDocument/2006/relationships/image" Target="../media/image20.emf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Relationship Id="rId14" Type="http://schemas.openxmlformats.org/officeDocument/2006/relationships/control" Target="../activeX/activeX1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7.xml"/><Relationship Id="rId13" Type="http://schemas.openxmlformats.org/officeDocument/2006/relationships/image" Target="../media/image39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6.emf"/><Relationship Id="rId12" Type="http://schemas.openxmlformats.org/officeDocument/2006/relationships/control" Target="../activeX/activeX39.xml"/><Relationship Id="rId17" Type="http://schemas.openxmlformats.org/officeDocument/2006/relationships/image" Target="../media/image41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1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6.xml"/><Relationship Id="rId11" Type="http://schemas.openxmlformats.org/officeDocument/2006/relationships/image" Target="../media/image38.emf"/><Relationship Id="rId5" Type="http://schemas.openxmlformats.org/officeDocument/2006/relationships/image" Target="../media/image35.emf"/><Relationship Id="rId15" Type="http://schemas.openxmlformats.org/officeDocument/2006/relationships/image" Target="../media/image40.emf"/><Relationship Id="rId10" Type="http://schemas.openxmlformats.org/officeDocument/2006/relationships/control" Target="../activeX/activeX38.xml"/><Relationship Id="rId4" Type="http://schemas.openxmlformats.org/officeDocument/2006/relationships/control" Target="../activeX/activeX35.xml"/><Relationship Id="rId9" Type="http://schemas.openxmlformats.org/officeDocument/2006/relationships/image" Target="../media/image37.emf"/><Relationship Id="rId14" Type="http://schemas.openxmlformats.org/officeDocument/2006/relationships/control" Target="../activeX/activeX40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5" Type="http://schemas.openxmlformats.org/officeDocument/2006/relationships/image" Target="../media/image47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Relationship Id="rId14" Type="http://schemas.openxmlformats.org/officeDocument/2006/relationships/control" Target="../activeX/activeX4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0.xml"/><Relationship Id="rId13" Type="http://schemas.openxmlformats.org/officeDocument/2006/relationships/image" Target="../media/image52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49.emf"/><Relationship Id="rId12" Type="http://schemas.openxmlformats.org/officeDocument/2006/relationships/control" Target="../activeX/activeX52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49.xml"/><Relationship Id="rId11" Type="http://schemas.openxmlformats.org/officeDocument/2006/relationships/image" Target="../media/image51.emf"/><Relationship Id="rId5" Type="http://schemas.openxmlformats.org/officeDocument/2006/relationships/image" Target="../media/image48.emf"/><Relationship Id="rId15" Type="http://schemas.openxmlformats.org/officeDocument/2006/relationships/image" Target="../media/image53.emf"/><Relationship Id="rId10" Type="http://schemas.openxmlformats.org/officeDocument/2006/relationships/control" Target="../activeX/activeX51.xml"/><Relationship Id="rId4" Type="http://schemas.openxmlformats.org/officeDocument/2006/relationships/control" Target="../activeX/activeX48.xml"/><Relationship Id="rId9" Type="http://schemas.openxmlformats.org/officeDocument/2006/relationships/image" Target="../media/image50.emf"/><Relationship Id="rId14" Type="http://schemas.openxmlformats.org/officeDocument/2006/relationships/control" Target="../activeX/activeX53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13" Type="http://schemas.openxmlformats.org/officeDocument/2006/relationships/image" Target="../media/image58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5.emf"/><Relationship Id="rId12" Type="http://schemas.openxmlformats.org/officeDocument/2006/relationships/control" Target="../activeX/activeX58.xml"/><Relationship Id="rId17" Type="http://schemas.openxmlformats.org/officeDocument/2006/relationships/image" Target="../media/image60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60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55.xml"/><Relationship Id="rId11" Type="http://schemas.openxmlformats.org/officeDocument/2006/relationships/image" Target="../media/image57.emf"/><Relationship Id="rId5" Type="http://schemas.openxmlformats.org/officeDocument/2006/relationships/image" Target="../media/image54.emf"/><Relationship Id="rId15" Type="http://schemas.openxmlformats.org/officeDocument/2006/relationships/image" Target="../media/image59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6.emf"/><Relationship Id="rId14" Type="http://schemas.openxmlformats.org/officeDocument/2006/relationships/control" Target="../activeX/activeX59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3.xml"/><Relationship Id="rId13" Type="http://schemas.openxmlformats.org/officeDocument/2006/relationships/image" Target="../media/image65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2.emf"/><Relationship Id="rId12" Type="http://schemas.openxmlformats.org/officeDocument/2006/relationships/control" Target="../activeX/activeX65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62.xml"/><Relationship Id="rId11" Type="http://schemas.openxmlformats.org/officeDocument/2006/relationships/image" Target="../media/image64.emf"/><Relationship Id="rId5" Type="http://schemas.openxmlformats.org/officeDocument/2006/relationships/image" Target="../media/image61.emf"/><Relationship Id="rId10" Type="http://schemas.openxmlformats.org/officeDocument/2006/relationships/control" Target="../activeX/activeX64.xml"/><Relationship Id="rId4" Type="http://schemas.openxmlformats.org/officeDocument/2006/relationships/control" Target="../activeX/activeX61.xml"/><Relationship Id="rId9" Type="http://schemas.openxmlformats.org/officeDocument/2006/relationships/image" Target="../media/image63.e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8.xml"/><Relationship Id="rId3" Type="http://schemas.openxmlformats.org/officeDocument/2006/relationships/vmlDrawing" Target="../drawings/vmlDrawing14.vml"/><Relationship Id="rId7" Type="http://schemas.openxmlformats.org/officeDocument/2006/relationships/image" Target="../media/image67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67.xml"/><Relationship Id="rId11" Type="http://schemas.openxmlformats.org/officeDocument/2006/relationships/image" Target="../media/image69.emf"/><Relationship Id="rId5" Type="http://schemas.openxmlformats.org/officeDocument/2006/relationships/image" Target="../media/image66.emf"/><Relationship Id="rId10" Type="http://schemas.openxmlformats.org/officeDocument/2006/relationships/control" Target="../activeX/activeX69.xml"/><Relationship Id="rId4" Type="http://schemas.openxmlformats.org/officeDocument/2006/relationships/control" Target="../activeX/activeX66.xml"/><Relationship Id="rId9" Type="http://schemas.openxmlformats.org/officeDocument/2006/relationships/image" Target="../media/image68.emf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120</v>
      </c>
      <c r="B1" s="2"/>
    </row>
    <row r="4" spans="1:12" ht="18" customHeight="1" x14ac:dyDescent="0.25"/>
    <row r="7" spans="1:12" x14ac:dyDescent="0.25">
      <c r="B7" s="1" t="s">
        <v>112</v>
      </c>
      <c r="C7" s="1" t="s">
        <v>113</v>
      </c>
      <c r="D7" s="1" t="s">
        <v>107</v>
      </c>
      <c r="E7" s="1" t="s">
        <v>108</v>
      </c>
      <c r="F7" s="1" t="s">
        <v>109</v>
      </c>
      <c r="G7" s="1" t="s">
        <v>106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6325" r:id="rId4" name="cmdRefreshUnits">
          <controlPr defaultSize="0" autoLine="0" r:id="rId5">
            <anchor moveWithCells="1">
              <from>
                <xdr:col>3</xdr:col>
                <xdr:colOff>304800</xdr:colOff>
                <xdr:row>1</xdr:row>
                <xdr:rowOff>121920</xdr:rowOff>
              </from>
              <to>
                <xdr:col>4</xdr:col>
                <xdr:colOff>198120</xdr:colOff>
                <xdr:row>3</xdr:row>
                <xdr:rowOff>160020</xdr:rowOff>
              </to>
            </anchor>
          </controlPr>
        </control>
      </mc:Choice>
      <mc:Fallback>
        <control shapeId="56325" r:id="rId4" name="cmdRefreshUnits"/>
      </mc:Fallback>
    </mc:AlternateContent>
    <mc:AlternateContent xmlns:mc="http://schemas.openxmlformats.org/markup-compatibility/2006">
      <mc:Choice Requires="x14">
        <control shapeId="56324" r:id="rId6" name="cmdTCAPUnit">
          <controlPr defaultSize="0" autoLine="0" r:id="rId7">
            <anchor moveWithCells="1">
              <from>
                <xdr:col>4</xdr:col>
                <xdr:colOff>7620</xdr:colOff>
                <xdr:row>4</xdr:row>
                <xdr:rowOff>15240</xdr:rowOff>
              </from>
              <to>
                <xdr:col>4</xdr:col>
                <xdr:colOff>647700</xdr:colOff>
                <xdr:row>5</xdr:row>
                <xdr:rowOff>83820</xdr:rowOff>
              </to>
            </anchor>
          </controlPr>
        </control>
      </mc:Choice>
      <mc:Fallback>
        <control shapeId="56324" r:id="rId6" name="cmdTCAPUnit"/>
      </mc:Fallback>
    </mc:AlternateContent>
    <mc:AlternateContent xmlns:mc="http://schemas.openxmlformats.org/markup-compatibility/2006">
      <mc:Choice Requires="x14">
        <control shapeId="56323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15240</xdr:rowOff>
              </from>
              <to>
                <xdr:col>3</xdr:col>
                <xdr:colOff>647700</xdr:colOff>
                <xdr:row>5</xdr:row>
                <xdr:rowOff>83820</xdr:rowOff>
              </to>
            </anchor>
          </controlPr>
        </control>
      </mc:Choice>
      <mc:Fallback>
        <control shapeId="56323" r:id="rId8" name="cmdTACTUnit"/>
      </mc:Fallback>
    </mc:AlternateContent>
    <mc:AlternateContent xmlns:mc="http://schemas.openxmlformats.org/markup-compatibility/2006">
      <mc:Choice Requires="x14">
        <control shapeId="56322" r:id="rId10" name="cmdCheckTechnolog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121920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6322" r:id="rId10" name="cmdCheckTechnologiesSheet"/>
      </mc:Fallback>
    </mc:AlternateContent>
    <mc:AlternateContent xmlns:mc="http://schemas.openxmlformats.org/markup-compatibility/2006">
      <mc:Choice Requires="x14">
        <control shapeId="56321" r:id="rId12" name="cmdTechnologySets">
          <controlPr defaultSize="0" autoLine="0" r:id="rId13">
            <anchor moveWithCells="1">
              <from>
                <xdr:col>5</xdr:col>
                <xdr:colOff>15240</xdr:colOff>
                <xdr:row>4</xdr:row>
                <xdr:rowOff>15240</xdr:rowOff>
              </from>
              <to>
                <xdr:col>5</xdr:col>
                <xdr:colOff>1813560</xdr:colOff>
                <xdr:row>5</xdr:row>
                <xdr:rowOff>83820</xdr:rowOff>
              </to>
            </anchor>
          </controlPr>
        </control>
      </mc:Choice>
      <mc:Fallback>
        <control shapeId="56321" r:id="rId12" name="cmdTechnology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119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110</v>
      </c>
      <c r="C7" s="1" t="s">
        <v>111</v>
      </c>
      <c r="D7" s="1" t="s">
        <v>105</v>
      </c>
      <c r="E7" s="1" t="s">
        <v>109</v>
      </c>
      <c r="F7" s="1" t="s">
        <v>106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303" r:id="rId4" name="cmdRefreshUnits">
          <controlPr defaultSize="0" autoLine="0" r:id="rId5">
            <anchor moveWithCells="1">
              <from>
                <xdr:col>3</xdr:col>
                <xdr:colOff>53340</xdr:colOff>
                <xdr:row>2</xdr:row>
                <xdr:rowOff>91440</xdr:rowOff>
              </from>
              <to>
                <xdr:col>3</xdr:col>
                <xdr:colOff>609600</xdr:colOff>
                <xdr:row>4</xdr:row>
                <xdr:rowOff>83820</xdr:rowOff>
              </to>
            </anchor>
          </controlPr>
        </control>
      </mc:Choice>
      <mc:Fallback>
        <control shapeId="55303" r:id="rId4" name="cmdRefreshUnits"/>
      </mc:Fallback>
    </mc:AlternateContent>
    <mc:AlternateContent xmlns:mc="http://schemas.openxmlformats.org/markup-compatibility/2006">
      <mc:Choice Requires="x14">
        <control shapeId="55302" r:id="rId6" name="cmdCommUnit">
          <controlPr defaultSize="0" autoLine="0" r:id="rId7">
            <anchor moveWithCells="1">
              <from>
                <xdr:col>3</xdr:col>
                <xdr:colOff>7620</xdr:colOff>
                <xdr:row>4</xdr:row>
                <xdr:rowOff>137160</xdr:rowOff>
              </from>
              <to>
                <xdr:col>3</xdr:col>
                <xdr:colOff>670560</xdr:colOff>
                <xdr:row>5</xdr:row>
                <xdr:rowOff>160020</xdr:rowOff>
              </to>
            </anchor>
          </controlPr>
        </control>
      </mc:Choice>
      <mc:Fallback>
        <control shapeId="55302" r:id="rId6" name="cmdCommUnit"/>
      </mc:Fallback>
    </mc:AlternateContent>
    <mc:AlternateContent xmlns:mc="http://schemas.openxmlformats.org/markup-compatibility/2006">
      <mc:Choice Requires="x14">
        <control shapeId="55301" r:id="rId8" name="cmdCheckCommodities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114300</xdr:rowOff>
              </from>
              <to>
                <xdr:col>0</xdr:col>
                <xdr:colOff>662940</xdr:colOff>
                <xdr:row>4</xdr:row>
                <xdr:rowOff>0</xdr:rowOff>
              </to>
            </anchor>
          </controlPr>
        </control>
      </mc:Choice>
      <mc:Fallback>
        <control shapeId="55301" r:id="rId8" name="cmdCheckCommoditiesSheet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800100</xdr:colOff>
                <xdr:row>3</xdr:row>
                <xdr:rowOff>76200</xdr:rowOff>
              </from>
              <to>
                <xdr:col>4</xdr:col>
                <xdr:colOff>1775460</xdr:colOff>
                <xdr:row>4</xdr:row>
                <xdr:rowOff>99060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299" r:id="rId12" name="cmdEmissionSets">
          <controlPr defaultSize="0" autoLine="0" r:id="rId13">
            <anchor moveWithCells="1">
              <from>
                <xdr:col>4</xdr:col>
                <xdr:colOff>800100</xdr:colOff>
                <xdr:row>4</xdr:row>
                <xdr:rowOff>137160</xdr:rowOff>
              </from>
              <to>
                <xdr:col>4</xdr:col>
                <xdr:colOff>1775460</xdr:colOff>
                <xdr:row>5</xdr:row>
                <xdr:rowOff>160020</xdr:rowOff>
              </to>
            </anchor>
          </controlPr>
        </control>
      </mc:Choice>
      <mc:Fallback>
        <control shapeId="55299" r:id="rId12" name="cmdEmissionSets"/>
      </mc:Fallback>
    </mc:AlternateContent>
    <mc:AlternateContent xmlns:mc="http://schemas.openxmlformats.org/markup-compatibility/2006">
      <mc:Choice Requires="x14">
        <control shapeId="55298" r:id="rId14" name="cmdDemandSets">
          <controlPr defaultSize="0" autoLine="0" r:id="rId15">
            <anchor moveWithCells="1">
              <from>
                <xdr:col>4</xdr:col>
                <xdr:colOff>7620</xdr:colOff>
                <xdr:row>4</xdr:row>
                <xdr:rowOff>137160</xdr:rowOff>
              </from>
              <to>
                <xdr:col>4</xdr:col>
                <xdr:colOff>982980</xdr:colOff>
                <xdr:row>5</xdr:row>
                <xdr:rowOff>160020</xdr:rowOff>
              </to>
            </anchor>
          </controlPr>
        </control>
      </mc:Choice>
      <mc:Fallback>
        <control shapeId="55298" r:id="rId14" name="cmdDemandSets"/>
      </mc:Fallback>
    </mc:AlternateContent>
    <mc:AlternateContent xmlns:mc="http://schemas.openxmlformats.org/markup-compatibility/2006">
      <mc:Choice Requires="x14">
        <control shapeId="55297" r:id="rId16" name="cmdEnergySets">
          <controlPr defaultSize="0" autoLine="0" r:id="rId17">
            <anchor moveWithCells="1">
              <from>
                <xdr:col>4</xdr:col>
                <xdr:colOff>7620</xdr:colOff>
                <xdr:row>3</xdr:row>
                <xdr:rowOff>76200</xdr:rowOff>
              </from>
              <to>
                <xdr:col>4</xdr:col>
                <xdr:colOff>982980</xdr:colOff>
                <xdr:row>4</xdr:row>
                <xdr:rowOff>99060</xdr:rowOff>
              </to>
            </anchor>
          </controlPr>
        </control>
      </mc:Choice>
      <mc:Fallback>
        <control shapeId="55297" r:id="rId16" name="cmdEnergySe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119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110</v>
      </c>
      <c r="C7" s="1" t="s">
        <v>111</v>
      </c>
      <c r="D7" s="1" t="s">
        <v>105</v>
      </c>
      <c r="E7" s="1" t="s">
        <v>109</v>
      </c>
      <c r="F7" s="1" t="s">
        <v>106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74" r:id="rId4" name="cmdTaxSubSets">
          <controlPr defaultSize="0" autoLine="0" r:id="rId5">
            <anchor moveWithCells="1">
              <from>
                <xdr:col>4</xdr:col>
                <xdr:colOff>434340</xdr:colOff>
                <xdr:row>2</xdr:row>
                <xdr:rowOff>0</xdr:rowOff>
              </from>
              <to>
                <xdr:col>4</xdr:col>
                <xdr:colOff>1409700</xdr:colOff>
                <xdr:row>3</xdr:row>
                <xdr:rowOff>68580</xdr:rowOff>
              </to>
            </anchor>
          </controlPr>
        </control>
      </mc:Choice>
      <mc:Fallback>
        <control shapeId="2074" r:id="rId4" name="cmdTaxSubSets"/>
      </mc:Fallback>
    </mc:AlternateContent>
    <mc:AlternateContent xmlns:mc="http://schemas.openxmlformats.org/markup-compatibility/2006">
      <mc:Choice Requires="x14">
        <control shapeId="2073" r:id="rId6" name="cmdRefreshUnits">
          <controlPr defaultSize="0" autoLine="0" r:id="rId7">
            <anchor moveWithCells="1">
              <from>
                <xdr:col>3</xdr:col>
                <xdr:colOff>53340</xdr:colOff>
                <xdr:row>2</xdr:row>
                <xdr:rowOff>91440</xdr:rowOff>
              </from>
              <to>
                <xdr:col>3</xdr:col>
                <xdr:colOff>609600</xdr:colOff>
                <xdr:row>4</xdr:row>
                <xdr:rowOff>83820</xdr:rowOff>
              </to>
            </anchor>
          </controlPr>
        </control>
      </mc:Choice>
      <mc:Fallback>
        <control shapeId="2073" r:id="rId6" name="cmdRefreshUnits"/>
      </mc:Fallback>
    </mc:AlternateContent>
    <mc:AlternateContent xmlns:mc="http://schemas.openxmlformats.org/markup-compatibility/2006">
      <mc:Choice Requires="x14">
        <control shapeId="2063" r:id="rId8" name="cmdCommUnit">
          <controlPr defaultSize="0" autoLine="0" r:id="rId9">
            <anchor moveWithCells="1">
              <from>
                <xdr:col>3</xdr:col>
                <xdr:colOff>7620</xdr:colOff>
                <xdr:row>4</xdr:row>
                <xdr:rowOff>137160</xdr:rowOff>
              </from>
              <to>
                <xdr:col>3</xdr:col>
                <xdr:colOff>670560</xdr:colOff>
                <xdr:row>5</xdr:row>
                <xdr:rowOff>160020</xdr:rowOff>
              </to>
            </anchor>
          </controlPr>
        </control>
      </mc:Choice>
      <mc:Fallback>
        <control shapeId="2063" r:id="rId8" name="cmdCommUnit"/>
      </mc:Fallback>
    </mc:AlternateContent>
    <mc:AlternateContent xmlns:mc="http://schemas.openxmlformats.org/markup-compatibility/2006">
      <mc:Choice Requires="x14">
        <control shapeId="2061" r:id="rId10" name="cmdCheckCommodit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114300</xdr:rowOff>
              </from>
              <to>
                <xdr:col>0</xdr:col>
                <xdr:colOff>662940</xdr:colOff>
                <xdr:row>4</xdr:row>
                <xdr:rowOff>0</xdr:rowOff>
              </to>
            </anchor>
          </controlPr>
        </control>
      </mc:Choice>
      <mc:Fallback>
        <control shapeId="2061" r:id="rId10" name="cmdCheckCommoditiesSheet"/>
      </mc:Fallback>
    </mc:AlternateContent>
    <mc:AlternateContent xmlns:mc="http://schemas.openxmlformats.org/markup-compatibility/2006">
      <mc:Choice Requires="x14">
        <control shapeId="2053" r:id="rId12" name="cmdMaterialSets">
          <controlPr defaultSize="0" autoLine="0" r:id="rId13">
            <anchor moveWithCells="1">
              <from>
                <xdr:col>4</xdr:col>
                <xdr:colOff>800100</xdr:colOff>
                <xdr:row>3</xdr:row>
                <xdr:rowOff>76200</xdr:rowOff>
              </from>
              <to>
                <xdr:col>4</xdr:col>
                <xdr:colOff>1775460</xdr:colOff>
                <xdr:row>4</xdr:row>
                <xdr:rowOff>99060</xdr:rowOff>
              </to>
            </anchor>
          </controlPr>
        </control>
      </mc:Choice>
      <mc:Fallback>
        <control shapeId="2053" r:id="rId12" name="cmdMaterialSets"/>
      </mc:Fallback>
    </mc:AlternateContent>
    <mc:AlternateContent xmlns:mc="http://schemas.openxmlformats.org/markup-compatibility/2006">
      <mc:Choice Requires="x14">
        <control shapeId="2052" r:id="rId14" name="cmdEmissionSets">
          <controlPr defaultSize="0" autoLine="0" r:id="rId15">
            <anchor moveWithCells="1">
              <from>
                <xdr:col>4</xdr:col>
                <xdr:colOff>800100</xdr:colOff>
                <xdr:row>4</xdr:row>
                <xdr:rowOff>137160</xdr:rowOff>
              </from>
              <to>
                <xdr:col>4</xdr:col>
                <xdr:colOff>1775460</xdr:colOff>
                <xdr:row>5</xdr:row>
                <xdr:rowOff>160020</xdr:rowOff>
              </to>
            </anchor>
          </controlPr>
        </control>
      </mc:Choice>
      <mc:Fallback>
        <control shapeId="2052" r:id="rId14" name="cmdEmissionSets"/>
      </mc:Fallback>
    </mc:AlternateContent>
    <mc:AlternateContent xmlns:mc="http://schemas.openxmlformats.org/markup-compatibility/2006">
      <mc:Choice Requires="x14">
        <control shapeId="2051" r:id="rId16" name="cmdDemandSets">
          <controlPr defaultSize="0" autoLine="0" r:id="rId17">
            <anchor moveWithCells="1">
              <from>
                <xdr:col>4</xdr:col>
                <xdr:colOff>7620</xdr:colOff>
                <xdr:row>4</xdr:row>
                <xdr:rowOff>137160</xdr:rowOff>
              </from>
              <to>
                <xdr:col>4</xdr:col>
                <xdr:colOff>982980</xdr:colOff>
                <xdr:row>5</xdr:row>
                <xdr:rowOff>160020</xdr:rowOff>
              </to>
            </anchor>
          </controlPr>
        </control>
      </mc:Choice>
      <mc:Fallback>
        <control shapeId="2051" r:id="rId16" name="cmdDemandSets"/>
      </mc:Fallback>
    </mc:AlternateContent>
    <mc:AlternateContent xmlns:mc="http://schemas.openxmlformats.org/markup-compatibility/2006">
      <mc:Choice Requires="x14">
        <control shapeId="2049" r:id="rId18" name="cmdEnergySets">
          <controlPr defaultSize="0" autoLine="0" r:id="rId19">
            <anchor moveWithCells="1">
              <from>
                <xdr:col>4</xdr:col>
                <xdr:colOff>7620</xdr:colOff>
                <xdr:row>3</xdr:row>
                <xdr:rowOff>76200</xdr:rowOff>
              </from>
              <to>
                <xdr:col>4</xdr:col>
                <xdr:colOff>982980</xdr:colOff>
                <xdr:row>4</xdr:row>
                <xdr:rowOff>99060</xdr:rowOff>
              </to>
            </anchor>
          </controlPr>
        </control>
      </mc:Choice>
      <mc:Fallback>
        <control shapeId="2049" r:id="rId18" name="cmdEnergy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120</v>
      </c>
      <c r="B1" s="2"/>
    </row>
    <row r="4" spans="1:12" ht="18" customHeight="1" x14ac:dyDescent="0.25"/>
    <row r="7" spans="1:12" x14ac:dyDescent="0.25">
      <c r="B7" s="1" t="s">
        <v>112</v>
      </c>
      <c r="C7" s="1" t="s">
        <v>113</v>
      </c>
      <c r="D7" s="1" t="s">
        <v>107</v>
      </c>
      <c r="E7" s="1" t="s">
        <v>108</v>
      </c>
      <c r="F7" s="1" t="s">
        <v>109</v>
      </c>
      <c r="G7" s="1" t="s">
        <v>106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304800</xdr:colOff>
                <xdr:row>1</xdr:row>
                <xdr:rowOff>121920</xdr:rowOff>
              </from>
              <to>
                <xdr:col>4</xdr:col>
                <xdr:colOff>198120</xdr:colOff>
                <xdr:row>3</xdr:row>
                <xdr:rowOff>160020</xdr:rowOff>
              </to>
            </anchor>
          </controlPr>
        </control>
      </mc:Choice>
      <mc:Fallback>
        <control shapeId="1135" r:id="rId4" name="cmdRefreshUnits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7620</xdr:colOff>
                <xdr:row>4</xdr:row>
                <xdr:rowOff>15240</xdr:rowOff>
              </from>
              <to>
                <xdr:col>4</xdr:col>
                <xdr:colOff>647700</xdr:colOff>
                <xdr:row>5</xdr:row>
                <xdr:rowOff>83820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15240</xdr:rowOff>
              </from>
              <to>
                <xdr:col>3</xdr:col>
                <xdr:colOff>647700</xdr:colOff>
                <xdr:row>5</xdr:row>
                <xdr:rowOff>83820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121920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15240</xdr:colOff>
                <xdr:row>4</xdr:row>
                <xdr:rowOff>15240</xdr:rowOff>
              </from>
              <to>
                <xdr:col>5</xdr:col>
                <xdr:colOff>1813560</xdr:colOff>
                <xdr:row>5</xdr:row>
                <xdr:rowOff>83820</xdr:rowOff>
              </to>
            </anchor>
          </controlPr>
        </control>
      </mc:Choice>
      <mc:Fallback>
        <control shapeId="1025" r:id="rId12" name="cmdTechnologySe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121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117</v>
      </c>
      <c r="C7" s="1" t="s">
        <v>118</v>
      </c>
      <c r="D7" s="1" t="s">
        <v>114</v>
      </c>
      <c r="E7" s="1" t="s">
        <v>109</v>
      </c>
      <c r="F7" s="1" t="s">
        <v>106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15240</xdr:colOff>
                <xdr:row>2</xdr:row>
                <xdr:rowOff>38100</xdr:rowOff>
              </from>
              <to>
                <xdr:col>3</xdr:col>
                <xdr:colOff>571500</xdr:colOff>
                <xdr:row>4</xdr:row>
                <xdr:rowOff>7620</xdr:rowOff>
              </to>
            </anchor>
          </controlPr>
        </control>
      </mc:Choice>
      <mc:Fallback>
        <control shapeId="10359" r:id="rId4" name="cmdRefreshUnits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15240</xdr:colOff>
                <xdr:row>4</xdr:row>
                <xdr:rowOff>7620</xdr:rowOff>
              </from>
              <to>
                <xdr:col>3</xdr:col>
                <xdr:colOff>571500</xdr:colOff>
                <xdr:row>5</xdr:row>
                <xdr:rowOff>30480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15240</xdr:colOff>
                <xdr:row>4</xdr:row>
                <xdr:rowOff>15240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10" name="cmdConstraintSe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122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110</v>
      </c>
      <c r="C7" s="1" t="s">
        <v>111</v>
      </c>
      <c r="D7" s="1" t="s">
        <v>114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1127760</xdr:colOff>
                <xdr:row>2</xdr:row>
                <xdr:rowOff>60960</xdr:rowOff>
              </from>
              <to>
                <xdr:col>3</xdr:col>
                <xdr:colOff>38100</xdr:colOff>
                <xdr:row>3</xdr:row>
                <xdr:rowOff>243840</xdr:rowOff>
              </to>
            </anchor>
          </controlPr>
        </control>
      </mc:Choice>
      <mc:Fallback>
        <control shapeId="4299" r:id="rId4" name="cmdRefreshUnits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7620</xdr:colOff>
                <xdr:row>3</xdr:row>
                <xdr:rowOff>15240</xdr:rowOff>
              </from>
              <to>
                <xdr:col>0</xdr:col>
                <xdr:colOff>693420</xdr:colOff>
                <xdr:row>4</xdr:row>
                <xdr:rowOff>0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15240</xdr:rowOff>
              </from>
              <to>
                <xdr:col>2</xdr:col>
                <xdr:colOff>1112520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4097" r:id="rId12" name="cmdAddParameter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123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112</v>
      </c>
      <c r="C7" s="1" t="s">
        <v>113</v>
      </c>
      <c r="D7" s="1" t="s">
        <v>114</v>
      </c>
      <c r="E7" s="1" t="s">
        <v>115</v>
      </c>
      <c r="F7" s="1" t="s">
        <v>116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15240</xdr:rowOff>
              </from>
              <to>
                <xdr:col>4</xdr:col>
                <xdr:colOff>15240</xdr:colOff>
                <xdr:row>4</xdr:row>
                <xdr:rowOff>7620</xdr:rowOff>
              </to>
            </anchor>
          </controlPr>
        </control>
      </mc:Choice>
      <mc:Fallback>
        <control shapeId="3112" r:id="rId4" name="cmdRefreshUnits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121920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22860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160020</xdr:rowOff>
              </from>
              <to>
                <xdr:col>0</xdr:col>
                <xdr:colOff>693420</xdr:colOff>
                <xdr:row>4</xdr:row>
                <xdr:rowOff>182880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7620</xdr:colOff>
                <xdr:row>2</xdr:row>
                <xdr:rowOff>114300</xdr:rowOff>
              </from>
              <to>
                <xdr:col>5</xdr:col>
                <xdr:colOff>701040</xdr:colOff>
                <xdr:row>3</xdr:row>
                <xdr:rowOff>182880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7620</xdr:colOff>
                <xdr:row>2</xdr:row>
                <xdr:rowOff>114300</xdr:rowOff>
              </from>
              <to>
                <xdr:col>4</xdr:col>
                <xdr:colOff>594360</xdr:colOff>
                <xdr:row>3</xdr:row>
                <xdr:rowOff>182880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30480</xdr:colOff>
                <xdr:row>2</xdr:row>
                <xdr:rowOff>121920</xdr:rowOff>
              </from>
              <to>
                <xdr:col>2</xdr:col>
                <xdr:colOff>1546860</xdr:colOff>
                <xdr:row>3</xdr:row>
                <xdr:rowOff>190500</xdr:rowOff>
              </to>
            </anchor>
          </controlPr>
        </control>
      </mc:Choice>
      <mc:Fallback>
        <control shapeId="3074" r:id="rId16" name="cmdTechNameAndDesc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124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117</v>
      </c>
      <c r="C7" s="1" t="s">
        <v>118</v>
      </c>
      <c r="D7" s="1" t="s">
        <v>114</v>
      </c>
      <c r="E7" s="1" t="s">
        <v>112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807720</xdr:colOff>
                <xdr:row>2</xdr:row>
                <xdr:rowOff>22860</xdr:rowOff>
              </from>
              <to>
                <xdr:col>3</xdr:col>
                <xdr:colOff>160020</xdr:colOff>
                <xdr:row>4</xdr:row>
                <xdr:rowOff>15240</xdr:rowOff>
              </to>
            </anchor>
          </controlPr>
        </control>
      </mc:Choice>
      <mc:Fallback>
        <control shapeId="11374" r:id="rId4" name="cmdRefreshUnits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121920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15240</xdr:colOff>
                <xdr:row>3</xdr:row>
                <xdr:rowOff>0</xdr:rowOff>
              </from>
              <to>
                <xdr:col>2</xdr:col>
                <xdr:colOff>800100</xdr:colOff>
                <xdr:row>4</xdr:row>
                <xdr:rowOff>15240</xdr:rowOff>
              </to>
            </anchor>
          </controlPr>
        </control>
      </mc:Choice>
      <mc:Fallback>
        <control shapeId="11265" r:id="rId14" name="cmdConstrNameAndDesc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59999389629810485"/>
  </sheetPr>
  <dimension ref="A1:M10"/>
  <sheetViews>
    <sheetView tabSelected="1" workbookViewId="0">
      <selection activeCell="H6" sqref="H6:H10"/>
    </sheetView>
  </sheetViews>
  <sheetFormatPr defaultRowHeight="13.2" x14ac:dyDescent="0.25"/>
  <cols>
    <col min="2" max="2" width="23" bestFit="1" customWidth="1"/>
    <col min="3" max="3" width="15.33203125" customWidth="1"/>
    <col min="7" max="7" width="12.5546875" bestFit="1" customWidth="1"/>
    <col min="8" max="8" width="10.88671875" bestFit="1" customWidth="1"/>
    <col min="9" max="9" width="13.109375" bestFit="1" customWidth="1"/>
    <col min="10" max="10" width="45.44140625" customWidth="1"/>
  </cols>
  <sheetData>
    <row r="1" spans="1:13" x14ac:dyDescent="0.25">
      <c r="A1" t="s">
        <v>299</v>
      </c>
    </row>
    <row r="2" spans="1:13" ht="14.4" x14ac:dyDescent="0.3">
      <c r="B2" s="105" t="s">
        <v>300</v>
      </c>
      <c r="C2" s="99"/>
      <c r="D2" s="100"/>
    </row>
    <row r="3" spans="1:13" ht="14.4" x14ac:dyDescent="0.3">
      <c r="B3" s="105"/>
      <c r="C3" s="99"/>
      <c r="D3" s="100"/>
    </row>
    <row r="4" spans="1:13" x14ac:dyDescent="0.25">
      <c r="C4" s="99"/>
      <c r="D4" s="100"/>
    </row>
    <row r="5" spans="1:13" ht="15" thickBot="1" x14ac:dyDescent="0.35">
      <c r="B5" s="103" t="s">
        <v>301</v>
      </c>
      <c r="C5" s="103" t="s">
        <v>290</v>
      </c>
      <c r="D5" s="103" t="s">
        <v>296</v>
      </c>
      <c r="E5" s="103" t="s">
        <v>25</v>
      </c>
      <c r="F5" s="103" t="s">
        <v>283</v>
      </c>
      <c r="G5" s="103" t="s">
        <v>302</v>
      </c>
      <c r="H5" s="103" t="s">
        <v>303</v>
      </c>
      <c r="I5" s="103" t="s">
        <v>304</v>
      </c>
      <c r="J5" s="103" t="s">
        <v>305</v>
      </c>
      <c r="M5" s="106"/>
    </row>
    <row r="6" spans="1:13" ht="14.4" x14ac:dyDescent="0.3">
      <c r="B6" t="s">
        <v>306</v>
      </c>
      <c r="D6" t="s">
        <v>308</v>
      </c>
      <c r="E6">
        <v>2010</v>
      </c>
      <c r="F6" t="s">
        <v>284</v>
      </c>
      <c r="G6">
        <v>1</v>
      </c>
      <c r="H6" s="104">
        <v>3317</v>
      </c>
      <c r="I6">
        <v>5</v>
      </c>
      <c r="J6" t="s">
        <v>307</v>
      </c>
      <c r="M6" s="107"/>
    </row>
    <row r="7" spans="1:13" ht="14.4" x14ac:dyDescent="0.3">
      <c r="B7" t="s">
        <v>306</v>
      </c>
      <c r="D7" t="s">
        <v>308</v>
      </c>
      <c r="E7">
        <v>2055</v>
      </c>
      <c r="F7" t="s">
        <v>284</v>
      </c>
      <c r="G7">
        <v>1</v>
      </c>
      <c r="H7" s="104">
        <v>3317</v>
      </c>
      <c r="I7">
        <v>5</v>
      </c>
      <c r="J7" t="s">
        <v>307</v>
      </c>
      <c r="M7" s="107"/>
    </row>
    <row r="8" spans="1:13" ht="14.4" x14ac:dyDescent="0.3">
      <c r="B8" t="s">
        <v>311</v>
      </c>
      <c r="D8" t="s">
        <v>309</v>
      </c>
      <c r="E8">
        <v>2010</v>
      </c>
      <c r="F8" t="s">
        <v>284</v>
      </c>
      <c r="G8">
        <v>1</v>
      </c>
      <c r="H8" s="104">
        <v>8119</v>
      </c>
      <c r="I8">
        <v>5</v>
      </c>
      <c r="J8" t="s">
        <v>312</v>
      </c>
      <c r="M8" s="107"/>
    </row>
    <row r="9" spans="1:13" ht="14.4" x14ac:dyDescent="0.3">
      <c r="B9" t="s">
        <v>311</v>
      </c>
      <c r="D9" t="s">
        <v>309</v>
      </c>
      <c r="E9">
        <v>2015</v>
      </c>
      <c r="F9" t="s">
        <v>284</v>
      </c>
      <c r="G9">
        <v>1</v>
      </c>
      <c r="H9" s="104">
        <v>8119</v>
      </c>
      <c r="I9">
        <v>5</v>
      </c>
      <c r="J9" t="s">
        <v>312</v>
      </c>
      <c r="M9" s="107"/>
    </row>
    <row r="10" spans="1:13" ht="14.4" x14ac:dyDescent="0.3">
      <c r="B10" t="s">
        <v>311</v>
      </c>
      <c r="D10" t="s">
        <v>309</v>
      </c>
      <c r="E10">
        <v>2055</v>
      </c>
      <c r="F10" t="s">
        <v>284</v>
      </c>
      <c r="G10">
        <v>1</v>
      </c>
      <c r="H10" s="104">
        <v>8119</v>
      </c>
      <c r="I10">
        <v>5</v>
      </c>
      <c r="J10" t="s">
        <v>312</v>
      </c>
      <c r="M10" s="107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W8"/>
  <sheetViews>
    <sheetView zoomScale="85" zoomScaleNormal="85" workbookViewId="0">
      <selection activeCell="G4" sqref="G4"/>
    </sheetView>
  </sheetViews>
  <sheetFormatPr defaultRowHeight="13.2" x14ac:dyDescent="0.25"/>
  <cols>
    <col min="3" max="3" width="10.44140625" bestFit="1" customWidth="1"/>
    <col min="4" max="4" width="21.21875" customWidth="1"/>
    <col min="5" max="5" width="9.33203125" bestFit="1" customWidth="1"/>
    <col min="6" max="6" width="10.21875" bestFit="1" customWidth="1"/>
    <col min="7" max="15" width="9.44140625" customWidth="1"/>
    <col min="16" max="18" width="9" customWidth="1"/>
  </cols>
  <sheetData>
    <row r="1" spans="1:23" x14ac:dyDescent="0.25">
      <c r="A1" t="s">
        <v>285</v>
      </c>
    </row>
    <row r="2" spans="1:23" x14ac:dyDescent="0.25">
      <c r="B2" s="98" t="s">
        <v>286</v>
      </c>
      <c r="P2" s="99"/>
      <c r="Q2" s="100"/>
      <c r="R2" s="100"/>
      <c r="S2" s="100"/>
      <c r="T2" s="100"/>
      <c r="U2" s="100"/>
      <c r="V2" s="100"/>
      <c r="W2" s="100"/>
    </row>
    <row r="3" spans="1:23" ht="13.8" thickBot="1" x14ac:dyDescent="0.3">
      <c r="B3" s="101" t="s">
        <v>287</v>
      </c>
      <c r="C3" s="101" t="s">
        <v>283</v>
      </c>
      <c r="D3" s="101" t="s">
        <v>288</v>
      </c>
      <c r="E3" s="101" t="s">
        <v>25</v>
      </c>
      <c r="F3" s="102" t="s">
        <v>289</v>
      </c>
      <c r="G3" s="102" t="s">
        <v>131</v>
      </c>
      <c r="H3" s="102" t="s">
        <v>132</v>
      </c>
      <c r="I3" s="102" t="s">
        <v>133</v>
      </c>
      <c r="J3" s="102" t="s">
        <v>134</v>
      </c>
      <c r="K3" s="102" t="s">
        <v>135</v>
      </c>
      <c r="L3" s="102" t="s">
        <v>136</v>
      </c>
      <c r="M3" s="102" t="s">
        <v>137</v>
      </c>
      <c r="N3" s="102" t="s">
        <v>138</v>
      </c>
      <c r="O3" s="102" t="s">
        <v>139</v>
      </c>
      <c r="P3" s="103" t="s">
        <v>290</v>
      </c>
      <c r="Q3" s="103" t="s">
        <v>291</v>
      </c>
      <c r="R3" s="103" t="s">
        <v>292</v>
      </c>
      <c r="S3" s="103" t="s">
        <v>293</v>
      </c>
      <c r="T3" s="103" t="s">
        <v>294</v>
      </c>
      <c r="U3" s="103" t="s">
        <v>295</v>
      </c>
      <c r="V3" s="103" t="s">
        <v>296</v>
      </c>
      <c r="W3" s="103" t="s">
        <v>297</v>
      </c>
    </row>
    <row r="4" spans="1:23" x14ac:dyDescent="0.25">
      <c r="C4" t="s">
        <v>284</v>
      </c>
      <c r="D4" t="s">
        <v>298</v>
      </c>
      <c r="E4">
        <v>2010</v>
      </c>
      <c r="G4" s="104">
        <v>21</v>
      </c>
      <c r="H4" s="104">
        <v>279</v>
      </c>
      <c r="I4" s="104">
        <v>830</v>
      </c>
      <c r="J4" s="104">
        <v>523</v>
      </c>
      <c r="K4" s="104">
        <v>654</v>
      </c>
      <c r="L4" s="104">
        <v>432</v>
      </c>
      <c r="M4" s="104">
        <v>350</v>
      </c>
      <c r="N4" s="104">
        <v>436</v>
      </c>
      <c r="O4" s="104">
        <v>54</v>
      </c>
      <c r="V4" t="s">
        <v>308</v>
      </c>
    </row>
    <row r="5" spans="1:23" x14ac:dyDescent="0.25">
      <c r="C5" t="s">
        <v>284</v>
      </c>
      <c r="D5" t="s">
        <v>298</v>
      </c>
      <c r="E5">
        <v>2015</v>
      </c>
      <c r="F5" s="104"/>
      <c r="G5" s="104">
        <v>23</v>
      </c>
      <c r="H5" s="104">
        <v>287</v>
      </c>
      <c r="I5" s="104">
        <v>836</v>
      </c>
      <c r="J5" s="104">
        <v>543</v>
      </c>
      <c r="K5" s="104">
        <v>665</v>
      </c>
      <c r="L5" s="104">
        <v>433</v>
      </c>
      <c r="M5" s="104">
        <v>355</v>
      </c>
      <c r="N5" s="104">
        <v>442</v>
      </c>
      <c r="O5" s="104">
        <v>54</v>
      </c>
      <c r="V5" t="s">
        <v>308</v>
      </c>
    </row>
    <row r="6" spans="1:23" x14ac:dyDescent="0.25">
      <c r="C6" t="s">
        <v>284</v>
      </c>
      <c r="D6" t="s">
        <v>298</v>
      </c>
      <c r="E6">
        <v>2010</v>
      </c>
      <c r="G6" s="104">
        <v>29</v>
      </c>
      <c r="H6" s="104">
        <v>1006</v>
      </c>
      <c r="I6" s="104">
        <v>2841</v>
      </c>
      <c r="J6" s="104">
        <v>828</v>
      </c>
      <c r="K6" s="104">
        <v>2067</v>
      </c>
      <c r="L6" s="104">
        <v>1103</v>
      </c>
      <c r="M6" s="104">
        <v>777</v>
      </c>
      <c r="N6" s="104">
        <v>256</v>
      </c>
      <c r="O6" s="104">
        <v>35</v>
      </c>
      <c r="V6" t="s">
        <v>309</v>
      </c>
    </row>
    <row r="7" spans="1:23" x14ac:dyDescent="0.25">
      <c r="C7" t="s">
        <v>284</v>
      </c>
      <c r="D7" t="s">
        <v>298</v>
      </c>
      <c r="E7">
        <v>2015</v>
      </c>
      <c r="F7" s="104"/>
      <c r="G7" s="104">
        <v>30</v>
      </c>
      <c r="H7" s="104">
        <v>967</v>
      </c>
      <c r="I7" s="104">
        <v>2448</v>
      </c>
      <c r="J7" s="104">
        <v>876</v>
      </c>
      <c r="K7" s="104">
        <v>1923</v>
      </c>
      <c r="L7" s="104">
        <v>1054</v>
      </c>
      <c r="M7" s="104">
        <v>776</v>
      </c>
      <c r="N7" s="104">
        <v>257</v>
      </c>
      <c r="O7" s="104">
        <v>35</v>
      </c>
      <c r="V7" t="s">
        <v>309</v>
      </c>
    </row>
    <row r="8" spans="1:23" x14ac:dyDescent="0.25">
      <c r="C8" t="s">
        <v>284</v>
      </c>
      <c r="D8" t="s">
        <v>298</v>
      </c>
      <c r="E8">
        <v>2010</v>
      </c>
      <c r="G8" s="108">
        <v>5.57</v>
      </c>
      <c r="H8" s="108">
        <v>56.36</v>
      </c>
      <c r="I8" s="108">
        <v>91.85</v>
      </c>
      <c r="J8" s="108">
        <v>27.83</v>
      </c>
      <c r="K8" s="108">
        <v>107.15</v>
      </c>
      <c r="L8" s="108">
        <v>43.14</v>
      </c>
      <c r="M8" s="108">
        <v>30.62</v>
      </c>
      <c r="N8" s="108">
        <v>29.22</v>
      </c>
      <c r="O8" s="108">
        <v>6.26</v>
      </c>
      <c r="V8" t="s">
        <v>310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124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117</v>
      </c>
      <c r="C7" s="1" t="s">
        <v>118</v>
      </c>
      <c r="D7" s="1" t="s">
        <v>114</v>
      </c>
      <c r="E7" s="1" t="s">
        <v>112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81926" r:id="rId4" name="cmdRefreshUnits">
          <controlPr defaultSize="0" autoLine="0" r:id="rId5">
            <anchor moveWithCells="1">
              <from>
                <xdr:col>2</xdr:col>
                <xdr:colOff>807720</xdr:colOff>
                <xdr:row>2</xdr:row>
                <xdr:rowOff>22860</xdr:rowOff>
              </from>
              <to>
                <xdr:col>3</xdr:col>
                <xdr:colOff>160020</xdr:colOff>
                <xdr:row>4</xdr:row>
                <xdr:rowOff>15240</xdr:rowOff>
              </to>
            </anchor>
          </controlPr>
        </control>
      </mc:Choice>
      <mc:Fallback>
        <control shapeId="81926" r:id="rId4" name="cmdRefreshUnits"/>
      </mc:Fallback>
    </mc:AlternateContent>
    <mc:AlternateContent xmlns:mc="http://schemas.openxmlformats.org/markup-compatibility/2006">
      <mc:Choice Requires="x14">
        <control shapeId="81925" r:id="rId6" name="cmdAddParamQualifier">
          <controlPr defaultSize="0" autoLine="0" r:id="rId7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81925" r:id="rId6" name="cmdAddParamQualifier"/>
      </mc:Fallback>
    </mc:AlternateContent>
    <mc:AlternateContent xmlns:mc="http://schemas.openxmlformats.org/markup-compatibility/2006">
      <mc:Choice Requires="x14">
        <control shapeId="81924" r:id="rId8" name="cmdCheckConstrData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121920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81924" r:id="rId8" name="cmdCheckConstrDataSheet"/>
      </mc:Fallback>
    </mc:AlternateContent>
    <mc:AlternateContent xmlns:mc="http://schemas.openxmlformats.org/markup-compatibility/2006">
      <mc:Choice Requires="x14">
        <control shapeId="81923" r:id="rId10" name="cmdAddParameter">
          <controlPr defaultSize="0" autoLine="0" r:id="rId11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81923" r:id="rId10" name="cmdAddParameter"/>
      </mc:Fallback>
    </mc:AlternateContent>
    <mc:AlternateContent xmlns:mc="http://schemas.openxmlformats.org/markup-compatibility/2006">
      <mc:Choice Requires="x14">
        <control shapeId="81922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81922" r:id="rId12" name="cmdTechName"/>
      </mc:Fallback>
    </mc:AlternateContent>
    <mc:AlternateContent xmlns:mc="http://schemas.openxmlformats.org/markup-compatibility/2006">
      <mc:Choice Requires="x14">
        <control shapeId="81921" r:id="rId14" name="cmdConstrNameAndDesc">
          <controlPr defaultSize="0" autoLine="0" autoPict="0" r:id="rId15">
            <anchor moveWithCells="1">
              <from>
                <xdr:col>1</xdr:col>
                <xdr:colOff>15240</xdr:colOff>
                <xdr:row>3</xdr:row>
                <xdr:rowOff>0</xdr:rowOff>
              </from>
              <to>
                <xdr:col>2</xdr:col>
                <xdr:colOff>800100</xdr:colOff>
                <xdr:row>4</xdr:row>
                <xdr:rowOff>15240</xdr:rowOff>
              </to>
            </anchor>
          </controlPr>
        </control>
      </mc:Choice>
      <mc:Fallback>
        <control shapeId="81921" r:id="rId14" name="cmdConstrNameAndDesc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123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112</v>
      </c>
      <c r="C7" s="1" t="s">
        <v>113</v>
      </c>
      <c r="D7" s="1" t="s">
        <v>114</v>
      </c>
      <c r="E7" s="1" t="s">
        <v>115</v>
      </c>
      <c r="F7" s="1" t="s">
        <v>116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4519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15240</xdr:rowOff>
              </from>
              <to>
                <xdr:col>4</xdr:col>
                <xdr:colOff>15240</xdr:colOff>
                <xdr:row>4</xdr:row>
                <xdr:rowOff>7620</xdr:rowOff>
              </to>
            </anchor>
          </controlPr>
        </control>
      </mc:Choice>
      <mc:Fallback>
        <control shapeId="64519" r:id="rId4" name="cmdRefreshUnits"/>
      </mc:Fallback>
    </mc:AlternateContent>
    <mc:AlternateContent xmlns:mc="http://schemas.openxmlformats.org/markup-compatibility/2006">
      <mc:Choice Requires="x14">
        <control shapeId="64518" r:id="rId6" name="cmdCheckTechData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121920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64518" r:id="rId6" name="cmdCheckTechDataSheet"/>
      </mc:Fallback>
    </mc:AlternateContent>
    <mc:AlternateContent xmlns:mc="http://schemas.openxmlformats.org/markup-compatibility/2006">
      <mc:Choice Requires="x14">
        <control shapeId="64517" r:id="rId8" name="cmdAddParamQualifier">
          <controlPr defaultSize="0" autoLine="0" autoPict="0" r:id="rId9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22860</xdr:rowOff>
              </to>
            </anchor>
          </controlPr>
        </control>
      </mc:Choice>
      <mc:Fallback>
        <control shapeId="64517" r:id="rId8" name="cmdAddParamQualifier"/>
      </mc:Fallback>
    </mc:AlternateContent>
    <mc:AlternateContent xmlns:mc="http://schemas.openxmlformats.org/markup-compatibility/2006">
      <mc:Choice Requires="x14">
        <control shapeId="64516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160020</xdr:rowOff>
              </from>
              <to>
                <xdr:col>0</xdr:col>
                <xdr:colOff>693420</xdr:colOff>
                <xdr:row>4</xdr:row>
                <xdr:rowOff>182880</xdr:rowOff>
              </to>
            </anchor>
          </controlPr>
        </control>
      </mc:Choice>
      <mc:Fallback>
        <control shapeId="64516" r:id="rId10" name="cmdAddParameter"/>
      </mc:Fallback>
    </mc:AlternateContent>
    <mc:AlternateContent xmlns:mc="http://schemas.openxmlformats.org/markup-compatibility/2006">
      <mc:Choice Requires="x14">
        <control shapeId="64515" r:id="rId12" name="cmdCommOUT">
          <controlPr defaultSize="0" autoLine="0" r:id="rId13">
            <anchor moveWithCells="1">
              <from>
                <xdr:col>5</xdr:col>
                <xdr:colOff>7620</xdr:colOff>
                <xdr:row>2</xdr:row>
                <xdr:rowOff>114300</xdr:rowOff>
              </from>
              <to>
                <xdr:col>5</xdr:col>
                <xdr:colOff>701040</xdr:colOff>
                <xdr:row>3</xdr:row>
                <xdr:rowOff>182880</xdr:rowOff>
              </to>
            </anchor>
          </controlPr>
        </control>
      </mc:Choice>
      <mc:Fallback>
        <control shapeId="64515" r:id="rId12" name="cmdCommOUT"/>
      </mc:Fallback>
    </mc:AlternateContent>
    <mc:AlternateContent xmlns:mc="http://schemas.openxmlformats.org/markup-compatibility/2006">
      <mc:Choice Requires="x14">
        <control shapeId="64514" r:id="rId14" name="cmdCommIN">
          <controlPr defaultSize="0" autoLine="0" r:id="rId15">
            <anchor moveWithCells="1">
              <from>
                <xdr:col>4</xdr:col>
                <xdr:colOff>7620</xdr:colOff>
                <xdr:row>2</xdr:row>
                <xdr:rowOff>114300</xdr:rowOff>
              </from>
              <to>
                <xdr:col>4</xdr:col>
                <xdr:colOff>594360</xdr:colOff>
                <xdr:row>3</xdr:row>
                <xdr:rowOff>182880</xdr:rowOff>
              </to>
            </anchor>
          </controlPr>
        </control>
      </mc:Choice>
      <mc:Fallback>
        <control shapeId="64514" r:id="rId14" name="cmdCommIN"/>
      </mc:Fallback>
    </mc:AlternateContent>
    <mc:AlternateContent xmlns:mc="http://schemas.openxmlformats.org/markup-compatibility/2006">
      <mc:Choice Requires="x14">
        <control shapeId="64513" r:id="rId16" name="cmdTechNameAndDesc">
          <controlPr defaultSize="0" autoLine="0" r:id="rId17">
            <anchor moveWithCells="1">
              <from>
                <xdr:col>1</xdr:col>
                <xdr:colOff>30480</xdr:colOff>
                <xdr:row>2</xdr:row>
                <xdr:rowOff>121920</xdr:rowOff>
              </from>
              <to>
                <xdr:col>2</xdr:col>
                <xdr:colOff>1546860</xdr:colOff>
                <xdr:row>3</xdr:row>
                <xdr:rowOff>190500</xdr:rowOff>
              </to>
            </anchor>
          </controlPr>
        </control>
      </mc:Choice>
      <mc:Fallback>
        <control shapeId="64513" r:id="rId16" name="cmdTechNameAndDesc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122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110</v>
      </c>
      <c r="C7" s="1" t="s">
        <v>111</v>
      </c>
      <c r="D7" s="1" t="s">
        <v>114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5" r:id="rId4" name="cmdRefreshUnits">
          <controlPr defaultSize="0" autoLine="0" r:id="rId5">
            <anchor moveWithCells="1">
              <from>
                <xdr:col>2</xdr:col>
                <xdr:colOff>1127760</xdr:colOff>
                <xdr:row>2</xdr:row>
                <xdr:rowOff>60960</xdr:rowOff>
              </from>
              <to>
                <xdr:col>3</xdr:col>
                <xdr:colOff>38100</xdr:colOff>
                <xdr:row>3</xdr:row>
                <xdr:rowOff>243840</xdr:rowOff>
              </to>
            </anchor>
          </controlPr>
        </control>
      </mc:Choice>
      <mc:Fallback>
        <control shapeId="61445" r:id="rId4" name="cmdRefreshUnits"/>
      </mc:Fallback>
    </mc:AlternateContent>
    <mc:AlternateContent xmlns:mc="http://schemas.openxmlformats.org/markup-compatibility/2006">
      <mc:Choice Requires="x14">
        <control shapeId="61444" r:id="rId6" name="cmdCheckCommDataSheet">
          <controlPr defaultSize="0" autoLine="0" r:id="rId7">
            <anchor moveWithCells="1">
              <from>
                <xdr:col>0</xdr:col>
                <xdr:colOff>7620</xdr:colOff>
                <xdr:row>3</xdr:row>
                <xdr:rowOff>15240</xdr:rowOff>
              </from>
              <to>
                <xdr:col>0</xdr:col>
                <xdr:colOff>693420</xdr:colOff>
                <xdr:row>4</xdr:row>
                <xdr:rowOff>0</xdr:rowOff>
              </to>
            </anchor>
          </controlPr>
        </control>
      </mc:Choice>
      <mc:Fallback>
        <control shapeId="61444" r:id="rId6" name="cmdCheckCommDataSheet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2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15240</xdr:rowOff>
              </from>
              <to>
                <xdr:col>2</xdr:col>
                <xdr:colOff>1112520</xdr:colOff>
                <xdr:row>4</xdr:row>
                <xdr:rowOff>0</xdr:rowOff>
              </to>
            </anchor>
          </controlPr>
        </control>
      </mc:Choice>
      <mc:Fallback>
        <control shapeId="61442" r:id="rId10" name="cmdCommNameAndDesc"/>
      </mc:Fallback>
    </mc:AlternateContent>
    <mc:AlternateContent xmlns:mc="http://schemas.openxmlformats.org/markup-compatibility/2006">
      <mc:Choice Requires="x14">
        <control shapeId="61441" r:id="rId12" name="cmdAddParameter">
          <controlPr defaultSize="0" autoLine="0" r:id="rId13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61441" r:id="rId12" name="cmdAddParameter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121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117</v>
      </c>
      <c r="C7" s="1" t="s">
        <v>118</v>
      </c>
      <c r="D7" s="1" t="s">
        <v>114</v>
      </c>
      <c r="E7" s="1" t="s">
        <v>109</v>
      </c>
      <c r="F7" s="1" t="s">
        <v>106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0420" r:id="rId4" name="cmdRefreshUnits">
          <controlPr defaultSize="0" autoLine="0" r:id="rId5">
            <anchor moveWithCells="1">
              <from>
                <xdr:col>3</xdr:col>
                <xdr:colOff>15240</xdr:colOff>
                <xdr:row>2</xdr:row>
                <xdr:rowOff>38100</xdr:rowOff>
              </from>
              <to>
                <xdr:col>3</xdr:col>
                <xdr:colOff>571500</xdr:colOff>
                <xdr:row>4</xdr:row>
                <xdr:rowOff>7620</xdr:rowOff>
              </to>
            </anchor>
          </controlPr>
        </control>
      </mc:Choice>
      <mc:Fallback>
        <control shapeId="60420" r:id="rId4" name="cmdRefreshUnits"/>
      </mc:Fallback>
    </mc:AlternateContent>
    <mc:AlternateContent xmlns:mc="http://schemas.openxmlformats.org/markup-compatibility/2006">
      <mc:Choice Requires="x14">
        <control shapeId="60419" r:id="rId6" name="cmdConstraintUnit">
          <controlPr defaultSize="0" autoLine="0" r:id="rId7">
            <anchor moveWithCells="1">
              <from>
                <xdr:col>3</xdr:col>
                <xdr:colOff>15240</xdr:colOff>
                <xdr:row>4</xdr:row>
                <xdr:rowOff>7620</xdr:rowOff>
              </from>
              <to>
                <xdr:col>3</xdr:col>
                <xdr:colOff>571500</xdr:colOff>
                <xdr:row>5</xdr:row>
                <xdr:rowOff>30480</xdr:rowOff>
              </to>
            </anchor>
          </controlPr>
        </control>
      </mc:Choice>
      <mc:Fallback>
        <control shapeId="60419" r:id="rId6" name="cmdConstraintUnit"/>
      </mc:Fallback>
    </mc:AlternateContent>
    <mc:AlternateContent xmlns:mc="http://schemas.openxmlformats.org/markup-compatibility/2006">
      <mc:Choice Requires="x14">
        <control shapeId="60418" r:id="rId8" name="cmdCheckConstraintsSheet">
          <controlPr defaultSize="0" autoLine="0" r:id="rId9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60418" r:id="rId8" name="cmdCheckConstraintsSheet"/>
      </mc:Fallback>
    </mc:AlternateContent>
    <mc:AlternateContent xmlns:mc="http://schemas.openxmlformats.org/markup-compatibility/2006">
      <mc:Choice Requires="x14">
        <control shapeId="60417" r:id="rId10" name="cmdConstraintSets">
          <controlPr defaultSize="0" autoLine="0" r:id="rId11">
            <anchor moveWithCells="1">
              <from>
                <xdr:col>4</xdr:col>
                <xdr:colOff>15240</xdr:colOff>
                <xdr:row>4</xdr:row>
                <xdr:rowOff>15240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60417" r:id="rId10" name="cmdConstraintSe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7"/>
  <sheetViews>
    <sheetView workbookViewId="0">
      <selection activeCell="M6" sqref="M6"/>
    </sheetView>
  </sheetViews>
  <sheetFormatPr defaultRowHeight="13.2" x14ac:dyDescent="0.25"/>
  <sheetData>
    <row r="1" spans="2:14" x14ac:dyDescent="0.25">
      <c r="B1" s="57" t="s">
        <v>273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3" spans="2:14" x14ac:dyDescent="0.25">
      <c r="B3" s="57"/>
      <c r="C3" s="57"/>
      <c r="D3" s="84" t="s">
        <v>259</v>
      </c>
      <c r="E3" s="57"/>
      <c r="F3" s="57"/>
      <c r="G3" s="57"/>
      <c r="H3" s="57"/>
      <c r="I3" s="57"/>
      <c r="J3" s="57"/>
      <c r="K3" s="84" t="s">
        <v>274</v>
      </c>
      <c r="L3" s="57"/>
      <c r="M3" s="57"/>
      <c r="N3" s="57"/>
    </row>
    <row r="4" spans="2:14" x14ac:dyDescent="0.25">
      <c r="B4" s="57"/>
      <c r="C4" s="57"/>
      <c r="D4" s="91" t="s">
        <v>275</v>
      </c>
      <c r="E4" s="92"/>
      <c r="F4" s="92"/>
      <c r="G4" s="93"/>
      <c r="H4" s="57"/>
      <c r="I4" s="57"/>
      <c r="J4" s="57"/>
      <c r="K4" s="91" t="s">
        <v>276</v>
      </c>
      <c r="L4" s="92"/>
      <c r="M4" s="92"/>
      <c r="N4" s="93"/>
    </row>
    <row r="5" spans="2:14" x14ac:dyDescent="0.25">
      <c r="B5" s="85" t="s">
        <v>161</v>
      </c>
      <c r="C5" s="84" t="s">
        <v>159</v>
      </c>
      <c r="D5" s="92">
        <v>2000</v>
      </c>
      <c r="E5" s="92">
        <v>2005</v>
      </c>
      <c r="F5" s="92">
        <v>2010</v>
      </c>
      <c r="G5" s="93">
        <v>2015</v>
      </c>
      <c r="H5" s="57"/>
      <c r="I5" s="85" t="s">
        <v>161</v>
      </c>
      <c r="J5" s="84" t="s">
        <v>159</v>
      </c>
      <c r="K5" s="92">
        <v>2000</v>
      </c>
      <c r="L5" s="92">
        <v>2005</v>
      </c>
      <c r="M5" s="92">
        <v>2010</v>
      </c>
      <c r="N5" s="93">
        <v>2015</v>
      </c>
    </row>
    <row r="6" spans="2:14" x14ac:dyDescent="0.25">
      <c r="B6" s="86">
        <v>1</v>
      </c>
      <c r="C6" s="87" t="s">
        <v>163</v>
      </c>
      <c r="D6" s="94">
        <f>'2000'!F74</f>
        <v>50.966442475200004</v>
      </c>
      <c r="E6" s="94">
        <f>'2000'!G74</f>
        <v>34.23538923840001</v>
      </c>
      <c r="F6" s="94">
        <f>'2010-2015'!D65</f>
        <v>19.850363804880008</v>
      </c>
      <c r="G6" s="95">
        <f>'2010-2015'!H65</f>
        <v>21.600173304360005</v>
      </c>
      <c r="H6" s="57"/>
      <c r="I6" s="86">
        <v>1</v>
      </c>
      <c r="J6" s="87" t="s">
        <v>163</v>
      </c>
      <c r="K6" s="94">
        <f t="shared" ref="K6:K14" si="0">D6</f>
        <v>50.966442475200004</v>
      </c>
      <c r="L6" s="94">
        <f t="shared" ref="L6:L14" si="1">E6</f>
        <v>34.23538923840001</v>
      </c>
      <c r="M6" s="94">
        <f>'2010-2015'!L65</f>
        <v>20.640927195000003</v>
      </c>
      <c r="N6" s="95">
        <f>'2010-2015'!P65</f>
        <v>22.795795620359996</v>
      </c>
    </row>
    <row r="7" spans="2:14" x14ac:dyDescent="0.25">
      <c r="B7" s="86">
        <v>2</v>
      </c>
      <c r="C7" s="87" t="s">
        <v>164</v>
      </c>
      <c r="D7" s="94">
        <f>'2000'!F75</f>
        <v>290.81225698560002</v>
      </c>
      <c r="E7" s="94">
        <f>'2000'!G75</f>
        <v>228.2670258624</v>
      </c>
      <c r="F7" s="94">
        <f>'2010-2015'!D66</f>
        <v>138.99942464435998</v>
      </c>
      <c r="G7" s="95">
        <f>'2010-2015'!H66</f>
        <v>137.2266978818401</v>
      </c>
      <c r="H7" s="57"/>
      <c r="I7" s="86">
        <v>2</v>
      </c>
      <c r="J7" s="87" t="s">
        <v>164</v>
      </c>
      <c r="K7" s="94">
        <f t="shared" si="0"/>
        <v>290.81225698560002</v>
      </c>
      <c r="L7" s="94">
        <f t="shared" si="1"/>
        <v>228.2670258624</v>
      </c>
      <c r="M7" s="94">
        <f>'2010-2015'!L66</f>
        <v>278.95957819379998</v>
      </c>
      <c r="N7" s="95">
        <f>'2010-2015'!P66</f>
        <v>286.85751072299979</v>
      </c>
    </row>
    <row r="8" spans="2:14" x14ac:dyDescent="0.25">
      <c r="B8" s="86">
        <v>3</v>
      </c>
      <c r="C8" s="87" t="s">
        <v>165</v>
      </c>
      <c r="D8" s="94">
        <f>'2000'!F76</f>
        <v>1092.2255274671998</v>
      </c>
      <c r="E8" s="94">
        <f>'2000'!G76</f>
        <v>698.36867543519998</v>
      </c>
      <c r="F8" s="94">
        <f>'2010-2015'!D67</f>
        <v>488.36742113124012</v>
      </c>
      <c r="G8" s="95">
        <f>'2010-2015'!H67</f>
        <v>395.53340286348003</v>
      </c>
      <c r="H8" s="57"/>
      <c r="I8" s="86">
        <v>3</v>
      </c>
      <c r="J8" s="87" t="s">
        <v>165</v>
      </c>
      <c r="K8" s="94">
        <f t="shared" si="0"/>
        <v>1092.2255274671998</v>
      </c>
      <c r="L8" s="94">
        <f t="shared" si="1"/>
        <v>698.36867543519998</v>
      </c>
      <c r="M8" s="94">
        <f>'2010-2015'!L67</f>
        <v>829.98635044752018</v>
      </c>
      <c r="N8" s="95">
        <f>'2010-2015'!P67</f>
        <v>835.93019582099998</v>
      </c>
    </row>
    <row r="9" spans="2:14" x14ac:dyDescent="0.25">
      <c r="B9" s="86">
        <v>4</v>
      </c>
      <c r="C9" s="87" t="s">
        <v>166</v>
      </c>
      <c r="D9" s="94">
        <f>'2000'!F77</f>
        <v>498.34247621760011</v>
      </c>
      <c r="E9" s="94">
        <f>'2000'!G77</f>
        <v>461.5228025856</v>
      </c>
      <c r="F9" s="94">
        <f>'2010-2015'!D68</f>
        <v>371.07455046732002</v>
      </c>
      <c r="G9" s="95">
        <f>'2010-2015'!H68</f>
        <v>380.77884472823996</v>
      </c>
      <c r="H9" s="57"/>
      <c r="I9" s="86">
        <v>4</v>
      </c>
      <c r="J9" s="87" t="s">
        <v>166</v>
      </c>
      <c r="K9" s="94">
        <f t="shared" si="0"/>
        <v>498.34247621760011</v>
      </c>
      <c r="L9" s="94">
        <f t="shared" si="1"/>
        <v>461.5228025856</v>
      </c>
      <c r="M9" s="94">
        <f>'2010-2015'!L68</f>
        <v>522.61649068103998</v>
      </c>
      <c r="N9" s="95">
        <f>'2010-2015'!P68</f>
        <v>542.53492353143997</v>
      </c>
    </row>
    <row r="10" spans="2:14" x14ac:dyDescent="0.25">
      <c r="B10" s="86">
        <v>5</v>
      </c>
      <c r="C10" s="87" t="s">
        <v>167</v>
      </c>
      <c r="D10" s="94">
        <f>'2000'!F78</f>
        <v>1048.1703214752001</v>
      </c>
      <c r="E10" s="94">
        <f>'2000'!G78</f>
        <v>699.95686330079991</v>
      </c>
      <c r="F10" s="94">
        <f>'2010-2015'!D69</f>
        <v>299.54407515984002</v>
      </c>
      <c r="G10" s="95">
        <f>'2010-2015'!H69</f>
        <v>268.1357959576801</v>
      </c>
      <c r="H10" s="57"/>
      <c r="I10" s="86">
        <v>5</v>
      </c>
      <c r="J10" s="87" t="s">
        <v>167</v>
      </c>
      <c r="K10" s="94">
        <f t="shared" si="0"/>
        <v>1048.1703214752001</v>
      </c>
      <c r="L10" s="94">
        <f t="shared" si="1"/>
        <v>699.95686330079991</v>
      </c>
      <c r="M10" s="94">
        <f>'2010-2015'!L69</f>
        <v>653.96651166504012</v>
      </c>
      <c r="N10" s="95">
        <f>'2010-2015'!P69</f>
        <v>664.95311372700019</v>
      </c>
    </row>
    <row r="11" spans="2:14" x14ac:dyDescent="0.25">
      <c r="B11" s="86">
        <v>6</v>
      </c>
      <c r="C11" s="87" t="s">
        <v>168</v>
      </c>
      <c r="D11" s="94">
        <f>'2000'!F79</f>
        <v>585.91572600959989</v>
      </c>
      <c r="E11" s="94">
        <f>'2000'!G79</f>
        <v>402.1497268992</v>
      </c>
      <c r="F11" s="94">
        <f>'2010-2015'!D70</f>
        <v>199.41020653176002</v>
      </c>
      <c r="G11" s="95">
        <f>'2010-2015'!H70</f>
        <v>145.41044464044006</v>
      </c>
      <c r="H11" s="57"/>
      <c r="I11" s="86">
        <v>6</v>
      </c>
      <c r="J11" s="87" t="s">
        <v>168</v>
      </c>
      <c r="K11" s="94">
        <f t="shared" si="0"/>
        <v>585.91572600959989</v>
      </c>
      <c r="L11" s="94">
        <f t="shared" si="1"/>
        <v>402.1497268992</v>
      </c>
      <c r="M11" s="94">
        <f>'2010-2015'!L70</f>
        <v>431.82619960788003</v>
      </c>
      <c r="N11" s="95">
        <f>'2010-2015'!P70</f>
        <v>432.71345761308015</v>
      </c>
    </row>
    <row r="12" spans="2:14" x14ac:dyDescent="0.25">
      <c r="B12" s="86">
        <v>7</v>
      </c>
      <c r="C12" s="87" t="s">
        <v>169</v>
      </c>
      <c r="D12" s="94">
        <f>'2000'!F80</f>
        <v>567.32043574079989</v>
      </c>
      <c r="E12" s="94">
        <f>'2000'!G80</f>
        <v>327.56965678079996</v>
      </c>
      <c r="F12" s="94">
        <f>'2010-2015'!D71</f>
        <v>323.49679899768006</v>
      </c>
      <c r="G12" s="95">
        <f>'2010-2015'!H71</f>
        <v>245.54143606860021</v>
      </c>
      <c r="H12" s="57"/>
      <c r="I12" s="86">
        <v>7</v>
      </c>
      <c r="J12" s="87" t="s">
        <v>169</v>
      </c>
      <c r="K12" s="94">
        <f t="shared" si="0"/>
        <v>567.32043574079989</v>
      </c>
      <c r="L12" s="94">
        <f t="shared" si="1"/>
        <v>327.56965678079996</v>
      </c>
      <c r="M12" s="94">
        <f>'2010-2015'!L71</f>
        <v>349.54511144111996</v>
      </c>
      <c r="N12" s="95">
        <f>'2010-2015'!P71</f>
        <v>354.66494003892024</v>
      </c>
    </row>
    <row r="13" spans="2:14" x14ac:dyDescent="0.25">
      <c r="B13" s="86">
        <v>8</v>
      </c>
      <c r="C13" s="87" t="s">
        <v>171</v>
      </c>
      <c r="D13" s="94">
        <f>'2000'!F81</f>
        <v>452.98783595520001</v>
      </c>
      <c r="E13" s="94">
        <f>'2000'!G81</f>
        <v>416.1788690976</v>
      </c>
      <c r="F13" s="94">
        <f>'2010-2015'!D72</f>
        <v>436.34282263235991</v>
      </c>
      <c r="G13" s="95">
        <f>'2010-2015'!H72</f>
        <v>442.30224867444008</v>
      </c>
      <c r="H13" s="57"/>
      <c r="I13" s="86">
        <v>8</v>
      </c>
      <c r="J13" s="87" t="s">
        <v>171</v>
      </c>
      <c r="K13" s="94">
        <f t="shared" si="0"/>
        <v>452.98783595520001</v>
      </c>
      <c r="L13" s="94">
        <f t="shared" si="1"/>
        <v>416.1788690976</v>
      </c>
      <c r="M13" s="94">
        <f>'2010-2015'!L72</f>
        <v>436.01344220195995</v>
      </c>
      <c r="N13" s="95">
        <f>'2010-2015'!P72</f>
        <v>441.90538385112001</v>
      </c>
    </row>
    <row r="14" spans="2:14" x14ac:dyDescent="0.25">
      <c r="B14" s="88">
        <v>9</v>
      </c>
      <c r="C14" s="89" t="s">
        <v>277</v>
      </c>
      <c r="D14" s="96">
        <f>'2000'!F82</f>
        <v>64.4523533136</v>
      </c>
      <c r="E14" s="96">
        <f>'2000'!G82</f>
        <v>48.286891195199999</v>
      </c>
      <c r="F14" s="96">
        <f>'2010-2015'!D73</f>
        <v>54.00250660223999</v>
      </c>
      <c r="G14" s="97">
        <f>'2010-2015'!H73</f>
        <v>53.839310893199972</v>
      </c>
      <c r="H14" s="57"/>
      <c r="I14" s="88">
        <v>9</v>
      </c>
      <c r="J14" s="89" t="s">
        <v>277</v>
      </c>
      <c r="K14" s="96">
        <f t="shared" si="0"/>
        <v>64.4523533136</v>
      </c>
      <c r="L14" s="96">
        <f t="shared" si="1"/>
        <v>48.286891195199999</v>
      </c>
      <c r="M14" s="96">
        <f>'2010-2015'!L73</f>
        <v>53.95263980651999</v>
      </c>
      <c r="N14" s="97">
        <f>'2010-2015'!P73</f>
        <v>53.940852156239977</v>
      </c>
    </row>
    <row r="15" spans="2:14" x14ac:dyDescent="0.25">
      <c r="B15" s="90"/>
      <c r="C15" s="57"/>
      <c r="D15" s="57"/>
      <c r="E15" s="57"/>
      <c r="F15" s="57"/>
      <c r="G15" s="57"/>
      <c r="H15" s="57"/>
      <c r="I15" s="90"/>
      <c r="J15" s="57"/>
      <c r="K15" s="57"/>
      <c r="L15" s="57"/>
      <c r="M15" s="57"/>
      <c r="N15" s="57"/>
    </row>
    <row r="16" spans="2:14" x14ac:dyDescent="0.25">
      <c r="B16" s="57"/>
      <c r="C16" s="57"/>
      <c r="D16" s="84" t="s">
        <v>259</v>
      </c>
      <c r="E16" s="57"/>
      <c r="F16" s="57"/>
      <c r="G16" s="57"/>
      <c r="H16" s="57"/>
      <c r="I16" s="57"/>
      <c r="J16" s="57"/>
      <c r="K16" s="84" t="s">
        <v>274</v>
      </c>
      <c r="L16" s="57"/>
      <c r="M16" s="57"/>
      <c r="N16" s="57"/>
    </row>
    <row r="17" spans="2:14" x14ac:dyDescent="0.25">
      <c r="B17" s="57"/>
      <c r="C17" s="57"/>
      <c r="D17" s="91" t="s">
        <v>278</v>
      </c>
      <c r="E17" s="92"/>
      <c r="F17" s="92"/>
      <c r="G17" s="93"/>
      <c r="H17" s="57"/>
      <c r="I17" s="57"/>
      <c r="J17" s="57"/>
      <c r="K17" s="91" t="s">
        <v>279</v>
      </c>
      <c r="L17" s="92"/>
      <c r="M17" s="92"/>
      <c r="N17" s="93"/>
    </row>
    <row r="18" spans="2:14" x14ac:dyDescent="0.25">
      <c r="B18" s="85" t="s">
        <v>161</v>
      </c>
      <c r="C18" s="84" t="s">
        <v>159</v>
      </c>
      <c r="D18" s="92">
        <v>2000</v>
      </c>
      <c r="E18" s="92">
        <v>2005</v>
      </c>
      <c r="F18" s="92">
        <v>2010</v>
      </c>
      <c r="G18" s="93">
        <v>2015</v>
      </c>
      <c r="H18" s="57"/>
      <c r="I18" s="85" t="s">
        <v>161</v>
      </c>
      <c r="J18" s="84" t="s">
        <v>159</v>
      </c>
      <c r="K18" s="92">
        <v>2000</v>
      </c>
      <c r="L18" s="92">
        <v>2005</v>
      </c>
      <c r="M18" s="92">
        <v>2010</v>
      </c>
      <c r="N18" s="93">
        <v>2015</v>
      </c>
    </row>
    <row r="19" spans="2:14" x14ac:dyDescent="0.25">
      <c r="B19" s="86">
        <v>1</v>
      </c>
      <c r="C19" s="87" t="s">
        <v>163</v>
      </c>
      <c r="D19" s="94">
        <f>'2000'!D74</f>
        <v>191.31964750080002</v>
      </c>
      <c r="E19" s="94">
        <f>'2000'!E74</f>
        <v>131.26914652320002</v>
      </c>
      <c r="F19" s="94">
        <f>'2010-2015'!E65</f>
        <v>26.14069593072</v>
      </c>
      <c r="G19" s="95">
        <f>'2010-2015'!I65</f>
        <v>21.997059764400003</v>
      </c>
      <c r="H19" s="57"/>
      <c r="I19" s="86">
        <v>1</v>
      </c>
      <c r="J19" s="87" t="s">
        <v>163</v>
      </c>
      <c r="K19" s="94">
        <f>'2000'!D74</f>
        <v>191.31964750080002</v>
      </c>
      <c r="L19" s="94">
        <f t="shared" ref="L19:L27" si="2">E19</f>
        <v>131.26914652320002</v>
      </c>
      <c r="M19" s="94">
        <f>'2010-2015'!M65</f>
        <v>29.423399108040002</v>
      </c>
      <c r="N19" s="95">
        <f>'2010-2015'!Q65</f>
        <v>29.975702475599999</v>
      </c>
    </row>
    <row r="20" spans="2:14" x14ac:dyDescent="0.25">
      <c r="B20" s="86">
        <v>2</v>
      </c>
      <c r="C20" s="87" t="s">
        <v>164</v>
      </c>
      <c r="D20" s="94">
        <f>'2000'!D75</f>
        <v>1159.9003967040001</v>
      </c>
      <c r="E20" s="94">
        <f>'2000'!E75</f>
        <v>1103.9816029536</v>
      </c>
      <c r="F20" s="94">
        <f>'2010-2015'!E66</f>
        <v>289.33674291396005</v>
      </c>
      <c r="G20" s="95">
        <f>'2010-2015'!I66</f>
        <v>286.09377512688008</v>
      </c>
      <c r="H20" s="57"/>
      <c r="I20" s="86">
        <v>2</v>
      </c>
      <c r="J20" s="87" t="s">
        <v>164</v>
      </c>
      <c r="K20" s="94">
        <f t="shared" ref="K20:K27" si="3">D20</f>
        <v>1159.9003967040001</v>
      </c>
      <c r="L20" s="94">
        <f t="shared" si="2"/>
        <v>1103.9816029536</v>
      </c>
      <c r="M20" s="94">
        <f>'2010-2015'!M66</f>
        <v>1005.8699744352001</v>
      </c>
      <c r="N20" s="95">
        <f>'2010-2015'!Q66</f>
        <v>967.0066149618001</v>
      </c>
    </row>
    <row r="21" spans="2:14" x14ac:dyDescent="0.25">
      <c r="B21" s="86">
        <v>3</v>
      </c>
      <c r="C21" s="87" t="s">
        <v>165</v>
      </c>
      <c r="D21" s="94">
        <f>'2000'!D76</f>
        <v>2794.7072790000002</v>
      </c>
      <c r="E21" s="94">
        <f>'2000'!E76</f>
        <v>2544.3532063151997</v>
      </c>
      <c r="F21" s="94">
        <f>'2010-2015'!E67</f>
        <v>1427.4023594871601</v>
      </c>
      <c r="G21" s="95">
        <f>'2010-2015'!I67</f>
        <v>1340.9852092156802</v>
      </c>
      <c r="H21" s="57"/>
      <c r="I21" s="86">
        <v>3</v>
      </c>
      <c r="J21" s="87" t="s">
        <v>165</v>
      </c>
      <c r="K21" s="94">
        <f t="shared" si="3"/>
        <v>2794.7072790000002</v>
      </c>
      <c r="L21" s="94">
        <f t="shared" si="2"/>
        <v>2544.3532063151997</v>
      </c>
      <c r="M21" s="94">
        <f>'2010-2015'!M67</f>
        <v>2840.9652016477198</v>
      </c>
      <c r="N21" s="95">
        <f>'2010-2015'!Q67</f>
        <v>2448.2180913901202</v>
      </c>
    </row>
    <row r="22" spans="2:14" x14ac:dyDescent="0.25">
      <c r="B22" s="86">
        <v>4</v>
      </c>
      <c r="C22" s="87" t="s">
        <v>166</v>
      </c>
      <c r="D22" s="94">
        <f>'2000'!D77</f>
        <v>719.33773978080001</v>
      </c>
      <c r="E22" s="94">
        <f>'2000'!E77</f>
        <v>778.33850965919999</v>
      </c>
      <c r="F22" s="94">
        <f>'2010-2015'!E68</f>
        <v>643.28563161072009</v>
      </c>
      <c r="G22" s="95">
        <f>'2010-2015'!I68</f>
        <v>690.12101072123994</v>
      </c>
      <c r="H22" s="57"/>
      <c r="I22" s="86">
        <v>4</v>
      </c>
      <c r="J22" s="87" t="s">
        <v>166</v>
      </c>
      <c r="K22" s="94">
        <f t="shared" si="3"/>
        <v>719.33773978080001</v>
      </c>
      <c r="L22" s="94">
        <f t="shared" si="2"/>
        <v>778.33850965919999</v>
      </c>
      <c r="M22" s="94">
        <f>'2010-2015'!M68</f>
        <v>828.20075211215999</v>
      </c>
      <c r="N22" s="95">
        <f>'2010-2015'!Q68</f>
        <v>875.67180587712005</v>
      </c>
    </row>
    <row r="23" spans="2:14" x14ac:dyDescent="0.25">
      <c r="B23" s="86">
        <v>5</v>
      </c>
      <c r="C23" s="87" t="s">
        <v>167</v>
      </c>
      <c r="D23" s="94">
        <f>'2000'!D78</f>
        <v>2580.2352914688004</v>
      </c>
      <c r="E23" s="94">
        <f>'2000'!E78</f>
        <v>2483.8175302416003</v>
      </c>
      <c r="F23" s="94">
        <f>'2010-2015'!E69</f>
        <v>1329.77031322212</v>
      </c>
      <c r="G23" s="95">
        <f>'2010-2015'!I69</f>
        <v>898.5426813014401</v>
      </c>
      <c r="H23" s="57"/>
      <c r="I23" s="86">
        <v>5</v>
      </c>
      <c r="J23" s="87" t="s">
        <v>167</v>
      </c>
      <c r="K23" s="94">
        <f t="shared" si="3"/>
        <v>2580.2352914688004</v>
      </c>
      <c r="L23" s="94">
        <f t="shared" si="2"/>
        <v>2483.8175302416003</v>
      </c>
      <c r="M23" s="94">
        <f>'2010-2015'!M69</f>
        <v>2067.0498472629597</v>
      </c>
      <c r="N23" s="95">
        <f>'2010-2015'!Q69</f>
        <v>1923.2536573303203</v>
      </c>
    </row>
    <row r="24" spans="2:14" x14ac:dyDescent="0.25">
      <c r="B24" s="86">
        <v>6</v>
      </c>
      <c r="C24" s="87" t="s">
        <v>168</v>
      </c>
      <c r="D24" s="94">
        <f>'2000'!D79</f>
        <v>1498.5831654863998</v>
      </c>
      <c r="E24" s="94">
        <f>'2000'!E79</f>
        <v>1179.7865291520002</v>
      </c>
      <c r="F24" s="94">
        <f>'2010-2015'!E70</f>
        <v>904.65938621856003</v>
      </c>
      <c r="G24" s="95">
        <f>'2010-2015'!I70</f>
        <v>778.26247644096009</v>
      </c>
      <c r="H24" s="57"/>
      <c r="I24" s="86">
        <v>6</v>
      </c>
      <c r="J24" s="87" t="s">
        <v>168</v>
      </c>
      <c r="K24" s="94">
        <f t="shared" si="3"/>
        <v>1498.5831654863998</v>
      </c>
      <c r="L24" s="94">
        <f t="shared" si="2"/>
        <v>1179.7865291520002</v>
      </c>
      <c r="M24" s="94">
        <f>'2010-2015'!M70</f>
        <v>1102.91615283024</v>
      </c>
      <c r="N24" s="95">
        <f>'2010-2015'!Q70</f>
        <v>1054.38730266324</v>
      </c>
    </row>
    <row r="25" spans="2:14" x14ac:dyDescent="0.25">
      <c r="B25" s="86">
        <v>7</v>
      </c>
      <c r="C25" s="87" t="s">
        <v>169</v>
      </c>
      <c r="D25" s="94">
        <f>'2000'!D80</f>
        <v>758.76994892159996</v>
      </c>
      <c r="E25" s="94">
        <f>'2000'!E80</f>
        <v>733.85008391520012</v>
      </c>
      <c r="F25" s="94">
        <f>'2010-2015'!E71</f>
        <v>628.22139426144008</v>
      </c>
      <c r="G25" s="95">
        <f>'2010-2015'!I71</f>
        <v>594.32277731148019</v>
      </c>
      <c r="H25" s="57"/>
      <c r="I25" s="86">
        <v>7</v>
      </c>
      <c r="J25" s="87" t="s">
        <v>169</v>
      </c>
      <c r="K25" s="94">
        <f t="shared" si="3"/>
        <v>758.76994892159996</v>
      </c>
      <c r="L25" s="94">
        <f t="shared" si="2"/>
        <v>733.85008391520012</v>
      </c>
      <c r="M25" s="94">
        <f>'2010-2015'!M71</f>
        <v>776.51856572220004</v>
      </c>
      <c r="N25" s="95">
        <f>'2010-2015'!Q71</f>
        <v>775.90929014172002</v>
      </c>
    </row>
    <row r="26" spans="2:14" x14ac:dyDescent="0.25">
      <c r="B26" s="86">
        <v>8</v>
      </c>
      <c r="C26" s="87" t="s">
        <v>171</v>
      </c>
      <c r="D26" s="94">
        <f>'2000'!D81</f>
        <v>370.4135511888</v>
      </c>
      <c r="E26" s="94">
        <f>'2000'!E81</f>
        <v>304.43152259519991</v>
      </c>
      <c r="F26" s="94">
        <f>'2010-2015'!E72</f>
        <v>256.29506865648005</v>
      </c>
      <c r="G26" s="95">
        <f>'2010-2015'!I72</f>
        <v>255.20760793332002</v>
      </c>
      <c r="H26" s="57"/>
      <c r="I26" s="86">
        <v>8</v>
      </c>
      <c r="J26" s="87" t="s">
        <v>171</v>
      </c>
      <c r="K26" s="94">
        <f t="shared" si="3"/>
        <v>370.4135511888</v>
      </c>
      <c r="L26" s="94">
        <f t="shared" si="2"/>
        <v>304.43152259519991</v>
      </c>
      <c r="M26" s="94">
        <f>'2010-2015'!M72</f>
        <v>256.36619318184</v>
      </c>
      <c r="N26" s="95">
        <f>'2010-2015'!Q72</f>
        <v>256.97056979916005</v>
      </c>
    </row>
    <row r="27" spans="2:14" x14ac:dyDescent="0.25">
      <c r="B27" s="88">
        <v>9</v>
      </c>
      <c r="C27" s="89" t="s">
        <v>277</v>
      </c>
      <c r="D27" s="96">
        <f>'2000'!D82</f>
        <v>111.19180353120001</v>
      </c>
      <c r="E27" s="96">
        <f>'2000'!E82</f>
        <v>36.08295012</v>
      </c>
      <c r="F27" s="96">
        <f>'2010-2015'!E73</f>
        <v>34.913919536999998</v>
      </c>
      <c r="G27" s="97">
        <f>'2010-2015'!I73</f>
        <v>34.913919536999998</v>
      </c>
      <c r="H27" s="57"/>
      <c r="I27" s="88">
        <v>9</v>
      </c>
      <c r="J27" s="89" t="s">
        <v>277</v>
      </c>
      <c r="K27" s="96">
        <f t="shared" si="3"/>
        <v>111.19180353120001</v>
      </c>
      <c r="L27" s="96">
        <f t="shared" si="2"/>
        <v>36.08295012</v>
      </c>
      <c r="M27" s="96">
        <f>'2010-2015'!M73</f>
        <v>34.913919536999998</v>
      </c>
      <c r="N27" s="97">
        <f>'2010-2015'!Q73</f>
        <v>34.913919536999998</v>
      </c>
    </row>
    <row r="31" spans="2:14" x14ac:dyDescent="0.25">
      <c r="B31" s="57" t="s">
        <v>280</v>
      </c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</row>
    <row r="32" spans="2:14" x14ac:dyDescent="0.25">
      <c r="B32" s="72" t="s">
        <v>281</v>
      </c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</row>
    <row r="33" spans="2:3" x14ac:dyDescent="0.25">
      <c r="B33" s="72" t="s">
        <v>282</v>
      </c>
      <c r="C33" s="57"/>
    </row>
    <row r="34" spans="2:3" x14ac:dyDescent="0.25">
      <c r="B34" s="57"/>
      <c r="C34" s="57" t="s">
        <v>255</v>
      </c>
    </row>
    <row r="35" spans="2:3" x14ac:dyDescent="0.25">
      <c r="B35" s="57"/>
      <c r="C35" s="57" t="s">
        <v>256</v>
      </c>
    </row>
    <row r="36" spans="2:3" x14ac:dyDescent="0.25">
      <c r="B36" s="57"/>
      <c r="C36" s="57" t="s">
        <v>257</v>
      </c>
    </row>
    <row r="37" spans="2:3" x14ac:dyDescent="0.25">
      <c r="B37" s="57"/>
      <c r="C37" s="57" t="s">
        <v>258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workbookViewId="0">
      <selection sqref="A1:H83"/>
    </sheetView>
  </sheetViews>
  <sheetFormatPr defaultRowHeight="13.2" x14ac:dyDescent="0.25"/>
  <sheetData>
    <row r="1" spans="1:8" x14ac:dyDescent="0.25">
      <c r="A1" s="57" t="s">
        <v>178</v>
      </c>
      <c r="B1" s="57"/>
      <c r="C1" s="57"/>
      <c r="D1" s="57"/>
      <c r="E1" s="57"/>
      <c r="F1" s="57"/>
      <c r="G1" s="57"/>
      <c r="H1" s="57"/>
    </row>
    <row r="2" spans="1:8" x14ac:dyDescent="0.25">
      <c r="A2" s="57" t="s">
        <v>179</v>
      </c>
      <c r="B2" s="57"/>
      <c r="C2" s="57"/>
      <c r="D2" s="57"/>
      <c r="E2" s="57"/>
      <c r="F2" s="57"/>
      <c r="G2" s="57"/>
      <c r="H2" s="57"/>
    </row>
    <row r="3" spans="1:8" ht="13.8" thickBot="1" x14ac:dyDescent="0.3">
      <c r="A3" s="57"/>
      <c r="B3" s="57"/>
      <c r="C3" s="57"/>
      <c r="D3" s="57" t="s">
        <v>53</v>
      </c>
      <c r="E3" s="57"/>
      <c r="F3" s="57" t="s">
        <v>180</v>
      </c>
      <c r="G3" s="57" t="s">
        <v>52</v>
      </c>
      <c r="H3" s="57" t="s">
        <v>181</v>
      </c>
    </row>
    <row r="4" spans="1:8" x14ac:dyDescent="0.25">
      <c r="A4" s="58" t="s">
        <v>182</v>
      </c>
      <c r="B4" s="59" t="s">
        <v>183</v>
      </c>
      <c r="C4" s="59" t="s">
        <v>184</v>
      </c>
      <c r="D4" s="57">
        <v>512074.65899999999</v>
      </c>
      <c r="E4" s="57">
        <v>12</v>
      </c>
      <c r="F4" s="57">
        <v>181101.50099999999</v>
      </c>
      <c r="G4" s="57">
        <v>88806364.069000006</v>
      </c>
      <c r="H4" s="57">
        <v>883657214</v>
      </c>
    </row>
    <row r="5" spans="1:8" x14ac:dyDescent="0.25">
      <c r="A5" s="60" t="s">
        <v>185</v>
      </c>
      <c r="B5" s="61" t="s">
        <v>183</v>
      </c>
      <c r="C5" s="61" t="s">
        <v>184</v>
      </c>
      <c r="D5" s="57">
        <v>75057.61</v>
      </c>
      <c r="E5" s="57">
        <v>12</v>
      </c>
      <c r="F5" s="57">
        <v>51787.459000000003</v>
      </c>
      <c r="G5" s="57">
        <v>31917180.857999999</v>
      </c>
      <c r="H5" s="57">
        <v>334494128</v>
      </c>
    </row>
    <row r="6" spans="1:8" x14ac:dyDescent="0.25">
      <c r="A6" s="60" t="s">
        <v>186</v>
      </c>
      <c r="B6" s="61" t="s">
        <v>183</v>
      </c>
      <c r="C6" s="61" t="s">
        <v>184</v>
      </c>
      <c r="D6" s="57">
        <v>71556.489000000001</v>
      </c>
      <c r="E6" s="57">
        <v>12</v>
      </c>
      <c r="F6" s="57">
        <v>96490.407000000007</v>
      </c>
      <c r="G6" s="57">
        <v>49404158.221000001</v>
      </c>
      <c r="H6" s="57">
        <v>504441312</v>
      </c>
    </row>
    <row r="7" spans="1:8" x14ac:dyDescent="0.25">
      <c r="A7" s="60" t="s">
        <v>187</v>
      </c>
      <c r="B7" s="61" t="s">
        <v>183</v>
      </c>
      <c r="C7" s="61" t="s">
        <v>184</v>
      </c>
      <c r="D7" s="57">
        <v>380.08699999999999</v>
      </c>
      <c r="E7" s="57">
        <v>12</v>
      </c>
      <c r="F7" s="57">
        <v>19867.830999999998</v>
      </c>
      <c r="G7" s="57">
        <v>41068208.702</v>
      </c>
      <c r="H7" s="57">
        <v>688846298</v>
      </c>
    </row>
    <row r="8" spans="1:8" x14ac:dyDescent="0.25">
      <c r="A8" s="60" t="s">
        <v>188</v>
      </c>
      <c r="B8" s="61" t="s">
        <v>183</v>
      </c>
      <c r="C8" s="61" t="s">
        <v>184</v>
      </c>
      <c r="D8" s="57">
        <v>87176.319000000003</v>
      </c>
      <c r="E8" s="57">
        <v>12</v>
      </c>
      <c r="F8" s="57">
        <v>70802.153999999995</v>
      </c>
      <c r="G8" s="57">
        <v>41883006.827</v>
      </c>
      <c r="H8" s="57">
        <v>420328919</v>
      </c>
    </row>
    <row r="9" spans="1:8" x14ac:dyDescent="0.25">
      <c r="A9" s="60" t="s">
        <v>189</v>
      </c>
      <c r="B9" s="61" t="s">
        <v>183</v>
      </c>
      <c r="C9" s="61" t="s">
        <v>184</v>
      </c>
      <c r="D9" s="57">
        <v>36917.826999999997</v>
      </c>
      <c r="E9" s="57">
        <v>12</v>
      </c>
      <c r="F9" s="57">
        <v>12090.081</v>
      </c>
      <c r="G9" s="57">
        <v>9747714.3200000003</v>
      </c>
      <c r="H9" s="57">
        <v>122261948</v>
      </c>
    </row>
    <row r="10" spans="1:8" x14ac:dyDescent="0.25">
      <c r="A10" s="60" t="s">
        <v>190</v>
      </c>
      <c r="B10" s="61" t="s">
        <v>183</v>
      </c>
      <c r="C10" s="61" t="s">
        <v>184</v>
      </c>
      <c r="D10" s="57">
        <v>957.67499999999995</v>
      </c>
      <c r="E10" s="57">
        <v>12</v>
      </c>
      <c r="F10" s="57">
        <v>273.28399999999999</v>
      </c>
      <c r="G10" s="57">
        <v>173185.86600000001</v>
      </c>
      <c r="H10" s="57">
        <v>2224628</v>
      </c>
    </row>
    <row r="11" spans="1:8" x14ac:dyDescent="0.25">
      <c r="A11" s="60" t="s">
        <v>191</v>
      </c>
      <c r="B11" s="61" t="s">
        <v>183</v>
      </c>
      <c r="C11" s="61" t="s">
        <v>184</v>
      </c>
      <c r="D11" s="57">
        <v>40290.542000000001</v>
      </c>
      <c r="E11" s="57">
        <v>12</v>
      </c>
      <c r="F11" s="57">
        <v>10493.9</v>
      </c>
      <c r="G11" s="57">
        <v>6240205.4170000004</v>
      </c>
      <c r="H11" s="57">
        <v>64581020</v>
      </c>
    </row>
    <row r="12" spans="1:8" x14ac:dyDescent="0.25">
      <c r="A12" s="60" t="s">
        <v>192</v>
      </c>
      <c r="B12" s="61" t="s">
        <v>183</v>
      </c>
      <c r="C12" s="61" t="s">
        <v>184</v>
      </c>
      <c r="D12" s="57">
        <v>570061.45499999996</v>
      </c>
      <c r="E12" s="57">
        <v>12</v>
      </c>
      <c r="F12" s="57">
        <v>292508.19699999999</v>
      </c>
      <c r="G12" s="57">
        <v>127617421.64</v>
      </c>
      <c r="H12" s="57">
        <v>1435305518</v>
      </c>
    </row>
    <row r="13" spans="1:8" x14ac:dyDescent="0.25">
      <c r="A13" s="60" t="s">
        <v>193</v>
      </c>
      <c r="B13" s="61" t="s">
        <v>183</v>
      </c>
      <c r="C13" s="61" t="s">
        <v>184</v>
      </c>
      <c r="D13" s="57">
        <v>518745.61499999999</v>
      </c>
      <c r="E13" s="57">
        <v>12</v>
      </c>
      <c r="F13" s="57">
        <v>184551.93700000001</v>
      </c>
      <c r="G13" s="57">
        <v>85426769.248999998</v>
      </c>
      <c r="H13" s="57">
        <v>849463779</v>
      </c>
    </row>
    <row r="14" spans="1:8" x14ac:dyDescent="0.25">
      <c r="A14" s="60" t="s">
        <v>194</v>
      </c>
      <c r="B14" s="61" t="s">
        <v>183</v>
      </c>
      <c r="C14" s="61" t="s">
        <v>184</v>
      </c>
      <c r="D14" s="57">
        <v>137266.717</v>
      </c>
      <c r="E14" s="57">
        <v>12</v>
      </c>
      <c r="F14" s="57">
        <v>78662.634999999995</v>
      </c>
      <c r="G14" s="57">
        <v>40307118.255999997</v>
      </c>
      <c r="H14" s="57">
        <v>392397401</v>
      </c>
    </row>
    <row r="15" spans="1:8" x14ac:dyDescent="0.25">
      <c r="A15" s="60" t="s">
        <v>195</v>
      </c>
      <c r="B15" s="61" t="s">
        <v>183</v>
      </c>
      <c r="C15" s="61" t="s">
        <v>184</v>
      </c>
      <c r="D15" s="57">
        <v>2.1179999999999999</v>
      </c>
      <c r="E15" s="57">
        <v>12</v>
      </c>
      <c r="F15" s="57">
        <v>111.624</v>
      </c>
      <c r="G15" s="57">
        <v>419439.67499999999</v>
      </c>
      <c r="H15" s="57">
        <v>7125406</v>
      </c>
    </row>
    <row r="16" spans="1:8" x14ac:dyDescent="0.25">
      <c r="A16" s="60" t="s">
        <v>196</v>
      </c>
      <c r="B16" s="61" t="s">
        <v>183</v>
      </c>
      <c r="C16" s="61" t="s">
        <v>184</v>
      </c>
      <c r="D16" s="57">
        <v>429849.96799999999</v>
      </c>
      <c r="E16" s="57">
        <v>12</v>
      </c>
      <c r="F16" s="57">
        <v>227286.73300000001</v>
      </c>
      <c r="G16" s="57">
        <v>94666352.075000003</v>
      </c>
      <c r="H16" s="57">
        <v>939925410</v>
      </c>
    </row>
    <row r="17" spans="1:8" x14ac:dyDescent="0.25">
      <c r="A17" s="60" t="s">
        <v>197</v>
      </c>
      <c r="B17" s="61" t="s">
        <v>183</v>
      </c>
      <c r="C17" s="61" t="s">
        <v>184</v>
      </c>
      <c r="D17" s="57">
        <v>874617.15700000001</v>
      </c>
      <c r="E17" s="57">
        <v>12</v>
      </c>
      <c r="F17" s="57">
        <v>334522.08799999999</v>
      </c>
      <c r="G17" s="57">
        <v>139331417.729</v>
      </c>
      <c r="H17" s="57">
        <v>1356985878</v>
      </c>
    </row>
    <row r="18" spans="1:8" x14ac:dyDescent="0.25">
      <c r="A18" s="60" t="s">
        <v>198</v>
      </c>
      <c r="B18" s="61" t="s">
        <v>183</v>
      </c>
      <c r="C18" s="61" t="s">
        <v>184</v>
      </c>
      <c r="D18" s="57">
        <v>116285.04399999999</v>
      </c>
      <c r="E18" s="57">
        <v>12</v>
      </c>
      <c r="F18" s="57">
        <v>90638.165999999997</v>
      </c>
      <c r="G18" s="57">
        <v>41430221.137999997</v>
      </c>
      <c r="H18" s="57">
        <v>417613206</v>
      </c>
    </row>
    <row r="19" spans="1:8" x14ac:dyDescent="0.25">
      <c r="A19" s="60" t="s">
        <v>199</v>
      </c>
      <c r="B19" s="61" t="s">
        <v>183</v>
      </c>
      <c r="C19" s="61" t="s">
        <v>184</v>
      </c>
      <c r="D19" s="57">
        <v>584916.59499999997</v>
      </c>
      <c r="E19" s="57">
        <v>12</v>
      </c>
      <c r="F19" s="57">
        <v>246631.59700000001</v>
      </c>
      <c r="G19" s="57">
        <v>103637011.608</v>
      </c>
      <c r="H19" s="57">
        <v>1011665170</v>
      </c>
    </row>
    <row r="20" spans="1:8" x14ac:dyDescent="0.25">
      <c r="A20" s="60" t="s">
        <v>200</v>
      </c>
      <c r="B20" s="61" t="s">
        <v>183</v>
      </c>
      <c r="C20" s="61" t="s">
        <v>184</v>
      </c>
      <c r="D20" s="57">
        <v>110401.26300000001</v>
      </c>
      <c r="E20" s="57">
        <v>12</v>
      </c>
      <c r="F20" s="57">
        <v>98589.554000000004</v>
      </c>
      <c r="G20" s="57">
        <v>54064749.707000002</v>
      </c>
      <c r="H20" s="57">
        <v>634461233</v>
      </c>
    </row>
    <row r="21" spans="1:8" x14ac:dyDescent="0.25">
      <c r="A21" s="60" t="s">
        <v>201</v>
      </c>
      <c r="B21" s="61" t="s">
        <v>183</v>
      </c>
      <c r="C21" s="61" t="s">
        <v>184</v>
      </c>
      <c r="D21" s="57">
        <v>112038.625</v>
      </c>
      <c r="E21" s="57">
        <v>12</v>
      </c>
      <c r="F21" s="57">
        <v>31828.205000000002</v>
      </c>
      <c r="G21" s="57">
        <v>21470002.385000002</v>
      </c>
      <c r="H21" s="57">
        <v>237760314</v>
      </c>
    </row>
    <row r="22" spans="1:8" x14ac:dyDescent="0.25">
      <c r="A22" s="60" t="s">
        <v>202</v>
      </c>
      <c r="B22" s="61" t="s">
        <v>183</v>
      </c>
      <c r="C22" s="61" t="s">
        <v>184</v>
      </c>
      <c r="D22" s="57">
        <v>252829.223</v>
      </c>
      <c r="E22" s="57">
        <v>12</v>
      </c>
      <c r="F22" s="57">
        <v>78473.659</v>
      </c>
      <c r="G22" s="57">
        <v>32770263.327</v>
      </c>
      <c r="H22" s="57">
        <v>338427908</v>
      </c>
    </row>
    <row r="23" spans="1:8" x14ac:dyDescent="0.25">
      <c r="A23" s="60" t="s">
        <v>203</v>
      </c>
      <c r="B23" s="61" t="s">
        <v>183</v>
      </c>
      <c r="C23" s="61" t="s">
        <v>184</v>
      </c>
      <c r="D23" s="57">
        <v>10592.764999999999</v>
      </c>
      <c r="E23" s="57">
        <v>12</v>
      </c>
      <c r="F23" s="57">
        <v>2959.7069999999999</v>
      </c>
      <c r="G23" s="57">
        <v>3156289.1460000002</v>
      </c>
      <c r="H23" s="57">
        <v>44390108</v>
      </c>
    </row>
    <row r="24" spans="1:8" x14ac:dyDescent="0.25">
      <c r="A24" s="60" t="s">
        <v>204</v>
      </c>
      <c r="B24" s="61" t="s">
        <v>183</v>
      </c>
      <c r="C24" s="61" t="s">
        <v>184</v>
      </c>
      <c r="D24" s="57">
        <v>369830.08199999999</v>
      </c>
      <c r="E24" s="57">
        <v>12</v>
      </c>
      <c r="F24" s="57">
        <v>161039.28599999999</v>
      </c>
      <c r="G24" s="57">
        <v>76961860.391000003</v>
      </c>
      <c r="H24" s="57">
        <v>769615340</v>
      </c>
    </row>
    <row r="25" spans="1:8" x14ac:dyDescent="0.25">
      <c r="A25" s="60" t="s">
        <v>205</v>
      </c>
      <c r="B25" s="61" t="s">
        <v>183</v>
      </c>
      <c r="C25" s="61" t="s">
        <v>184</v>
      </c>
      <c r="D25" s="57">
        <v>93072.048999999999</v>
      </c>
      <c r="E25" s="57">
        <v>12</v>
      </c>
      <c r="F25" s="57">
        <v>83543.990000000005</v>
      </c>
      <c r="G25" s="57">
        <v>38796256.413000003</v>
      </c>
      <c r="H25" s="57">
        <v>380527769</v>
      </c>
    </row>
    <row r="26" spans="1:8" x14ac:dyDescent="0.25">
      <c r="A26" s="60" t="s">
        <v>206</v>
      </c>
      <c r="B26" s="61" t="s">
        <v>183</v>
      </c>
      <c r="C26" s="61" t="s">
        <v>184</v>
      </c>
      <c r="D26" s="57">
        <v>222724.22200000001</v>
      </c>
      <c r="E26" s="57">
        <v>12</v>
      </c>
      <c r="F26" s="57">
        <v>158316.77100000001</v>
      </c>
      <c r="G26" s="57">
        <v>73923987.526999995</v>
      </c>
      <c r="H26" s="57">
        <v>713202201</v>
      </c>
    </row>
    <row r="27" spans="1:8" x14ac:dyDescent="0.25">
      <c r="A27" s="60" t="s">
        <v>207</v>
      </c>
      <c r="B27" s="61" t="s">
        <v>183</v>
      </c>
      <c r="C27" s="61" t="s">
        <v>184</v>
      </c>
      <c r="D27" s="57">
        <v>129913.061</v>
      </c>
      <c r="E27" s="57">
        <v>12</v>
      </c>
      <c r="F27" s="57">
        <v>62107.591999999997</v>
      </c>
      <c r="G27" s="57">
        <v>24213671.945999999</v>
      </c>
      <c r="H27" s="57">
        <v>252532550</v>
      </c>
    </row>
    <row r="28" spans="1:8" x14ac:dyDescent="0.25">
      <c r="A28" s="60" t="s">
        <v>208</v>
      </c>
      <c r="B28" s="61" t="s">
        <v>183</v>
      </c>
      <c r="C28" s="61" t="s">
        <v>184</v>
      </c>
      <c r="D28" s="57">
        <v>20247.216</v>
      </c>
      <c r="E28" s="57">
        <v>12</v>
      </c>
      <c r="F28" s="57">
        <v>34843.555</v>
      </c>
      <c r="G28" s="57">
        <v>18400545.090999998</v>
      </c>
      <c r="H28" s="57">
        <v>179227823</v>
      </c>
    </row>
    <row r="29" spans="1:8" x14ac:dyDescent="0.25">
      <c r="A29" s="60" t="s">
        <v>209</v>
      </c>
      <c r="B29" s="61" t="s">
        <v>183</v>
      </c>
      <c r="C29" s="61" t="s">
        <v>184</v>
      </c>
      <c r="D29" s="57">
        <v>453442.37400000001</v>
      </c>
      <c r="E29" s="57">
        <v>12</v>
      </c>
      <c r="F29" s="57">
        <v>160857.60800000001</v>
      </c>
      <c r="G29" s="57">
        <v>74056727.400000006</v>
      </c>
      <c r="H29" s="57">
        <v>726975141</v>
      </c>
    </row>
    <row r="30" spans="1:8" x14ac:dyDescent="0.25">
      <c r="A30" s="60" t="s">
        <v>210</v>
      </c>
      <c r="B30" s="61" t="s">
        <v>183</v>
      </c>
      <c r="C30" s="61" t="s">
        <v>184</v>
      </c>
      <c r="D30" s="57">
        <v>149805.87700000001</v>
      </c>
      <c r="E30" s="57">
        <v>12</v>
      </c>
      <c r="F30" s="57">
        <v>78675.75</v>
      </c>
      <c r="G30" s="57">
        <v>37150464.975000001</v>
      </c>
      <c r="H30" s="57">
        <v>341298630</v>
      </c>
    </row>
    <row r="31" spans="1:8" x14ac:dyDescent="0.25">
      <c r="A31" s="60" t="s">
        <v>211</v>
      </c>
      <c r="B31" s="61" t="s">
        <v>183</v>
      </c>
      <c r="C31" s="61" t="s">
        <v>184</v>
      </c>
      <c r="D31" s="57">
        <v>60233.998</v>
      </c>
      <c r="E31" s="57">
        <v>12</v>
      </c>
      <c r="F31" s="57">
        <v>42425.205000000002</v>
      </c>
      <c r="G31" s="57">
        <v>21602700.642999999</v>
      </c>
      <c r="H31" s="57">
        <v>211988705</v>
      </c>
    </row>
    <row r="32" spans="1:8" x14ac:dyDescent="0.25">
      <c r="A32" s="60" t="s">
        <v>212</v>
      </c>
      <c r="B32" s="61" t="s">
        <v>183</v>
      </c>
      <c r="C32" s="61" t="s">
        <v>184</v>
      </c>
      <c r="D32" s="57">
        <v>51326.385999999999</v>
      </c>
      <c r="E32" s="57">
        <v>12</v>
      </c>
      <c r="F32" s="57">
        <v>8648.11</v>
      </c>
      <c r="G32" s="57">
        <v>5178730.3360000001</v>
      </c>
      <c r="H32" s="57">
        <v>52162959</v>
      </c>
    </row>
    <row r="33" spans="1:8" x14ac:dyDescent="0.25">
      <c r="A33" s="60" t="s">
        <v>213</v>
      </c>
      <c r="B33" s="61" t="s">
        <v>183</v>
      </c>
      <c r="C33" s="61" t="s">
        <v>184</v>
      </c>
      <c r="D33" s="57">
        <v>60037.233999999997</v>
      </c>
      <c r="E33" s="57">
        <v>12</v>
      </c>
      <c r="F33" s="57">
        <v>29287.040000000001</v>
      </c>
      <c r="G33" s="57">
        <v>11194722.870999999</v>
      </c>
      <c r="H33" s="57">
        <v>122781493</v>
      </c>
    </row>
    <row r="34" spans="1:8" x14ac:dyDescent="0.25">
      <c r="A34" s="60" t="s">
        <v>214</v>
      </c>
      <c r="B34" s="61" t="s">
        <v>183</v>
      </c>
      <c r="C34" s="61" t="s">
        <v>184</v>
      </c>
      <c r="D34" s="57">
        <v>68616.623000000007</v>
      </c>
      <c r="E34" s="57">
        <v>12</v>
      </c>
      <c r="F34" s="57">
        <v>86287.044999999998</v>
      </c>
      <c r="G34" s="57">
        <v>35977992.535999998</v>
      </c>
      <c r="H34" s="57">
        <v>367379916</v>
      </c>
    </row>
    <row r="35" spans="1:8" x14ac:dyDescent="0.25">
      <c r="A35" s="60" t="s">
        <v>215</v>
      </c>
      <c r="B35" s="61" t="s">
        <v>183</v>
      </c>
      <c r="C35" s="61" t="s">
        <v>184</v>
      </c>
      <c r="D35" s="57">
        <v>53203.110999999997</v>
      </c>
      <c r="E35" s="57">
        <v>12</v>
      </c>
      <c r="F35" s="57">
        <v>46492.15</v>
      </c>
      <c r="G35" s="57">
        <v>24422529.956</v>
      </c>
      <c r="H35" s="57">
        <v>264262358</v>
      </c>
    </row>
    <row r="36" spans="1:8" x14ac:dyDescent="0.25">
      <c r="A36" s="60" t="s">
        <v>216</v>
      </c>
      <c r="B36" s="61" t="s">
        <v>183</v>
      </c>
      <c r="C36" s="61" t="s">
        <v>184</v>
      </c>
      <c r="D36" s="57">
        <v>283344.76699999999</v>
      </c>
      <c r="E36" s="57">
        <v>12</v>
      </c>
      <c r="F36" s="57">
        <v>81943.091</v>
      </c>
      <c r="G36" s="57">
        <v>57114438.523999996</v>
      </c>
      <c r="H36" s="57">
        <v>669733617</v>
      </c>
    </row>
    <row r="37" spans="1:8" x14ac:dyDescent="0.25">
      <c r="A37" s="60" t="s">
        <v>217</v>
      </c>
      <c r="B37" s="61" t="s">
        <v>183</v>
      </c>
      <c r="C37" s="61" t="s">
        <v>184</v>
      </c>
      <c r="D37" s="57">
        <v>1209458.017</v>
      </c>
      <c r="E37" s="57">
        <v>12</v>
      </c>
      <c r="F37" s="57">
        <v>375154.92</v>
      </c>
      <c r="G37" s="57">
        <v>136413489.48500001</v>
      </c>
      <c r="H37" s="57">
        <v>1333059265</v>
      </c>
    </row>
    <row r="38" spans="1:8" x14ac:dyDescent="0.25">
      <c r="A38" s="60" t="s">
        <v>218</v>
      </c>
      <c r="B38" s="61" t="s">
        <v>183</v>
      </c>
      <c r="C38" s="61" t="s">
        <v>184</v>
      </c>
      <c r="D38" s="57">
        <v>93417.528999999995</v>
      </c>
      <c r="E38" s="57">
        <v>12</v>
      </c>
      <c r="F38" s="57">
        <v>92951.531000000003</v>
      </c>
      <c r="G38" s="57">
        <v>45732532.07</v>
      </c>
      <c r="H38" s="57">
        <v>530729672</v>
      </c>
    </row>
    <row r="39" spans="1:8" x14ac:dyDescent="0.25">
      <c r="A39" s="60" t="s">
        <v>219</v>
      </c>
      <c r="B39" s="61" t="s">
        <v>183</v>
      </c>
      <c r="C39" s="61" t="s">
        <v>184</v>
      </c>
      <c r="D39" s="57">
        <v>14386.823</v>
      </c>
      <c r="E39" s="57">
        <v>12</v>
      </c>
      <c r="F39" s="57">
        <v>8510.4089999999997</v>
      </c>
      <c r="G39" s="57">
        <v>6481876.2050000001</v>
      </c>
      <c r="H39" s="57">
        <v>80758027</v>
      </c>
    </row>
    <row r="40" spans="1:8" x14ac:dyDescent="0.25">
      <c r="A40" s="60" t="s">
        <v>220</v>
      </c>
      <c r="B40" s="61" t="s">
        <v>183</v>
      </c>
      <c r="C40" s="61" t="s">
        <v>184</v>
      </c>
      <c r="D40" s="57">
        <v>935167.81900000002</v>
      </c>
      <c r="E40" s="57">
        <v>12</v>
      </c>
      <c r="F40" s="57">
        <v>209330.117</v>
      </c>
      <c r="G40" s="57">
        <v>112322935.31299999</v>
      </c>
      <c r="H40" s="57">
        <v>1105470891</v>
      </c>
    </row>
    <row r="41" spans="1:8" x14ac:dyDescent="0.25">
      <c r="A41" s="60" t="s">
        <v>221</v>
      </c>
      <c r="B41" s="61" t="s">
        <v>183</v>
      </c>
      <c r="C41" s="61" t="s">
        <v>184</v>
      </c>
      <c r="D41" s="57">
        <v>5.9939999999999998</v>
      </c>
      <c r="E41" s="57">
        <v>12</v>
      </c>
      <c r="F41" s="57">
        <v>333.59699999999998</v>
      </c>
      <c r="G41" s="57">
        <v>1182344.7250000001</v>
      </c>
      <c r="H41" s="57">
        <v>19964181</v>
      </c>
    </row>
    <row r="42" spans="1:8" x14ac:dyDescent="0.25">
      <c r="A42" s="60" t="s">
        <v>222</v>
      </c>
      <c r="B42" s="61" t="s">
        <v>183</v>
      </c>
      <c r="C42" s="61" t="s">
        <v>184</v>
      </c>
      <c r="D42" s="57">
        <v>200301.03599999999</v>
      </c>
      <c r="E42" s="57">
        <v>12</v>
      </c>
      <c r="F42" s="57">
        <v>87774.732999999993</v>
      </c>
      <c r="G42" s="57">
        <v>41170490.829999998</v>
      </c>
      <c r="H42" s="57">
        <v>404601346</v>
      </c>
    </row>
    <row r="43" spans="1:8" x14ac:dyDescent="0.25">
      <c r="A43" s="60" t="s">
        <v>223</v>
      </c>
      <c r="B43" s="61" t="s">
        <v>183</v>
      </c>
      <c r="C43" s="61" t="s">
        <v>184</v>
      </c>
      <c r="D43" s="57">
        <v>13532.882</v>
      </c>
      <c r="E43" s="57">
        <v>12</v>
      </c>
      <c r="F43" s="57">
        <v>17056.791000000001</v>
      </c>
      <c r="G43" s="57">
        <v>4224849.4620000003</v>
      </c>
      <c r="H43" s="57">
        <v>41821410</v>
      </c>
    </row>
    <row r="44" spans="1:8" x14ac:dyDescent="0.25">
      <c r="A44" s="60" t="s">
        <v>224</v>
      </c>
      <c r="B44" s="61" t="s">
        <v>183</v>
      </c>
      <c r="C44" s="61" t="s">
        <v>184</v>
      </c>
      <c r="D44" s="57">
        <v>424973.07199999999</v>
      </c>
      <c r="E44" s="57">
        <v>12</v>
      </c>
      <c r="F44" s="57">
        <v>156009.978</v>
      </c>
      <c r="G44" s="57">
        <v>64243056.435000002</v>
      </c>
      <c r="H44" s="57">
        <v>633329911</v>
      </c>
    </row>
    <row r="45" spans="1:8" x14ac:dyDescent="0.25">
      <c r="A45" s="60" t="s">
        <v>225</v>
      </c>
      <c r="B45" s="61" t="s">
        <v>183</v>
      </c>
      <c r="C45" s="61" t="s">
        <v>184</v>
      </c>
      <c r="D45" s="57">
        <v>557510.22600000002</v>
      </c>
      <c r="E45" s="57">
        <v>12</v>
      </c>
      <c r="F45" s="57">
        <v>382024.67</v>
      </c>
      <c r="G45" s="57">
        <v>243736709.736</v>
      </c>
      <c r="H45" s="57">
        <v>2930099395</v>
      </c>
    </row>
    <row r="46" spans="1:8" x14ac:dyDescent="0.25">
      <c r="A46" s="60" t="s">
        <v>226</v>
      </c>
      <c r="B46" s="61" t="s">
        <v>183</v>
      </c>
      <c r="C46" s="61" t="s">
        <v>184</v>
      </c>
      <c r="D46" s="57">
        <v>27202.061000000002</v>
      </c>
      <c r="E46" s="57">
        <v>12</v>
      </c>
      <c r="F46" s="57">
        <v>75484.203999999998</v>
      </c>
      <c r="G46" s="57">
        <v>37533163.472999997</v>
      </c>
      <c r="H46" s="57">
        <v>369728535</v>
      </c>
    </row>
    <row r="47" spans="1:8" x14ac:dyDescent="0.25">
      <c r="A47" s="60" t="s">
        <v>227</v>
      </c>
      <c r="B47" s="61" t="s">
        <v>183</v>
      </c>
      <c r="C47" s="61" t="s">
        <v>184</v>
      </c>
      <c r="D47" s="57">
        <v>214231.87700000001</v>
      </c>
      <c r="E47" s="57">
        <v>12</v>
      </c>
      <c r="F47" s="57">
        <v>81228.487999999998</v>
      </c>
      <c r="G47" s="57">
        <v>39663882.196000002</v>
      </c>
      <c r="H47" s="57">
        <v>395512132</v>
      </c>
    </row>
    <row r="48" spans="1:8" x14ac:dyDescent="0.25">
      <c r="A48" s="60" t="s">
        <v>228</v>
      </c>
      <c r="B48" s="61" t="s">
        <v>183</v>
      </c>
      <c r="C48" s="61" t="s">
        <v>184</v>
      </c>
      <c r="D48" s="57">
        <v>8.6669999999999998</v>
      </c>
      <c r="E48" s="57">
        <v>12</v>
      </c>
      <c r="F48" s="57">
        <v>320.24099999999999</v>
      </c>
      <c r="G48" s="57">
        <v>404810.75</v>
      </c>
      <c r="H48" s="57">
        <v>4387012</v>
      </c>
    </row>
    <row r="49" spans="1:8" x14ac:dyDescent="0.25">
      <c r="A49" s="60" t="s">
        <v>229</v>
      </c>
      <c r="B49" s="61" t="s">
        <v>183</v>
      </c>
      <c r="C49" s="61" t="s">
        <v>184</v>
      </c>
      <c r="D49" s="57">
        <v>83623.010999999999</v>
      </c>
      <c r="E49" s="57">
        <v>12</v>
      </c>
      <c r="F49" s="57">
        <v>20206.123</v>
      </c>
      <c r="G49" s="57">
        <v>11149303.245999999</v>
      </c>
      <c r="H49" s="57">
        <v>114362279</v>
      </c>
    </row>
    <row r="50" spans="1:8" x14ac:dyDescent="0.25">
      <c r="A50" s="60" t="s">
        <v>230</v>
      </c>
      <c r="B50" s="61" t="s">
        <v>183</v>
      </c>
      <c r="C50" s="61" t="s">
        <v>184</v>
      </c>
      <c r="D50" s="57">
        <v>196830.40100000001</v>
      </c>
      <c r="E50" s="57">
        <v>12</v>
      </c>
      <c r="F50" s="57">
        <v>105949.274</v>
      </c>
      <c r="G50" s="57">
        <v>51880119.408</v>
      </c>
      <c r="H50" s="57">
        <v>513589817</v>
      </c>
    </row>
    <row r="51" spans="1:8" x14ac:dyDescent="0.25">
      <c r="A51" s="60" t="s">
        <v>231</v>
      </c>
      <c r="B51" s="61" t="s">
        <v>183</v>
      </c>
      <c r="C51" s="61" t="s">
        <v>184</v>
      </c>
      <c r="D51" s="57">
        <v>593314.90700000001</v>
      </c>
      <c r="E51" s="57">
        <v>12</v>
      </c>
      <c r="F51" s="57">
        <v>259228.76</v>
      </c>
      <c r="G51" s="57">
        <v>91711604.346000001</v>
      </c>
      <c r="H51" s="57">
        <v>893860124</v>
      </c>
    </row>
    <row r="52" spans="1:8" x14ac:dyDescent="0.25">
      <c r="A52" s="60" t="s">
        <v>232</v>
      </c>
      <c r="B52" s="61" t="s">
        <v>183</v>
      </c>
      <c r="C52" s="61" t="s">
        <v>184</v>
      </c>
      <c r="D52" s="57">
        <v>80300.241999999998</v>
      </c>
      <c r="E52" s="57">
        <v>12</v>
      </c>
      <c r="F52" s="57">
        <v>88814.077000000005</v>
      </c>
      <c r="G52" s="57">
        <v>51178274.943999998</v>
      </c>
      <c r="H52" s="57">
        <v>496757429</v>
      </c>
    </row>
    <row r="53" spans="1:8" ht="21" thickBot="1" x14ac:dyDescent="0.3">
      <c r="A53" s="62" t="s">
        <v>170</v>
      </c>
      <c r="B53" s="63"/>
      <c r="C53" s="63"/>
      <c r="D53" s="64" t="s">
        <v>233</v>
      </c>
      <c r="E53" s="63"/>
      <c r="F53" s="64" t="s">
        <v>234</v>
      </c>
      <c r="G53" s="64" t="s">
        <v>235</v>
      </c>
      <c r="H53" s="65" t="s">
        <v>236</v>
      </c>
    </row>
    <row r="54" spans="1:8" x14ac:dyDescent="0.25">
      <c r="A54" s="66"/>
      <c r="B54" s="67"/>
      <c r="C54" s="67"/>
      <c r="D54" s="68"/>
      <c r="E54" s="67"/>
      <c r="F54" s="68"/>
      <c r="G54" s="68"/>
      <c r="H54" s="68"/>
    </row>
    <row r="55" spans="1:8" x14ac:dyDescent="0.25">
      <c r="A55" s="69" t="s">
        <v>237</v>
      </c>
      <c r="B55" s="57"/>
      <c r="C55" s="57"/>
      <c r="D55" s="57"/>
      <c r="E55" s="57"/>
      <c r="F55" s="57"/>
      <c r="G55" s="57"/>
      <c r="H55" s="57"/>
    </row>
    <row r="56" spans="1:8" x14ac:dyDescent="0.25">
      <c r="A56" s="70" t="s">
        <v>238</v>
      </c>
      <c r="B56" s="57"/>
      <c r="C56" s="57"/>
      <c r="D56" s="57">
        <v>22486</v>
      </c>
      <c r="E56" s="57"/>
      <c r="F56" s="57">
        <v>17691</v>
      </c>
      <c r="G56" s="57"/>
      <c r="H56" s="57"/>
    </row>
    <row r="57" spans="1:8" x14ac:dyDescent="0.25">
      <c r="A57" s="70" t="s">
        <v>0</v>
      </c>
      <c r="B57" s="57"/>
      <c r="C57" s="57"/>
      <c r="D57" s="57">
        <v>1690</v>
      </c>
      <c r="E57" s="57"/>
      <c r="F57" s="57">
        <v>4770</v>
      </c>
      <c r="G57" s="57"/>
      <c r="H57" s="57"/>
    </row>
    <row r="58" spans="1:8" x14ac:dyDescent="0.25">
      <c r="A58" s="57"/>
      <c r="B58" s="57"/>
      <c r="C58" s="57" t="s">
        <v>239</v>
      </c>
      <c r="D58" s="57"/>
      <c r="E58" s="57"/>
      <c r="F58" s="57"/>
      <c r="G58" s="57"/>
      <c r="H58" s="57"/>
    </row>
    <row r="59" spans="1:8" x14ac:dyDescent="0.25">
      <c r="A59" s="57"/>
      <c r="B59" s="57"/>
      <c r="C59" s="57"/>
      <c r="D59" s="57" t="s">
        <v>53</v>
      </c>
      <c r="E59" s="57" t="s">
        <v>177</v>
      </c>
      <c r="F59" s="57" t="s">
        <v>52</v>
      </c>
      <c r="G59" s="57" t="s">
        <v>181</v>
      </c>
      <c r="H59" s="57"/>
    </row>
    <row r="60" spans="1:8" x14ac:dyDescent="0.25">
      <c r="A60" s="57"/>
      <c r="B60" s="57"/>
      <c r="C60" s="57" t="s">
        <v>43</v>
      </c>
      <c r="D60" s="71">
        <v>210890.264</v>
      </c>
      <c r="E60" s="71">
        <v>56179.941000000006</v>
      </c>
      <c r="F60" s="71">
        <v>41139891.662</v>
      </c>
      <c r="G60" s="71">
        <v>480926522</v>
      </c>
      <c r="H60" s="57"/>
    </row>
    <row r="61" spans="1:8" x14ac:dyDescent="0.25">
      <c r="A61" s="57"/>
      <c r="B61" s="57"/>
      <c r="C61" s="57" t="s">
        <v>44</v>
      </c>
      <c r="D61" s="71">
        <v>1278549.82</v>
      </c>
      <c r="E61" s="71">
        <v>320560.24800000002</v>
      </c>
      <c r="F61" s="71">
        <v>180632096.708</v>
      </c>
      <c r="G61" s="71">
        <v>1897986001</v>
      </c>
      <c r="H61" s="57"/>
    </row>
    <row r="62" spans="1:8" x14ac:dyDescent="0.25">
      <c r="A62" s="57"/>
      <c r="B62" s="57"/>
      <c r="C62" s="57" t="s">
        <v>45</v>
      </c>
      <c r="D62" s="71">
        <v>3080585.625</v>
      </c>
      <c r="E62" s="71">
        <v>1203952.3009999997</v>
      </c>
      <c r="F62" s="71">
        <v>499253239.088</v>
      </c>
      <c r="G62" s="71">
        <v>4913175710</v>
      </c>
      <c r="H62" s="57"/>
    </row>
    <row r="63" spans="1:8" x14ac:dyDescent="0.25">
      <c r="A63" s="57"/>
      <c r="B63" s="57"/>
      <c r="C63" s="57" t="s">
        <v>46</v>
      </c>
      <c r="D63" s="71">
        <v>792920.78899999999</v>
      </c>
      <c r="E63" s="71">
        <v>549319.30800000008</v>
      </c>
      <c r="F63" s="71">
        <v>257435598.414</v>
      </c>
      <c r="G63" s="71">
        <v>2498849322</v>
      </c>
      <c r="H63" s="57"/>
    </row>
    <row r="64" spans="1:8" x14ac:dyDescent="0.25">
      <c r="A64" s="57"/>
      <c r="B64" s="57"/>
      <c r="C64" s="57" t="s">
        <v>47</v>
      </c>
      <c r="D64" s="71">
        <v>2844174.7040000004</v>
      </c>
      <c r="E64" s="71">
        <v>1155390.5660000001</v>
      </c>
      <c r="F64" s="71">
        <v>498830550.27099997</v>
      </c>
      <c r="G64" s="71">
        <v>5110951596</v>
      </c>
      <c r="H64" s="57"/>
    </row>
    <row r="65" spans="3:7" x14ac:dyDescent="0.25">
      <c r="C65" s="57" t="s">
        <v>48</v>
      </c>
      <c r="D65" s="71">
        <v>1651877.3869999999</v>
      </c>
      <c r="E65" s="71">
        <v>645850.66799999995</v>
      </c>
      <c r="F65" s="71">
        <v>280900104.05799997</v>
      </c>
      <c r="G65" s="71">
        <v>2781184845</v>
      </c>
    </row>
    <row r="66" spans="3:7" x14ac:dyDescent="0.25">
      <c r="C66" s="57" t="s">
        <v>49</v>
      </c>
      <c r="D66" s="71">
        <v>836386.62800000003</v>
      </c>
      <c r="E66" s="71">
        <v>625353.21399999992</v>
      </c>
      <c r="F66" s="71">
        <v>375451172.37099999</v>
      </c>
      <c r="G66" s="71">
        <v>4429784428</v>
      </c>
    </row>
    <row r="67" spans="3:7" x14ac:dyDescent="0.25">
      <c r="C67" s="57" t="s">
        <v>50</v>
      </c>
      <c r="D67" s="71">
        <v>408304.179</v>
      </c>
      <c r="E67" s="71">
        <v>499325.21600000001</v>
      </c>
      <c r="F67" s="71">
        <v>259219110.72300002</v>
      </c>
      <c r="G67" s="71">
        <v>2609251698</v>
      </c>
    </row>
    <row r="68" spans="3:7" x14ac:dyDescent="0.25">
      <c r="C68" s="57" t="s">
        <v>240</v>
      </c>
      <c r="D68" s="71">
        <v>98389.921000000002</v>
      </c>
      <c r="E68" s="71">
        <v>48584.362999999998</v>
      </c>
      <c r="F68" s="71">
        <v>58699388.152999997</v>
      </c>
      <c r="G68" s="71">
        <v>883966604</v>
      </c>
    </row>
    <row r="69" spans="3:7" x14ac:dyDescent="0.25">
      <c r="C69" s="57" t="s">
        <v>241</v>
      </c>
      <c r="D69" s="71">
        <v>24176</v>
      </c>
      <c r="E69" s="71">
        <v>22461</v>
      </c>
      <c r="F69" s="71"/>
      <c r="G69" s="71"/>
    </row>
    <row r="70" spans="3:7" x14ac:dyDescent="0.25">
      <c r="C70" s="57"/>
      <c r="D70" s="71">
        <v>11226255.317</v>
      </c>
      <c r="E70" s="71">
        <v>5126976.8250000002</v>
      </c>
      <c r="F70" s="71">
        <v>2451561151.4479995</v>
      </c>
      <c r="G70" s="71">
        <v>25606076726</v>
      </c>
    </row>
    <row r="72" spans="3:7" x14ac:dyDescent="0.25">
      <c r="C72" s="57" t="s">
        <v>242</v>
      </c>
      <c r="D72" s="57"/>
      <c r="E72" s="57"/>
      <c r="F72" s="57"/>
      <c r="G72" s="57"/>
    </row>
    <row r="73" spans="3:7" x14ac:dyDescent="0.25">
      <c r="C73" s="57"/>
      <c r="D73" s="57" t="s">
        <v>243</v>
      </c>
      <c r="E73" s="57" t="s">
        <v>244</v>
      </c>
      <c r="F73" s="57" t="s">
        <v>245</v>
      </c>
      <c r="G73" s="57" t="s">
        <v>246</v>
      </c>
    </row>
    <row r="74" spans="3:7" x14ac:dyDescent="0.25">
      <c r="C74" s="57" t="s">
        <v>43</v>
      </c>
      <c r="D74" s="71">
        <v>191.31964750080002</v>
      </c>
      <c r="E74" s="71">
        <v>131.26914652320002</v>
      </c>
      <c r="F74" s="71">
        <v>50.966442475200004</v>
      </c>
      <c r="G74" s="71">
        <v>34.23538923840001</v>
      </c>
    </row>
    <row r="75" spans="3:7" x14ac:dyDescent="0.25">
      <c r="C75" s="57" t="s">
        <v>44</v>
      </c>
      <c r="D75" s="71">
        <v>1159.9003967040001</v>
      </c>
      <c r="E75" s="71">
        <v>1103.9816029536</v>
      </c>
      <c r="F75" s="71">
        <v>290.81225698560002</v>
      </c>
      <c r="G75" s="71">
        <v>228.2670258624</v>
      </c>
    </row>
    <row r="76" spans="3:7" x14ac:dyDescent="0.25">
      <c r="C76" s="57" t="s">
        <v>45</v>
      </c>
      <c r="D76" s="71">
        <v>2794.7072790000002</v>
      </c>
      <c r="E76" s="71">
        <v>2544.3532063151997</v>
      </c>
      <c r="F76" s="71">
        <v>1092.2255274671998</v>
      </c>
      <c r="G76" s="71">
        <v>698.36867543519998</v>
      </c>
    </row>
    <row r="77" spans="3:7" x14ac:dyDescent="0.25">
      <c r="C77" s="57" t="s">
        <v>46</v>
      </c>
      <c r="D77" s="71">
        <v>719.33773978080001</v>
      </c>
      <c r="E77" s="71">
        <v>778.33850965919999</v>
      </c>
      <c r="F77" s="71">
        <v>498.34247621760011</v>
      </c>
      <c r="G77" s="71">
        <v>461.5228025856</v>
      </c>
    </row>
    <row r="78" spans="3:7" x14ac:dyDescent="0.25">
      <c r="C78" s="57" t="s">
        <v>47</v>
      </c>
      <c r="D78" s="71">
        <v>2580.2352914688004</v>
      </c>
      <c r="E78" s="71">
        <v>2483.8175302416003</v>
      </c>
      <c r="F78" s="71">
        <v>1048.1703214752001</v>
      </c>
      <c r="G78" s="71">
        <v>699.95686330079991</v>
      </c>
    </row>
    <row r="79" spans="3:7" x14ac:dyDescent="0.25">
      <c r="C79" s="57" t="s">
        <v>48</v>
      </c>
      <c r="D79" s="71">
        <v>1498.5831654863998</v>
      </c>
      <c r="E79" s="71">
        <v>1179.7865291520002</v>
      </c>
      <c r="F79" s="71">
        <v>585.91572600959989</v>
      </c>
      <c r="G79" s="71">
        <v>402.1497268992</v>
      </c>
    </row>
    <row r="80" spans="3:7" x14ac:dyDescent="0.25">
      <c r="C80" s="57" t="s">
        <v>49</v>
      </c>
      <c r="D80" s="71">
        <v>758.76994892159996</v>
      </c>
      <c r="E80" s="71">
        <v>733.85008391520012</v>
      </c>
      <c r="F80" s="71">
        <v>567.32043574079989</v>
      </c>
      <c r="G80" s="71">
        <v>327.56965678079996</v>
      </c>
    </row>
    <row r="81" spans="3:7" x14ac:dyDescent="0.25">
      <c r="C81" s="57" t="s">
        <v>50</v>
      </c>
      <c r="D81" s="71">
        <v>370.4135511888</v>
      </c>
      <c r="E81" s="71">
        <v>304.43152259519991</v>
      </c>
      <c r="F81" s="71">
        <v>452.98783595520001</v>
      </c>
      <c r="G81" s="71">
        <v>416.1788690976</v>
      </c>
    </row>
    <row r="82" spans="3:7" x14ac:dyDescent="0.25">
      <c r="C82" s="57" t="s">
        <v>51</v>
      </c>
      <c r="D82" s="71">
        <v>111.19180353120001</v>
      </c>
      <c r="E82" s="71">
        <v>36.08295012</v>
      </c>
      <c r="F82" s="71">
        <v>64.4523533136</v>
      </c>
      <c r="G82" s="71">
        <v>48.286891195199999</v>
      </c>
    </row>
    <row r="83" spans="3:7" x14ac:dyDescent="0.25">
      <c r="C83" s="57" t="s">
        <v>247</v>
      </c>
      <c r="D83" s="71">
        <v>10184.458823582398</v>
      </c>
      <c r="E83" s="71">
        <v>9295.9110814752003</v>
      </c>
      <c r="F83" s="71">
        <v>4651.1933756399994</v>
      </c>
      <c r="G83" s="71">
        <v>3316.5359003951999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workbookViewId="0">
      <selection activeCell="J31" sqref="J31"/>
    </sheetView>
  </sheetViews>
  <sheetFormatPr defaultRowHeight="13.2" x14ac:dyDescent="0.25"/>
  <sheetData>
    <row r="1" spans="1:8" x14ac:dyDescent="0.25">
      <c r="A1" s="57" t="s">
        <v>178</v>
      </c>
      <c r="B1" s="57"/>
      <c r="C1" s="57"/>
      <c r="D1" s="57"/>
      <c r="E1" s="57"/>
      <c r="F1" s="57"/>
      <c r="G1" s="57"/>
      <c r="H1" s="57"/>
    </row>
    <row r="2" spans="1:8" x14ac:dyDescent="0.25">
      <c r="A2" s="57" t="s">
        <v>179</v>
      </c>
      <c r="B2" s="57"/>
      <c r="C2" s="57"/>
      <c r="D2" s="57"/>
      <c r="E2" s="57"/>
      <c r="F2" s="57"/>
      <c r="G2" s="57"/>
      <c r="H2" s="57"/>
    </row>
    <row r="3" spans="1:8" ht="13.8" thickBot="1" x14ac:dyDescent="0.3">
      <c r="A3" s="57"/>
      <c r="B3" s="57"/>
      <c r="C3" s="57"/>
      <c r="D3" s="57" t="s">
        <v>53</v>
      </c>
      <c r="E3" s="57"/>
      <c r="F3" s="57" t="s">
        <v>180</v>
      </c>
      <c r="G3" s="57" t="s">
        <v>52</v>
      </c>
      <c r="H3" s="57" t="s">
        <v>181</v>
      </c>
    </row>
    <row r="4" spans="1:8" x14ac:dyDescent="0.25">
      <c r="A4" s="58" t="s">
        <v>182</v>
      </c>
      <c r="B4" s="59" t="s">
        <v>248</v>
      </c>
      <c r="C4" s="59" t="s">
        <v>184</v>
      </c>
      <c r="D4" s="57">
        <v>460072.08500000002</v>
      </c>
      <c r="E4" s="57">
        <v>12</v>
      </c>
      <c r="F4" s="57">
        <v>133472.12899999999</v>
      </c>
      <c r="G4" s="57">
        <v>91469200.199000001</v>
      </c>
      <c r="H4" s="57">
        <v>936856245</v>
      </c>
    </row>
    <row r="5" spans="1:8" x14ac:dyDescent="0.25">
      <c r="A5" s="60" t="s">
        <v>185</v>
      </c>
      <c r="B5" s="61" t="s">
        <v>248</v>
      </c>
      <c r="C5" s="61" t="s">
        <v>184</v>
      </c>
      <c r="D5" s="57">
        <v>66189.725000000006</v>
      </c>
      <c r="E5" s="57">
        <v>12</v>
      </c>
      <c r="F5" s="57">
        <v>35334.608999999997</v>
      </c>
      <c r="G5" s="57">
        <v>29182072.232999999</v>
      </c>
      <c r="H5" s="57">
        <v>305933324</v>
      </c>
    </row>
    <row r="6" spans="1:8" x14ac:dyDescent="0.25">
      <c r="A6" s="60" t="s">
        <v>186</v>
      </c>
      <c r="B6" s="61" t="s">
        <v>248</v>
      </c>
      <c r="C6" s="61" t="s">
        <v>184</v>
      </c>
      <c r="D6" s="57">
        <v>52761.521000000001</v>
      </c>
      <c r="E6" s="57">
        <v>12</v>
      </c>
      <c r="F6" s="57">
        <v>80790.027000000002</v>
      </c>
      <c r="G6" s="57">
        <v>58265190.706</v>
      </c>
      <c r="H6" s="57">
        <v>657183741</v>
      </c>
    </row>
    <row r="7" spans="1:8" x14ac:dyDescent="0.25">
      <c r="A7" s="60" t="s">
        <v>187</v>
      </c>
      <c r="B7" s="61" t="s">
        <v>248</v>
      </c>
      <c r="C7" s="61" t="s">
        <v>184</v>
      </c>
      <c r="D7" s="57">
        <v>172.398</v>
      </c>
      <c r="E7" s="57">
        <v>12</v>
      </c>
      <c r="F7" s="57">
        <v>4356.6170000000002</v>
      </c>
      <c r="G7" s="57">
        <v>31660158.458999999</v>
      </c>
      <c r="H7" s="57">
        <v>530580198</v>
      </c>
    </row>
    <row r="8" spans="1:8" x14ac:dyDescent="0.25">
      <c r="A8" s="60" t="s">
        <v>188</v>
      </c>
      <c r="B8" s="61" t="s">
        <v>248</v>
      </c>
      <c r="C8" s="61" t="s">
        <v>184</v>
      </c>
      <c r="D8" s="57">
        <v>59337.063999999998</v>
      </c>
      <c r="E8" s="57">
        <v>12</v>
      </c>
      <c r="F8" s="57">
        <v>67635.398000000001</v>
      </c>
      <c r="G8" s="57">
        <v>46127712.659999996</v>
      </c>
      <c r="H8" s="57">
        <v>484875586</v>
      </c>
    </row>
    <row r="9" spans="1:8" x14ac:dyDescent="0.25">
      <c r="A9" s="60" t="s">
        <v>189</v>
      </c>
      <c r="B9" s="61" t="s">
        <v>248</v>
      </c>
      <c r="C9" s="61" t="s">
        <v>184</v>
      </c>
      <c r="D9" s="57">
        <v>7522.6509999999998</v>
      </c>
      <c r="E9" s="57">
        <v>12</v>
      </c>
      <c r="F9" s="57">
        <v>5859.34</v>
      </c>
      <c r="G9" s="57">
        <v>9645877.4360000007</v>
      </c>
      <c r="H9" s="57">
        <v>127626562</v>
      </c>
    </row>
    <row r="10" spans="1:8" x14ac:dyDescent="0.25">
      <c r="A10" s="60" t="s">
        <v>190</v>
      </c>
      <c r="B10" s="61" t="s">
        <v>248</v>
      </c>
      <c r="C10" s="61" t="s">
        <v>184</v>
      </c>
      <c r="D10" s="57">
        <v>834.25400000000002</v>
      </c>
      <c r="E10" s="57">
        <v>12</v>
      </c>
      <c r="F10" s="57">
        <v>275.916</v>
      </c>
      <c r="G10" s="57">
        <v>187206.133</v>
      </c>
      <c r="H10" s="57">
        <v>2312926</v>
      </c>
    </row>
    <row r="11" spans="1:8" x14ac:dyDescent="0.25">
      <c r="A11" s="60" t="s">
        <v>191</v>
      </c>
      <c r="B11" s="61" t="s">
        <v>248</v>
      </c>
      <c r="C11" s="61" t="s">
        <v>184</v>
      </c>
      <c r="D11" s="57">
        <v>30580.157999999999</v>
      </c>
      <c r="E11" s="57">
        <v>12</v>
      </c>
      <c r="F11" s="57">
        <v>11345.496999999999</v>
      </c>
      <c r="G11" s="57">
        <v>6688310.2589999996</v>
      </c>
      <c r="H11" s="57">
        <v>71722559</v>
      </c>
    </row>
    <row r="12" spans="1:8" x14ac:dyDescent="0.25">
      <c r="A12" s="60" t="s">
        <v>192</v>
      </c>
      <c r="B12" s="61" t="s">
        <v>248</v>
      </c>
      <c r="C12" s="61" t="s">
        <v>184</v>
      </c>
      <c r="D12" s="57">
        <v>415405.853</v>
      </c>
      <c r="E12" s="57">
        <v>12</v>
      </c>
      <c r="F12" s="57">
        <v>212007.628</v>
      </c>
      <c r="G12" s="57">
        <v>136507921.09999999</v>
      </c>
      <c r="H12" s="57">
        <v>1637618680</v>
      </c>
    </row>
    <row r="13" spans="1:8" x14ac:dyDescent="0.25">
      <c r="A13" s="60" t="s">
        <v>193</v>
      </c>
      <c r="B13" s="61" t="s">
        <v>248</v>
      </c>
      <c r="C13" s="61" t="s">
        <v>184</v>
      </c>
      <c r="D13" s="57">
        <v>616169.36899999995</v>
      </c>
      <c r="E13" s="57">
        <v>12</v>
      </c>
      <c r="F13" s="57">
        <v>111365.10400000001</v>
      </c>
      <c r="G13" s="57">
        <v>94101033.736000001</v>
      </c>
      <c r="H13" s="57">
        <v>949440486</v>
      </c>
    </row>
    <row r="14" spans="1:8" x14ac:dyDescent="0.25">
      <c r="A14" s="60" t="s">
        <v>194</v>
      </c>
      <c r="B14" s="61" t="s">
        <v>248</v>
      </c>
      <c r="C14" s="61" t="s">
        <v>184</v>
      </c>
      <c r="D14" s="57">
        <v>126778.97900000001</v>
      </c>
      <c r="E14" s="57">
        <v>12</v>
      </c>
      <c r="F14" s="57">
        <v>71502.101999999999</v>
      </c>
      <c r="G14" s="57">
        <v>40411329.270000003</v>
      </c>
      <c r="H14" s="57">
        <v>401343182</v>
      </c>
    </row>
    <row r="15" spans="1:8" x14ac:dyDescent="0.25">
      <c r="A15" s="60" t="s">
        <v>195</v>
      </c>
      <c r="B15" s="61" t="s">
        <v>248</v>
      </c>
      <c r="C15" s="61" t="s">
        <v>184</v>
      </c>
      <c r="D15" s="57">
        <v>2.8980000000000001</v>
      </c>
      <c r="E15" s="57">
        <v>12</v>
      </c>
      <c r="F15" s="57">
        <v>88.695999999999998</v>
      </c>
      <c r="G15" s="57">
        <v>574923.67500000005</v>
      </c>
      <c r="H15" s="57">
        <v>9661652</v>
      </c>
    </row>
    <row r="16" spans="1:8" x14ac:dyDescent="0.25">
      <c r="A16" s="60" t="s">
        <v>196</v>
      </c>
      <c r="B16" s="61" t="s">
        <v>248</v>
      </c>
      <c r="C16" s="61" t="s">
        <v>184</v>
      </c>
      <c r="D16" s="57">
        <v>326632.04399999999</v>
      </c>
      <c r="E16" s="57">
        <v>12</v>
      </c>
      <c r="F16" s="57">
        <v>126026.11199999999</v>
      </c>
      <c r="G16" s="57">
        <v>106104902.241</v>
      </c>
      <c r="H16" s="57">
        <v>1055350501</v>
      </c>
    </row>
    <row r="17" spans="1:8" x14ac:dyDescent="0.25">
      <c r="A17" s="60" t="s">
        <v>197</v>
      </c>
      <c r="B17" s="61" t="s">
        <v>248</v>
      </c>
      <c r="C17" s="61" t="s">
        <v>184</v>
      </c>
      <c r="D17" s="57">
        <v>870811.75100000005</v>
      </c>
      <c r="E17" s="57">
        <v>12</v>
      </c>
      <c r="F17" s="57">
        <v>207981.56599999999</v>
      </c>
      <c r="G17" s="57">
        <v>133835306.796</v>
      </c>
      <c r="H17" s="57">
        <v>1316400860</v>
      </c>
    </row>
    <row r="18" spans="1:8" x14ac:dyDescent="0.25">
      <c r="A18" s="60" t="s">
        <v>198</v>
      </c>
      <c r="B18" s="61" t="s">
        <v>248</v>
      </c>
      <c r="C18" s="61" t="s">
        <v>184</v>
      </c>
      <c r="D18" s="57">
        <v>136465.43</v>
      </c>
      <c r="E18" s="57">
        <v>12</v>
      </c>
      <c r="F18" s="57">
        <v>88620.167000000001</v>
      </c>
      <c r="G18" s="57">
        <v>43223785.630999997</v>
      </c>
      <c r="H18" s="57">
        <v>427032811</v>
      </c>
    </row>
    <row r="19" spans="1:8" x14ac:dyDescent="0.25">
      <c r="A19" s="60" t="s">
        <v>199</v>
      </c>
      <c r="B19" s="61" t="s">
        <v>248</v>
      </c>
      <c r="C19" s="61" t="s">
        <v>184</v>
      </c>
      <c r="D19" s="57">
        <v>500223.63199999998</v>
      </c>
      <c r="E19" s="57">
        <v>12</v>
      </c>
      <c r="F19" s="57">
        <v>165562.82699999999</v>
      </c>
      <c r="G19" s="57">
        <v>100174369.272</v>
      </c>
      <c r="H19" s="57">
        <v>988266504</v>
      </c>
    </row>
    <row r="20" spans="1:8" x14ac:dyDescent="0.25">
      <c r="A20" s="60" t="s">
        <v>200</v>
      </c>
      <c r="B20" s="61" t="s">
        <v>248</v>
      </c>
      <c r="C20" s="61" t="s">
        <v>184</v>
      </c>
      <c r="D20" s="57">
        <v>103701.848</v>
      </c>
      <c r="E20" s="57">
        <v>12</v>
      </c>
      <c r="F20" s="57">
        <v>63458.23</v>
      </c>
      <c r="G20" s="57">
        <v>50379591.978</v>
      </c>
      <c r="H20" s="57">
        <v>642273428</v>
      </c>
    </row>
    <row r="21" spans="1:8" x14ac:dyDescent="0.25">
      <c r="A21" s="60" t="s">
        <v>201</v>
      </c>
      <c r="B21" s="61" t="s">
        <v>248</v>
      </c>
      <c r="C21" s="61" t="s">
        <v>184</v>
      </c>
      <c r="D21" s="57">
        <v>81864.44</v>
      </c>
      <c r="E21" s="57">
        <v>12</v>
      </c>
      <c r="F21" s="57">
        <v>21215.952000000001</v>
      </c>
      <c r="G21" s="57">
        <v>26290987.357999999</v>
      </c>
      <c r="H21" s="57">
        <v>337434193</v>
      </c>
    </row>
    <row r="22" spans="1:8" x14ac:dyDescent="0.25">
      <c r="A22" s="60" t="s">
        <v>202</v>
      </c>
      <c r="B22" s="61" t="s">
        <v>248</v>
      </c>
      <c r="C22" s="61" t="s">
        <v>184</v>
      </c>
      <c r="D22" s="57">
        <v>281753.27100000001</v>
      </c>
      <c r="E22" s="57">
        <v>12</v>
      </c>
      <c r="F22" s="57">
        <v>60235.165999999997</v>
      </c>
      <c r="G22" s="57">
        <v>31984008.449999999</v>
      </c>
      <c r="H22" s="57">
        <v>327687755</v>
      </c>
    </row>
    <row r="23" spans="1:8" x14ac:dyDescent="0.25">
      <c r="A23" s="60" t="s">
        <v>203</v>
      </c>
      <c r="B23" s="61" t="s">
        <v>248</v>
      </c>
      <c r="C23" s="61" t="s">
        <v>184</v>
      </c>
      <c r="D23" s="57">
        <v>3886.3150000000001</v>
      </c>
      <c r="E23" s="57">
        <v>12</v>
      </c>
      <c r="F23" s="57">
        <v>1235.405</v>
      </c>
      <c r="G23" s="57">
        <v>4587113.2319999998</v>
      </c>
      <c r="H23" s="57">
        <v>73688820</v>
      </c>
    </row>
    <row r="24" spans="1:8" x14ac:dyDescent="0.25">
      <c r="A24" s="60" t="s">
        <v>204</v>
      </c>
      <c r="B24" s="61" t="s">
        <v>248</v>
      </c>
      <c r="C24" s="61" t="s">
        <v>184</v>
      </c>
      <c r="D24" s="57">
        <v>345510.04700000002</v>
      </c>
      <c r="E24" s="57">
        <v>12</v>
      </c>
      <c r="F24" s="57">
        <v>113203.60400000001</v>
      </c>
      <c r="G24" s="57">
        <v>78080061.783000007</v>
      </c>
      <c r="H24" s="57">
        <v>785462073</v>
      </c>
    </row>
    <row r="25" spans="1:8" x14ac:dyDescent="0.25">
      <c r="A25" s="60" t="s">
        <v>205</v>
      </c>
      <c r="B25" s="61" t="s">
        <v>248</v>
      </c>
      <c r="C25" s="61" t="s">
        <v>184</v>
      </c>
      <c r="D25" s="57">
        <v>101257.519</v>
      </c>
      <c r="E25" s="57">
        <v>12</v>
      </c>
      <c r="F25" s="57">
        <v>84205.089000000007</v>
      </c>
      <c r="G25" s="57">
        <v>40866374.023999996</v>
      </c>
      <c r="H25" s="57">
        <v>407164347</v>
      </c>
    </row>
    <row r="26" spans="1:8" x14ac:dyDescent="0.25">
      <c r="A26" s="60" t="s">
        <v>206</v>
      </c>
      <c r="B26" s="61" t="s">
        <v>248</v>
      </c>
      <c r="C26" s="61" t="s">
        <v>184</v>
      </c>
      <c r="D26" s="57">
        <v>271682.62400000001</v>
      </c>
      <c r="E26" s="57">
        <v>12</v>
      </c>
      <c r="F26" s="57">
        <v>122836.856</v>
      </c>
      <c r="G26" s="57">
        <v>82265046.252000004</v>
      </c>
      <c r="H26" s="57">
        <v>813693811</v>
      </c>
    </row>
    <row r="27" spans="1:8" x14ac:dyDescent="0.25">
      <c r="A27" s="60" t="s">
        <v>207</v>
      </c>
      <c r="B27" s="61" t="s">
        <v>248</v>
      </c>
      <c r="C27" s="61" t="s">
        <v>184</v>
      </c>
      <c r="D27" s="57">
        <v>74093.566000000006</v>
      </c>
      <c r="E27" s="57">
        <v>12</v>
      </c>
      <c r="F27" s="57">
        <v>42810.156999999999</v>
      </c>
      <c r="G27" s="57">
        <v>27707469.52</v>
      </c>
      <c r="H27" s="57">
        <v>320952935</v>
      </c>
    </row>
    <row r="28" spans="1:8" x14ac:dyDescent="0.25">
      <c r="A28" s="60" t="s">
        <v>208</v>
      </c>
      <c r="B28" s="61" t="s">
        <v>248</v>
      </c>
      <c r="C28" s="61" t="s">
        <v>184</v>
      </c>
      <c r="D28" s="57">
        <v>19222.62</v>
      </c>
      <c r="E28" s="57">
        <v>12</v>
      </c>
      <c r="F28" s="57">
        <v>39346.097000000002</v>
      </c>
      <c r="G28" s="57">
        <v>20966070.021000002</v>
      </c>
      <c r="H28" s="57">
        <v>203807015</v>
      </c>
    </row>
    <row r="29" spans="1:8" x14ac:dyDescent="0.25">
      <c r="A29" s="60" t="s">
        <v>209</v>
      </c>
      <c r="B29" s="61" t="s">
        <v>248</v>
      </c>
      <c r="C29" s="61" t="s">
        <v>184</v>
      </c>
      <c r="D29" s="57">
        <v>500935.57</v>
      </c>
      <c r="E29" s="57">
        <v>12</v>
      </c>
      <c r="F29" s="57">
        <v>107749.24099999999</v>
      </c>
      <c r="G29" s="57">
        <v>75581179.725999996</v>
      </c>
      <c r="H29" s="57">
        <v>748528934</v>
      </c>
    </row>
    <row r="30" spans="1:8" x14ac:dyDescent="0.25">
      <c r="A30" s="60" t="s">
        <v>210</v>
      </c>
      <c r="B30" s="61" t="s">
        <v>248</v>
      </c>
      <c r="C30" s="61" t="s">
        <v>184</v>
      </c>
      <c r="D30" s="57">
        <v>137373.29199999999</v>
      </c>
      <c r="E30" s="57">
        <v>12</v>
      </c>
      <c r="F30" s="57">
        <v>76380.13</v>
      </c>
      <c r="G30" s="57">
        <v>36806133.585000001</v>
      </c>
      <c r="H30" s="57">
        <v>338930072</v>
      </c>
    </row>
    <row r="31" spans="1:8" x14ac:dyDescent="0.25">
      <c r="A31" s="60" t="s">
        <v>211</v>
      </c>
      <c r="B31" s="61" t="s">
        <v>248</v>
      </c>
      <c r="C31" s="61" t="s">
        <v>184</v>
      </c>
      <c r="D31" s="57">
        <v>73751.899000000005</v>
      </c>
      <c r="E31" s="57">
        <v>12</v>
      </c>
      <c r="F31" s="57">
        <v>51267.658000000003</v>
      </c>
      <c r="G31" s="57">
        <v>24886595.521000002</v>
      </c>
      <c r="H31" s="57">
        <v>245793077</v>
      </c>
    </row>
    <row r="32" spans="1:8" x14ac:dyDescent="0.25">
      <c r="A32" s="60" t="s">
        <v>212</v>
      </c>
      <c r="B32" s="61" t="s">
        <v>248</v>
      </c>
      <c r="C32" s="61" t="s">
        <v>184</v>
      </c>
      <c r="D32" s="57">
        <v>51400.023999999998</v>
      </c>
      <c r="E32" s="57">
        <v>12</v>
      </c>
      <c r="F32" s="57">
        <v>8757.0939999999991</v>
      </c>
      <c r="G32" s="57">
        <v>8972027.1620000005</v>
      </c>
      <c r="H32" s="57">
        <v>111297849</v>
      </c>
    </row>
    <row r="33" spans="1:8" x14ac:dyDescent="0.25">
      <c r="A33" s="60" t="s">
        <v>213</v>
      </c>
      <c r="B33" s="61" t="s">
        <v>248</v>
      </c>
      <c r="C33" s="61" t="s">
        <v>184</v>
      </c>
      <c r="D33" s="57">
        <v>54053.572999999997</v>
      </c>
      <c r="E33" s="57">
        <v>12</v>
      </c>
      <c r="F33" s="57">
        <v>23758.716</v>
      </c>
      <c r="G33" s="57">
        <v>14594603.397</v>
      </c>
      <c r="H33" s="57">
        <v>176278824</v>
      </c>
    </row>
    <row r="34" spans="1:8" x14ac:dyDescent="0.25">
      <c r="A34" s="60" t="s">
        <v>214</v>
      </c>
      <c r="B34" s="61" t="s">
        <v>248</v>
      </c>
      <c r="C34" s="61" t="s">
        <v>184</v>
      </c>
      <c r="D34" s="57">
        <v>30528.652999999998</v>
      </c>
      <c r="E34" s="57">
        <v>12</v>
      </c>
      <c r="F34" s="57">
        <v>75434.104000000007</v>
      </c>
      <c r="G34" s="57">
        <v>33707383.601999998</v>
      </c>
      <c r="H34" s="57">
        <v>346695141</v>
      </c>
    </row>
    <row r="35" spans="1:8" x14ac:dyDescent="0.25">
      <c r="A35" s="60" t="s">
        <v>215</v>
      </c>
      <c r="B35" s="61" t="s">
        <v>248</v>
      </c>
      <c r="C35" s="61" t="s">
        <v>184</v>
      </c>
      <c r="D35" s="57">
        <v>53345.534</v>
      </c>
      <c r="E35" s="57">
        <v>12</v>
      </c>
      <c r="F35" s="57">
        <v>43242.091999999997</v>
      </c>
      <c r="G35" s="57">
        <v>27377089.675999999</v>
      </c>
      <c r="H35" s="57">
        <v>316379654</v>
      </c>
    </row>
    <row r="36" spans="1:8" x14ac:dyDescent="0.25">
      <c r="A36" s="60" t="s">
        <v>216</v>
      </c>
      <c r="B36" s="61" t="s">
        <v>248</v>
      </c>
      <c r="C36" s="61" t="s">
        <v>184</v>
      </c>
      <c r="D36" s="57">
        <v>177349.18900000001</v>
      </c>
      <c r="E36" s="57">
        <v>12</v>
      </c>
      <c r="F36" s="57">
        <v>56868.875</v>
      </c>
      <c r="G36" s="57">
        <v>56018927.693000004</v>
      </c>
      <c r="H36" s="57">
        <v>698650829</v>
      </c>
    </row>
    <row r="37" spans="1:8" x14ac:dyDescent="0.25">
      <c r="A37" s="60" t="s">
        <v>217</v>
      </c>
      <c r="B37" s="61" t="s">
        <v>248</v>
      </c>
      <c r="C37" s="61" t="s">
        <v>184</v>
      </c>
      <c r="D37" s="57">
        <v>1085484.5759999999</v>
      </c>
      <c r="E37" s="57">
        <v>12</v>
      </c>
      <c r="F37" s="57">
        <v>254451.69899999999</v>
      </c>
      <c r="G37" s="57">
        <v>137879300.921</v>
      </c>
      <c r="H37" s="57">
        <v>1353812183</v>
      </c>
    </row>
    <row r="38" spans="1:8" x14ac:dyDescent="0.25">
      <c r="A38" s="60" t="s">
        <v>218</v>
      </c>
      <c r="B38" s="61" t="s">
        <v>248</v>
      </c>
      <c r="C38" s="61" t="s">
        <v>184</v>
      </c>
      <c r="D38" s="57">
        <v>103985.318</v>
      </c>
      <c r="E38" s="57">
        <v>12</v>
      </c>
      <c r="F38" s="57">
        <v>85020.986000000004</v>
      </c>
      <c r="G38" s="57">
        <v>51845186.651000001</v>
      </c>
      <c r="H38" s="57">
        <v>606817568</v>
      </c>
    </row>
    <row r="39" spans="1:8" x14ac:dyDescent="0.25">
      <c r="A39" s="60" t="s">
        <v>219</v>
      </c>
      <c r="B39" s="61" t="s">
        <v>248</v>
      </c>
      <c r="C39" s="61" t="s">
        <v>184</v>
      </c>
      <c r="D39" s="57">
        <v>12043.652</v>
      </c>
      <c r="E39" s="57">
        <v>12</v>
      </c>
      <c r="F39" s="57">
        <v>9018.4699999999993</v>
      </c>
      <c r="G39" s="57">
        <v>9236995.4389999993</v>
      </c>
      <c r="H39" s="57">
        <v>127128528</v>
      </c>
    </row>
    <row r="40" spans="1:8" x14ac:dyDescent="0.25">
      <c r="A40" s="60" t="s">
        <v>220</v>
      </c>
      <c r="B40" s="61" t="s">
        <v>248</v>
      </c>
      <c r="C40" s="61" t="s">
        <v>184</v>
      </c>
      <c r="D40" s="57">
        <v>985508.17599999998</v>
      </c>
      <c r="E40" s="57">
        <v>12</v>
      </c>
      <c r="F40" s="57">
        <v>170989.50099999999</v>
      </c>
      <c r="G40" s="57">
        <v>121858350.97499999</v>
      </c>
      <c r="H40" s="57">
        <v>1228062462</v>
      </c>
    </row>
    <row r="41" spans="1:8" x14ac:dyDescent="0.25">
      <c r="A41" s="60" t="s">
        <v>221</v>
      </c>
      <c r="B41" s="61" t="s">
        <v>248</v>
      </c>
      <c r="C41" s="61" t="s">
        <v>184</v>
      </c>
      <c r="D41" s="57">
        <v>13.962999999999999</v>
      </c>
      <c r="E41" s="57">
        <v>12</v>
      </c>
      <c r="F41" s="57">
        <v>372.68</v>
      </c>
      <c r="G41" s="57">
        <v>2472078.2400000002</v>
      </c>
      <c r="H41" s="57">
        <v>41611998</v>
      </c>
    </row>
    <row r="42" spans="1:8" x14ac:dyDescent="0.25">
      <c r="A42" s="60" t="s">
        <v>222</v>
      </c>
      <c r="B42" s="61" t="s">
        <v>248</v>
      </c>
      <c r="C42" s="61" t="s">
        <v>184</v>
      </c>
      <c r="D42" s="57">
        <v>217385.73499999999</v>
      </c>
      <c r="E42" s="57">
        <v>12</v>
      </c>
      <c r="F42" s="57">
        <v>51234.542999999998</v>
      </c>
      <c r="G42" s="57">
        <v>44739634.435999997</v>
      </c>
      <c r="H42" s="57">
        <v>455663923</v>
      </c>
    </row>
    <row r="43" spans="1:8" x14ac:dyDescent="0.25">
      <c r="A43" s="60" t="s">
        <v>223</v>
      </c>
      <c r="B43" s="61" t="s">
        <v>248</v>
      </c>
      <c r="C43" s="61" t="s">
        <v>184</v>
      </c>
      <c r="D43" s="57">
        <v>10647.168</v>
      </c>
      <c r="E43" s="57">
        <v>12</v>
      </c>
      <c r="F43" s="57">
        <v>13921.245999999999</v>
      </c>
      <c r="G43" s="57">
        <v>3602076.7579999999</v>
      </c>
      <c r="H43" s="57">
        <v>36528976</v>
      </c>
    </row>
    <row r="44" spans="1:8" x14ac:dyDescent="0.25">
      <c r="A44" s="60" t="s">
        <v>224</v>
      </c>
      <c r="B44" s="61" t="s">
        <v>248</v>
      </c>
      <c r="C44" s="61" t="s">
        <v>184</v>
      </c>
      <c r="D44" s="57">
        <v>266080.87699999998</v>
      </c>
      <c r="E44" s="57">
        <v>12</v>
      </c>
      <c r="F44" s="57">
        <v>101441.62300000001</v>
      </c>
      <c r="G44" s="57">
        <v>60533660.714000002</v>
      </c>
      <c r="H44" s="57">
        <v>592566909</v>
      </c>
    </row>
    <row r="45" spans="1:8" x14ac:dyDescent="0.25">
      <c r="A45" s="60" t="s">
        <v>225</v>
      </c>
      <c r="B45" s="61" t="s">
        <v>248</v>
      </c>
      <c r="C45" s="61" t="s">
        <v>184</v>
      </c>
      <c r="D45" s="57">
        <v>535040.75</v>
      </c>
      <c r="E45" s="57">
        <v>12</v>
      </c>
      <c r="F45" s="57">
        <v>177263.83900000001</v>
      </c>
      <c r="G45" s="57">
        <v>255317781.169</v>
      </c>
      <c r="H45" s="57">
        <v>3066768154</v>
      </c>
    </row>
    <row r="46" spans="1:8" x14ac:dyDescent="0.25">
      <c r="A46" s="60" t="s">
        <v>226</v>
      </c>
      <c r="B46" s="61" t="s">
        <v>248</v>
      </c>
      <c r="C46" s="61" t="s">
        <v>184</v>
      </c>
      <c r="D46" s="57">
        <v>33876.949000000001</v>
      </c>
      <c r="E46" s="57">
        <v>12</v>
      </c>
      <c r="F46" s="57">
        <v>64483.023000000001</v>
      </c>
      <c r="G46" s="57">
        <v>38552367.887999997</v>
      </c>
      <c r="H46" s="57">
        <v>380070707</v>
      </c>
    </row>
    <row r="47" spans="1:8" x14ac:dyDescent="0.25">
      <c r="A47" s="60" t="s">
        <v>227</v>
      </c>
      <c r="B47" s="61" t="s">
        <v>248</v>
      </c>
      <c r="C47" s="61" t="s">
        <v>184</v>
      </c>
      <c r="D47" s="57">
        <v>207748.03599999999</v>
      </c>
      <c r="E47" s="57">
        <v>12</v>
      </c>
      <c r="F47" s="57">
        <v>57863.03</v>
      </c>
      <c r="G47" s="57">
        <v>38423850.155000001</v>
      </c>
      <c r="H47" s="57">
        <v>400903338</v>
      </c>
    </row>
    <row r="48" spans="1:8" x14ac:dyDescent="0.25">
      <c r="A48" s="60" t="s">
        <v>228</v>
      </c>
      <c r="B48" s="61" t="s">
        <v>248</v>
      </c>
      <c r="C48" s="61" t="s">
        <v>184</v>
      </c>
      <c r="D48" s="57">
        <v>9.6379999999999999</v>
      </c>
      <c r="E48" s="57">
        <v>12</v>
      </c>
      <c r="F48" s="57">
        <v>296.95100000000002</v>
      </c>
      <c r="G48" s="57">
        <v>372739.27500000002</v>
      </c>
      <c r="H48" s="57">
        <v>3569808</v>
      </c>
    </row>
    <row r="49" spans="1:8" x14ac:dyDescent="0.25">
      <c r="A49" s="60" t="s">
        <v>229</v>
      </c>
      <c r="B49" s="61" t="s">
        <v>248</v>
      </c>
      <c r="C49" s="61" t="s">
        <v>184</v>
      </c>
      <c r="D49" s="57">
        <v>3381.9250000000002</v>
      </c>
      <c r="E49" s="57">
        <v>12</v>
      </c>
      <c r="F49" s="57">
        <v>17390.204000000002</v>
      </c>
      <c r="G49" s="57">
        <v>15025622.261</v>
      </c>
      <c r="H49" s="57">
        <v>164191374</v>
      </c>
    </row>
    <row r="50" spans="1:8" x14ac:dyDescent="0.25">
      <c r="A50" s="60" t="s">
        <v>230</v>
      </c>
      <c r="B50" s="61" t="s">
        <v>248</v>
      </c>
      <c r="C50" s="61" t="s">
        <v>184</v>
      </c>
      <c r="D50" s="57">
        <v>176183.723</v>
      </c>
      <c r="E50" s="57">
        <v>12</v>
      </c>
      <c r="F50" s="57">
        <v>68143.759999999995</v>
      </c>
      <c r="G50" s="57">
        <v>52315397.034999996</v>
      </c>
      <c r="H50" s="57">
        <v>534091839</v>
      </c>
    </row>
    <row r="51" spans="1:8" x14ac:dyDescent="0.25">
      <c r="A51" s="60" t="s">
        <v>231</v>
      </c>
      <c r="B51" s="61" t="s">
        <v>248</v>
      </c>
      <c r="C51" s="61" t="s">
        <v>184</v>
      </c>
      <c r="D51" s="57">
        <v>467081.85700000002</v>
      </c>
      <c r="E51" s="57">
        <v>12</v>
      </c>
      <c r="F51" s="57">
        <v>159481.264</v>
      </c>
      <c r="G51" s="57">
        <v>88488914.031000003</v>
      </c>
      <c r="H51" s="57">
        <v>863343159</v>
      </c>
    </row>
    <row r="52" spans="1:8" x14ac:dyDescent="0.25">
      <c r="A52" s="60" t="s">
        <v>232</v>
      </c>
      <c r="B52" s="61" t="s">
        <v>248</v>
      </c>
      <c r="C52" s="61" t="s">
        <v>184</v>
      </c>
      <c r="D52" s="57">
        <v>86497.426999999996</v>
      </c>
      <c r="E52" s="57">
        <v>12</v>
      </c>
      <c r="F52" s="57">
        <v>87731.520999999993</v>
      </c>
      <c r="G52" s="57">
        <v>50055028.555</v>
      </c>
      <c r="H52" s="57">
        <v>488120742</v>
      </c>
    </row>
    <row r="53" spans="1:8" ht="21" thickBot="1" x14ac:dyDescent="0.3">
      <c r="A53" s="62" t="s">
        <v>170</v>
      </c>
      <c r="B53" s="63"/>
      <c r="C53" s="63"/>
      <c r="D53" s="64" t="s">
        <v>249</v>
      </c>
      <c r="E53" s="63"/>
      <c r="F53" s="64" t="s">
        <v>250</v>
      </c>
      <c r="G53" s="64" t="s">
        <v>251</v>
      </c>
      <c r="H53" s="65" t="s">
        <v>252</v>
      </c>
    </row>
    <row r="55" spans="1:8" ht="30.6" x14ac:dyDescent="0.25">
      <c r="A55" s="57"/>
      <c r="B55" s="57"/>
      <c r="C55" s="61" t="s">
        <v>253</v>
      </c>
      <c r="D55" s="57"/>
      <c r="E55" s="57"/>
      <c r="F55" s="57"/>
      <c r="G55" s="57"/>
      <c r="H55" s="57"/>
    </row>
    <row r="56" spans="1:8" x14ac:dyDescent="0.25">
      <c r="A56" s="57"/>
      <c r="B56" s="57"/>
      <c r="C56" s="57"/>
      <c r="D56" s="57" t="s">
        <v>53</v>
      </c>
      <c r="E56" s="57"/>
      <c r="F56" s="57" t="s">
        <v>177</v>
      </c>
      <c r="G56" s="57" t="s">
        <v>52</v>
      </c>
      <c r="H56" s="57" t="s">
        <v>181</v>
      </c>
    </row>
    <row r="57" spans="1:8" x14ac:dyDescent="0.25">
      <c r="A57" s="57"/>
      <c r="B57" s="57"/>
      <c r="C57" s="57" t="s">
        <v>43</v>
      </c>
      <c r="D57" s="71">
        <v>144697.03100000002</v>
      </c>
      <c r="E57" s="71"/>
      <c r="F57" s="71">
        <v>37737.422000000006</v>
      </c>
      <c r="G57" s="71">
        <v>52340822.703000009</v>
      </c>
      <c r="H57" s="71">
        <v>695229230</v>
      </c>
    </row>
    <row r="58" spans="1:8" x14ac:dyDescent="0.25">
      <c r="A58" s="57"/>
      <c r="B58" s="57"/>
      <c r="C58" s="57" t="s">
        <v>44</v>
      </c>
      <c r="D58" s="71">
        <v>1216910.9380000001</v>
      </c>
      <c r="E58" s="71"/>
      <c r="F58" s="71">
        <v>251617.092</v>
      </c>
      <c r="G58" s="71">
        <v>192471882.065</v>
      </c>
      <c r="H58" s="71">
        <v>2102992115</v>
      </c>
    </row>
    <row r="59" spans="1:8" x14ac:dyDescent="0.25">
      <c r="A59" s="57"/>
      <c r="B59" s="57"/>
      <c r="C59" s="57" t="s">
        <v>45</v>
      </c>
      <c r="D59" s="71">
        <v>2804622.1409999998</v>
      </c>
      <c r="E59" s="71"/>
      <c r="F59" s="71">
        <v>769806.74100000004</v>
      </c>
      <c r="G59" s="71">
        <v>508214968.77600002</v>
      </c>
      <c r="H59" s="71">
        <v>5045117456</v>
      </c>
    </row>
    <row r="60" spans="1:8" x14ac:dyDescent="0.25">
      <c r="A60" s="57"/>
      <c r="B60" s="57"/>
      <c r="C60" s="57" t="s">
        <v>46</v>
      </c>
      <c r="D60" s="71">
        <v>857956.91099999996</v>
      </c>
      <c r="E60" s="71"/>
      <c r="F60" s="71">
        <v>508733.24800000002</v>
      </c>
      <c r="G60" s="71">
        <v>272061341.04099995</v>
      </c>
      <c r="H60" s="71">
        <v>2670486276</v>
      </c>
    </row>
    <row r="61" spans="1:8" x14ac:dyDescent="0.25">
      <c r="A61" s="57"/>
      <c r="B61" s="57"/>
      <c r="C61" s="57" t="s">
        <v>47</v>
      </c>
      <c r="D61" s="71">
        <v>2737894.1030000001</v>
      </c>
      <c r="E61" s="71"/>
      <c r="F61" s="71">
        <v>771557.38899999997</v>
      </c>
      <c r="G61" s="71">
        <v>516702058.02600002</v>
      </c>
      <c r="H61" s="71">
        <v>5457221760</v>
      </c>
    </row>
    <row r="62" spans="1:8" x14ac:dyDescent="0.25">
      <c r="A62" s="57"/>
      <c r="B62" s="57"/>
      <c r="C62" s="57" t="s">
        <v>48</v>
      </c>
      <c r="D62" s="71">
        <v>1300470.1600000001</v>
      </c>
      <c r="E62" s="71"/>
      <c r="F62" s="71">
        <v>443286.73600000003</v>
      </c>
      <c r="G62" s="71">
        <v>279884699.70499998</v>
      </c>
      <c r="H62" s="71">
        <v>2838642593</v>
      </c>
    </row>
    <row r="63" spans="1:8" x14ac:dyDescent="0.25">
      <c r="A63" s="57"/>
      <c r="B63" s="57"/>
      <c r="C63" s="57" t="s">
        <v>49</v>
      </c>
      <c r="D63" s="71">
        <v>808917.64100000006</v>
      </c>
      <c r="E63" s="71"/>
      <c r="F63" s="71">
        <v>361077.66399999999</v>
      </c>
      <c r="G63" s="71">
        <v>386724632.03100002</v>
      </c>
      <c r="H63" s="71">
        <v>4621792474</v>
      </c>
    </row>
    <row r="64" spans="1:8" x14ac:dyDescent="0.25">
      <c r="A64" s="57"/>
      <c r="B64" s="57"/>
      <c r="C64" s="57" t="s">
        <v>50</v>
      </c>
      <c r="D64" s="71">
        <v>335572.66599999991</v>
      </c>
      <c r="E64" s="71"/>
      <c r="F64" s="71">
        <v>458750.95799999998</v>
      </c>
      <c r="G64" s="71">
        <v>275625766.78299999</v>
      </c>
      <c r="H64" s="71">
        <v>2886794238</v>
      </c>
    </row>
    <row r="65" spans="3:8" x14ac:dyDescent="0.25">
      <c r="C65" s="57" t="s">
        <v>240</v>
      </c>
      <c r="D65" s="71">
        <v>15597.975</v>
      </c>
      <c r="E65" s="71"/>
      <c r="F65" s="71">
        <v>30765.290999999997</v>
      </c>
      <c r="G65" s="71">
        <v>55922776.158999994</v>
      </c>
      <c r="H65" s="71">
        <v>821900100</v>
      </c>
    </row>
    <row r="66" spans="3:8" x14ac:dyDescent="0.25">
      <c r="C66" s="57" t="s">
        <v>241</v>
      </c>
      <c r="D66" s="71"/>
      <c r="E66" s="71"/>
      <c r="F66" s="71"/>
      <c r="G66" s="71"/>
      <c r="H66" s="71"/>
    </row>
    <row r="67" spans="3:8" x14ac:dyDescent="0.25">
      <c r="C67" s="57"/>
      <c r="D67" s="71">
        <v>10222639.566</v>
      </c>
      <c r="E67" s="71"/>
      <c r="F67" s="71">
        <v>3633332.5410000002</v>
      </c>
      <c r="G67" s="71">
        <v>2539948947.289</v>
      </c>
      <c r="H67" s="71">
        <v>27140176242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"/>
  <sheetViews>
    <sheetView topLeftCell="A4" workbookViewId="0">
      <selection activeCell="G28" sqref="G28"/>
    </sheetView>
  </sheetViews>
  <sheetFormatPr defaultRowHeight="13.2" x14ac:dyDescent="0.25"/>
  <sheetData>
    <row r="1" spans="1:17" x14ac:dyDescent="0.25">
      <c r="A1" s="72" t="s">
        <v>254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17" x14ac:dyDescent="0.25">
      <c r="A2" s="57" t="s">
        <v>255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</row>
    <row r="3" spans="1:17" x14ac:dyDescent="0.25">
      <c r="A3" s="57" t="s">
        <v>256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</row>
    <row r="4" spans="1:17" x14ac:dyDescent="0.25">
      <c r="A4" s="57" t="s">
        <v>257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</row>
    <row r="5" spans="1:17" x14ac:dyDescent="0.25">
      <c r="A5" s="57" t="s">
        <v>258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</row>
    <row r="8" spans="1:17" ht="13.8" thickBot="1" x14ac:dyDescent="0.3">
      <c r="A8" s="57"/>
      <c r="B8" s="57"/>
      <c r="C8" s="57"/>
      <c r="D8" s="57" t="s">
        <v>259</v>
      </c>
      <c r="E8" s="57" t="s">
        <v>260</v>
      </c>
      <c r="F8" s="57"/>
      <c r="G8" s="57"/>
      <c r="H8" s="57" t="s">
        <v>259</v>
      </c>
      <c r="I8" s="57" t="s">
        <v>261</v>
      </c>
      <c r="J8" s="57"/>
      <c r="K8" s="57"/>
      <c r="L8" s="57" t="s">
        <v>262</v>
      </c>
      <c r="M8" s="57" t="s">
        <v>260</v>
      </c>
      <c r="N8" s="57"/>
      <c r="O8" s="57"/>
      <c r="P8" s="57" t="s">
        <v>263</v>
      </c>
      <c r="Q8" s="57"/>
    </row>
    <row r="9" spans="1:17" ht="13.8" thickBot="1" x14ac:dyDescent="0.3">
      <c r="A9" s="57"/>
      <c r="B9" s="57"/>
      <c r="C9" s="57"/>
      <c r="D9" s="73" t="s">
        <v>177</v>
      </c>
      <c r="E9" s="73" t="s">
        <v>53</v>
      </c>
      <c r="F9" s="57"/>
      <c r="G9" s="57"/>
      <c r="H9" s="73" t="s">
        <v>177</v>
      </c>
      <c r="I9" s="73" t="s">
        <v>53</v>
      </c>
      <c r="J9" s="57"/>
      <c r="K9" s="57"/>
      <c r="L9" s="73" t="s">
        <v>177</v>
      </c>
      <c r="M9" s="73" t="s">
        <v>53</v>
      </c>
      <c r="N9" s="57"/>
      <c r="O9" s="57"/>
      <c r="P9" s="73" t="s">
        <v>177</v>
      </c>
      <c r="Q9" s="73" t="s">
        <v>53</v>
      </c>
    </row>
    <row r="10" spans="1:17" x14ac:dyDescent="0.25">
      <c r="A10" s="57"/>
      <c r="B10" s="57"/>
      <c r="C10" s="74" t="s">
        <v>41</v>
      </c>
      <c r="D10" s="75">
        <v>73687.256191666645</v>
      </c>
      <c r="E10" s="75">
        <v>354453.69993333332</v>
      </c>
      <c r="F10" s="57"/>
      <c r="G10" s="57"/>
      <c r="H10" s="76">
        <v>59250.213808333319</v>
      </c>
      <c r="I10" s="76">
        <v>334172.80025833333</v>
      </c>
      <c r="J10" s="57"/>
      <c r="K10" s="57"/>
      <c r="L10" s="75">
        <v>134133.59110833335</v>
      </c>
      <c r="M10" s="75">
        <v>473042.90010000003</v>
      </c>
      <c r="N10" s="57"/>
      <c r="O10" s="57"/>
      <c r="P10" s="77">
        <v>128591.62186666671</v>
      </c>
      <c r="Q10" s="77">
        <v>415985.09998333338</v>
      </c>
    </row>
    <row r="11" spans="1:17" x14ac:dyDescent="0.25">
      <c r="A11" s="57"/>
      <c r="B11" s="57"/>
      <c r="C11" s="78" t="s">
        <v>148</v>
      </c>
      <c r="D11" s="75">
        <v>84483.259824999986</v>
      </c>
      <c r="E11" s="75">
        <v>47778.700058333336</v>
      </c>
      <c r="F11" s="57"/>
      <c r="G11" s="57"/>
      <c r="H11" s="76">
        <v>85860.54033333344</v>
      </c>
      <c r="I11" s="76">
        <v>47778.700058333336</v>
      </c>
      <c r="J11" s="57"/>
      <c r="K11" s="57"/>
      <c r="L11" s="75">
        <v>84567.454708333316</v>
      </c>
      <c r="M11" s="75">
        <v>47778.700058333336</v>
      </c>
      <c r="N11" s="57"/>
      <c r="O11" s="57"/>
      <c r="P11" s="77">
        <v>85975.222800000076</v>
      </c>
      <c r="Q11" s="77">
        <v>47778.700058333336</v>
      </c>
    </row>
    <row r="12" spans="1:17" x14ac:dyDescent="0.25">
      <c r="A12" s="57"/>
      <c r="B12" s="57"/>
      <c r="C12" s="78" t="s">
        <v>144</v>
      </c>
      <c r="D12" s="75">
        <v>38169.413300000015</v>
      </c>
      <c r="E12" s="75">
        <v>77933.832950000011</v>
      </c>
      <c r="F12" s="57"/>
      <c r="G12" s="57"/>
      <c r="H12" s="76">
        <v>8586.9462416666647</v>
      </c>
      <c r="I12" s="76">
        <v>77934.60944166666</v>
      </c>
      <c r="J12" s="57"/>
      <c r="K12" s="57"/>
      <c r="L12" s="75">
        <v>52511.287583333331</v>
      </c>
      <c r="M12" s="75">
        <v>122666.914625</v>
      </c>
      <c r="N12" s="57"/>
      <c r="O12" s="57"/>
      <c r="P12" s="77">
        <v>52785.701533333318</v>
      </c>
      <c r="Q12" s="77">
        <v>122666.914625</v>
      </c>
    </row>
    <row r="13" spans="1:17" x14ac:dyDescent="0.25">
      <c r="A13" s="57"/>
      <c r="B13" s="57"/>
      <c r="C13" s="78" t="s">
        <v>156</v>
      </c>
      <c r="D13" s="75">
        <v>17854.795291666662</v>
      </c>
      <c r="E13" s="75">
        <v>17316.800058333334</v>
      </c>
      <c r="F13" s="57"/>
      <c r="G13" s="57"/>
      <c r="H13" s="76">
        <v>19586.270799999966</v>
      </c>
      <c r="I13" s="76">
        <v>17316.800058333334</v>
      </c>
      <c r="J13" s="57"/>
      <c r="K13" s="57"/>
      <c r="L13" s="75">
        <v>17670.958941666668</v>
      </c>
      <c r="M13" s="75">
        <v>17316.800058333334</v>
      </c>
      <c r="N13" s="57"/>
      <c r="O13" s="57"/>
      <c r="P13" s="77">
        <v>19596.52213333331</v>
      </c>
      <c r="Q13" s="77">
        <v>17316.800058333334</v>
      </c>
    </row>
    <row r="14" spans="1:17" x14ac:dyDescent="0.25">
      <c r="A14" s="57"/>
      <c r="B14" s="57"/>
      <c r="C14" s="78" t="s">
        <v>149</v>
      </c>
      <c r="D14" s="75">
        <v>82803.515675000002</v>
      </c>
      <c r="E14" s="75">
        <v>73088.700116666674</v>
      </c>
      <c r="F14" s="57"/>
      <c r="G14" s="57"/>
      <c r="H14" s="76">
        <v>83647.831808333343</v>
      </c>
      <c r="I14" s="76">
        <v>73088.700116666674</v>
      </c>
      <c r="J14" s="57"/>
      <c r="K14" s="57"/>
      <c r="L14" s="75">
        <v>82714.472966666668</v>
      </c>
      <c r="M14" s="75">
        <v>73088.700116666674</v>
      </c>
      <c r="N14" s="57"/>
      <c r="O14" s="57"/>
      <c r="P14" s="77">
        <v>83631.831383333352</v>
      </c>
      <c r="Q14" s="77">
        <v>73088.700116666674</v>
      </c>
    </row>
    <row r="15" spans="1:17" x14ac:dyDescent="0.25">
      <c r="A15" s="57"/>
      <c r="B15" s="57"/>
      <c r="C15" s="78" t="s">
        <v>162</v>
      </c>
      <c r="D15" s="75">
        <v>5172.3914083333329</v>
      </c>
      <c r="E15" s="75">
        <v>5317.6000250000016</v>
      </c>
      <c r="F15" s="57"/>
      <c r="G15" s="57"/>
      <c r="H15" s="76">
        <v>5268.8902916666657</v>
      </c>
      <c r="I15" s="76">
        <v>5317.6000250000016</v>
      </c>
      <c r="J15" s="57"/>
      <c r="K15" s="57"/>
      <c r="L15" s="75">
        <v>5168.3471250000002</v>
      </c>
      <c r="M15" s="75">
        <v>6283.8000333333339</v>
      </c>
      <c r="N15" s="57"/>
      <c r="O15" s="57"/>
      <c r="P15" s="77">
        <v>5260.1902666666656</v>
      </c>
      <c r="Q15" s="77">
        <v>6283.8000333333339</v>
      </c>
    </row>
    <row r="16" spans="1:17" x14ac:dyDescent="0.25">
      <c r="A16" s="57"/>
      <c r="B16" s="57"/>
      <c r="C16" s="78" t="s">
        <v>33</v>
      </c>
      <c r="D16" s="75">
        <v>8545.3091000000004</v>
      </c>
      <c r="E16" s="75">
        <v>34019.600033333336</v>
      </c>
      <c r="F16" s="57"/>
      <c r="G16" s="57"/>
      <c r="H16" s="76">
        <v>9087.6638499999972</v>
      </c>
      <c r="I16" s="76">
        <v>34574.200041666671</v>
      </c>
      <c r="J16" s="57"/>
      <c r="K16" s="57"/>
      <c r="L16" s="75">
        <v>10270.810358333332</v>
      </c>
      <c r="M16" s="75">
        <v>46355.400075000005</v>
      </c>
      <c r="N16" s="57"/>
      <c r="O16" s="57"/>
      <c r="P16" s="77">
        <v>10843.34895</v>
      </c>
      <c r="Q16" s="77">
        <v>48274.90009166667</v>
      </c>
    </row>
    <row r="17" spans="3:17" x14ac:dyDescent="0.25">
      <c r="C17" s="78" t="s">
        <v>264</v>
      </c>
      <c r="D17" s="75">
        <v>30.237583333333333</v>
      </c>
      <c r="E17" s="75">
        <v>0</v>
      </c>
      <c r="F17" s="57"/>
      <c r="G17" s="57"/>
      <c r="H17" s="76">
        <v>77.747591666666665</v>
      </c>
      <c r="I17" s="76">
        <v>0</v>
      </c>
      <c r="J17" s="57"/>
      <c r="K17" s="57"/>
      <c r="L17" s="75">
        <v>41.752833333333335</v>
      </c>
      <c r="M17" s="75">
        <v>0</v>
      </c>
      <c r="N17" s="57"/>
      <c r="O17" s="57"/>
      <c r="P17" s="77">
        <v>85.627633333333335</v>
      </c>
      <c r="Q17" s="77">
        <v>0</v>
      </c>
    </row>
    <row r="18" spans="3:17" x14ac:dyDescent="0.25">
      <c r="C18" s="78" t="s">
        <v>34</v>
      </c>
      <c r="D18" s="75">
        <v>63134.970733333292</v>
      </c>
      <c r="E18" s="75">
        <v>192948.10002499999</v>
      </c>
      <c r="F18" s="57"/>
      <c r="G18" s="57"/>
      <c r="H18" s="76">
        <v>54558.46386666676</v>
      </c>
      <c r="I18" s="76">
        <v>173798.59995833333</v>
      </c>
      <c r="J18" s="57"/>
      <c r="K18" s="57"/>
      <c r="L18" s="75">
        <v>161845.70011666667</v>
      </c>
      <c r="M18" s="75">
        <v>233241.29990000001</v>
      </c>
      <c r="N18" s="57"/>
      <c r="O18" s="57"/>
      <c r="P18" s="77">
        <v>170803.06722500001</v>
      </c>
      <c r="Q18" s="77">
        <v>230294.89989166663</v>
      </c>
    </row>
    <row r="19" spans="3:17" x14ac:dyDescent="0.25">
      <c r="C19" s="78" t="s">
        <v>35</v>
      </c>
      <c r="D19" s="75">
        <v>65104.499991666686</v>
      </c>
      <c r="E19" s="75">
        <v>407670.90009166667</v>
      </c>
      <c r="F19" s="57"/>
      <c r="G19" s="57"/>
      <c r="H19" s="76">
        <v>51837.729233333339</v>
      </c>
      <c r="I19" s="76">
        <v>196833.40011666666</v>
      </c>
      <c r="J19" s="57"/>
      <c r="K19" s="57"/>
      <c r="L19" s="75">
        <v>150582.39155</v>
      </c>
      <c r="M19" s="75">
        <v>609153.69985833333</v>
      </c>
      <c r="N19" s="57"/>
      <c r="O19" s="57"/>
      <c r="P19" s="77">
        <v>153294.66477500007</v>
      </c>
      <c r="Q19" s="77">
        <v>600315.39983333356</v>
      </c>
    </row>
    <row r="20" spans="3:17" x14ac:dyDescent="0.25">
      <c r="C20" s="78" t="s">
        <v>150</v>
      </c>
      <c r="D20" s="75">
        <v>1194.0718583333335</v>
      </c>
      <c r="E20" s="75">
        <v>0</v>
      </c>
      <c r="F20" s="57"/>
      <c r="G20" s="57"/>
      <c r="H20" s="76">
        <v>1229.1518583333336</v>
      </c>
      <c r="I20" s="76">
        <v>0</v>
      </c>
      <c r="J20" s="57"/>
      <c r="K20" s="57"/>
      <c r="L20" s="75">
        <v>1197.3518916666667</v>
      </c>
      <c r="M20" s="75">
        <v>0</v>
      </c>
      <c r="N20" s="57"/>
      <c r="O20" s="57"/>
      <c r="P20" s="77">
        <v>1229.1518583333336</v>
      </c>
      <c r="Q20" s="77">
        <v>0</v>
      </c>
    </row>
    <row r="21" spans="3:17" x14ac:dyDescent="0.25">
      <c r="C21" s="78" t="s">
        <v>3</v>
      </c>
      <c r="D21" s="75">
        <v>113863.96315833338</v>
      </c>
      <c r="E21" s="75">
        <v>246120.50003333337</v>
      </c>
      <c r="F21" s="57"/>
      <c r="G21" s="57"/>
      <c r="H21" s="76">
        <v>96049.371825000067</v>
      </c>
      <c r="I21" s="76">
        <v>262562.69997500005</v>
      </c>
      <c r="J21" s="57"/>
      <c r="K21" s="57"/>
      <c r="L21" s="75">
        <v>171443.20819166669</v>
      </c>
      <c r="M21" s="75">
        <v>600835.5998333334</v>
      </c>
      <c r="N21" s="57"/>
      <c r="O21" s="57"/>
      <c r="P21" s="77">
        <v>179581.05501666659</v>
      </c>
      <c r="Q21" s="77">
        <v>539205.59999166685</v>
      </c>
    </row>
    <row r="22" spans="3:17" x14ac:dyDescent="0.25">
      <c r="C22" s="78" t="s">
        <v>4</v>
      </c>
      <c r="D22" s="75">
        <v>137248.30933333337</v>
      </c>
      <c r="E22" s="75">
        <v>381403.70002500003</v>
      </c>
      <c r="F22" s="57"/>
      <c r="G22" s="57"/>
      <c r="H22" s="76">
        <v>77976.209033333289</v>
      </c>
      <c r="I22" s="76">
        <v>335700.00015833334</v>
      </c>
      <c r="J22" s="57"/>
      <c r="K22" s="57"/>
      <c r="L22" s="75">
        <v>239712.63926666667</v>
      </c>
      <c r="M22" s="75">
        <v>670365.19983333326</v>
      </c>
      <c r="N22" s="57"/>
      <c r="O22" s="57"/>
      <c r="P22" s="77">
        <v>245844.28554166673</v>
      </c>
      <c r="Q22" s="77">
        <v>531562.99981666671</v>
      </c>
    </row>
    <row r="23" spans="3:17" x14ac:dyDescent="0.25">
      <c r="C23" s="78" t="s">
        <v>26</v>
      </c>
      <c r="D23" s="75">
        <v>38307.311899999993</v>
      </c>
      <c r="E23" s="75">
        <v>156233.79990000001</v>
      </c>
      <c r="F23" s="57"/>
      <c r="G23" s="57"/>
      <c r="H23" s="76">
        <v>39693.807991666647</v>
      </c>
      <c r="I23" s="76">
        <v>164216.59993333335</v>
      </c>
      <c r="J23" s="57"/>
      <c r="K23" s="57"/>
      <c r="L23" s="75">
        <v>86090.073083333322</v>
      </c>
      <c r="M23" s="75">
        <v>169861.40012500001</v>
      </c>
      <c r="N23" s="57"/>
      <c r="O23" s="57"/>
      <c r="P23" s="77">
        <v>90805.247249999986</v>
      </c>
      <c r="Q23" s="77">
        <v>178040.90000833332</v>
      </c>
    </row>
    <row r="24" spans="3:17" x14ac:dyDescent="0.25">
      <c r="C24" s="78" t="s">
        <v>27</v>
      </c>
      <c r="D24" s="75">
        <v>100659.07287500001</v>
      </c>
      <c r="E24" s="75">
        <v>62841.700250000009</v>
      </c>
      <c r="F24" s="57"/>
      <c r="G24" s="57"/>
      <c r="H24" s="76">
        <v>101556.19209166669</v>
      </c>
      <c r="I24" s="76">
        <v>59531.900200000004</v>
      </c>
      <c r="J24" s="57"/>
      <c r="K24" s="57"/>
      <c r="L24" s="75">
        <v>100942.17289999999</v>
      </c>
      <c r="M24" s="75">
        <v>63532.300141666674</v>
      </c>
      <c r="N24" s="57"/>
      <c r="O24" s="57"/>
      <c r="P24" s="77">
        <v>102025.19354166665</v>
      </c>
      <c r="Q24" s="77">
        <v>65315.600241666674</v>
      </c>
    </row>
    <row r="25" spans="3:17" x14ac:dyDescent="0.25">
      <c r="C25" s="78" t="s">
        <v>141</v>
      </c>
      <c r="D25" s="75">
        <v>76289.758741666708</v>
      </c>
      <c r="E25" s="75">
        <v>311149.29984999995</v>
      </c>
      <c r="F25" s="57"/>
      <c r="G25" s="57"/>
      <c r="H25" s="76">
        <v>54871.184233333406</v>
      </c>
      <c r="I25" s="76">
        <v>288001.79984166665</v>
      </c>
      <c r="J25" s="57"/>
      <c r="K25" s="57"/>
      <c r="L25" s="75">
        <v>195882.56774999999</v>
      </c>
      <c r="M25" s="75">
        <v>363145.19998333341</v>
      </c>
      <c r="N25" s="57"/>
      <c r="O25" s="57"/>
      <c r="P25" s="77">
        <v>200731.57538333337</v>
      </c>
      <c r="Q25" s="77">
        <v>363166.19972500007</v>
      </c>
    </row>
    <row r="26" spans="3:17" x14ac:dyDescent="0.25">
      <c r="C26" s="78" t="s">
        <v>145</v>
      </c>
      <c r="D26" s="75">
        <v>37056.753116666689</v>
      </c>
      <c r="E26" s="75">
        <v>79840.267100000012</v>
      </c>
      <c r="F26" s="57"/>
      <c r="G26" s="57"/>
      <c r="H26" s="76">
        <v>14549.340825000003</v>
      </c>
      <c r="I26" s="76">
        <v>79840.790483333345</v>
      </c>
      <c r="J26" s="57"/>
      <c r="K26" s="57"/>
      <c r="L26" s="75">
        <v>49766.667216666676</v>
      </c>
      <c r="M26" s="75">
        <v>112534.48540000001</v>
      </c>
      <c r="N26" s="57"/>
      <c r="O26" s="57"/>
      <c r="P26" s="77">
        <v>50163.883208333347</v>
      </c>
      <c r="Q26" s="77">
        <v>112534.48540000001</v>
      </c>
    </row>
    <row r="27" spans="3:17" x14ac:dyDescent="0.25">
      <c r="C27" s="78" t="s">
        <v>125</v>
      </c>
      <c r="D27" s="75">
        <v>2076.9856666666669</v>
      </c>
      <c r="E27" s="75">
        <v>3210.4999750000006</v>
      </c>
      <c r="F27" s="57"/>
      <c r="G27" s="57"/>
      <c r="H27" s="76">
        <v>2138.1856666666672</v>
      </c>
      <c r="I27" s="76">
        <v>3210.4999750000006</v>
      </c>
      <c r="J27" s="57"/>
      <c r="K27" s="57"/>
      <c r="L27" s="75">
        <v>2103.0856666666668</v>
      </c>
      <c r="M27" s="75">
        <v>3210.4999749999997</v>
      </c>
      <c r="N27" s="57"/>
      <c r="O27" s="57"/>
      <c r="P27" s="77">
        <v>2138.1856666666672</v>
      </c>
      <c r="Q27" s="77">
        <v>3210.4999750000006</v>
      </c>
    </row>
    <row r="28" spans="3:17" x14ac:dyDescent="0.25">
      <c r="C28" s="79" t="s">
        <v>36</v>
      </c>
      <c r="D28" s="75">
        <v>22903.998058333338</v>
      </c>
      <c r="E28" s="75">
        <v>67079.200116666674</v>
      </c>
      <c r="F28" s="57"/>
      <c r="G28" s="57"/>
      <c r="H28" s="76">
        <v>24706.886608333341</v>
      </c>
      <c r="I28" s="76">
        <v>39591.699975000003</v>
      </c>
      <c r="J28" s="57"/>
      <c r="K28" s="57"/>
      <c r="L28" s="75">
        <v>60629.302491666662</v>
      </c>
      <c r="M28" s="75">
        <v>232229.00006666663</v>
      </c>
      <c r="N28" s="57"/>
      <c r="O28" s="57"/>
      <c r="P28" s="77">
        <v>62037.463383333372</v>
      </c>
      <c r="Q28" s="77">
        <v>229578.49982500004</v>
      </c>
    </row>
    <row r="29" spans="3:17" x14ac:dyDescent="0.25">
      <c r="C29" s="78" t="s">
        <v>126</v>
      </c>
      <c r="D29" s="75">
        <v>9997.793866666676</v>
      </c>
      <c r="E29" s="75">
        <v>14660.8001</v>
      </c>
      <c r="F29" s="57"/>
      <c r="G29" s="57"/>
      <c r="H29" s="76">
        <v>11288.60960833334</v>
      </c>
      <c r="I29" s="76">
        <v>10116.999958333334</v>
      </c>
      <c r="J29" s="57"/>
      <c r="K29" s="57"/>
      <c r="L29" s="75">
        <v>10392.399066666669</v>
      </c>
      <c r="M29" s="75">
        <v>15649.700125000001</v>
      </c>
      <c r="N29" s="57"/>
      <c r="O29" s="57"/>
      <c r="P29" s="77">
        <v>11922.96425833333</v>
      </c>
      <c r="Q29" s="77">
        <v>16258.600074999998</v>
      </c>
    </row>
    <row r="30" spans="3:17" x14ac:dyDescent="0.25">
      <c r="C30" s="78" t="s">
        <v>5</v>
      </c>
      <c r="D30" s="75">
        <v>94309.697199999966</v>
      </c>
      <c r="E30" s="75">
        <v>376726.39925833337</v>
      </c>
      <c r="F30" s="57"/>
      <c r="G30" s="57"/>
      <c r="H30" s="76">
        <v>99366.863883333295</v>
      </c>
      <c r="I30" s="76">
        <v>385221.19918333332</v>
      </c>
      <c r="J30" s="57"/>
      <c r="K30" s="57"/>
      <c r="L30" s="75">
        <v>125394.02685833335</v>
      </c>
      <c r="M30" s="75">
        <v>387627.39929166657</v>
      </c>
      <c r="N30" s="57"/>
      <c r="O30" s="57"/>
      <c r="P30" s="77">
        <v>131114.28745833325</v>
      </c>
      <c r="Q30" s="77">
        <v>390752.5991916667</v>
      </c>
    </row>
    <row r="31" spans="3:17" x14ac:dyDescent="0.25">
      <c r="C31" s="78" t="s">
        <v>28</v>
      </c>
      <c r="D31" s="75">
        <v>42698.413925000001</v>
      </c>
      <c r="E31" s="75">
        <v>77331.999841666693</v>
      </c>
      <c r="F31" s="57"/>
      <c r="G31" s="57"/>
      <c r="H31" s="76">
        <v>44813.174941666672</v>
      </c>
      <c r="I31" s="76">
        <v>79335.1997416667</v>
      </c>
      <c r="J31" s="57"/>
      <c r="K31" s="57"/>
      <c r="L31" s="75">
        <v>104534.7702</v>
      </c>
      <c r="M31" s="75">
        <v>91561.399766666669</v>
      </c>
      <c r="N31" s="57"/>
      <c r="O31" s="57"/>
      <c r="P31" s="77">
        <v>108222.30824166667</v>
      </c>
      <c r="Q31" s="77">
        <v>92830.399500000029</v>
      </c>
    </row>
    <row r="32" spans="3:17" x14ac:dyDescent="0.25">
      <c r="C32" s="78" t="s">
        <v>142</v>
      </c>
      <c r="D32" s="75">
        <v>19632.656158333335</v>
      </c>
      <c r="E32" s="75">
        <v>73466.700058333328</v>
      </c>
      <c r="F32" s="57"/>
      <c r="G32" s="57"/>
      <c r="H32" s="76">
        <v>14583.442625000007</v>
      </c>
      <c r="I32" s="76">
        <v>43279.399966666664</v>
      </c>
      <c r="J32" s="57"/>
      <c r="K32" s="57"/>
      <c r="L32" s="75">
        <v>43163.341100000012</v>
      </c>
      <c r="M32" s="75">
        <v>73466.500041666659</v>
      </c>
      <c r="N32" s="57"/>
      <c r="O32" s="57"/>
      <c r="P32" s="77">
        <v>44939.350358333402</v>
      </c>
      <c r="Q32" s="77">
        <v>73466.500041666673</v>
      </c>
    </row>
    <row r="33" spans="3:17" x14ac:dyDescent="0.25">
      <c r="C33" s="78" t="s">
        <v>29</v>
      </c>
      <c r="D33" s="75">
        <v>67140.683183333327</v>
      </c>
      <c r="E33" s="75">
        <v>244402.50024166668</v>
      </c>
      <c r="F33" s="57"/>
      <c r="G33" s="57"/>
      <c r="H33" s="76">
        <v>73163.023016666673</v>
      </c>
      <c r="I33" s="76">
        <v>289352.60008333332</v>
      </c>
      <c r="J33" s="57"/>
      <c r="K33" s="57"/>
      <c r="L33" s="75">
        <v>137008.81203333335</v>
      </c>
      <c r="M33" s="75">
        <v>293092.50034999999</v>
      </c>
      <c r="N33" s="57"/>
      <c r="O33" s="57"/>
      <c r="P33" s="77">
        <v>145065.86755</v>
      </c>
      <c r="Q33" s="77">
        <v>317555.99994166673</v>
      </c>
    </row>
    <row r="34" spans="3:17" x14ac:dyDescent="0.25">
      <c r="C34" s="78" t="s">
        <v>151</v>
      </c>
      <c r="D34" s="75">
        <v>38460.919975000004</v>
      </c>
      <c r="E34" s="75">
        <v>17717.600100000003</v>
      </c>
      <c r="F34" s="57"/>
      <c r="G34" s="57"/>
      <c r="H34" s="76">
        <v>38547.240041666671</v>
      </c>
      <c r="I34" s="76">
        <v>17031.400083333334</v>
      </c>
      <c r="J34" s="57"/>
      <c r="K34" s="57"/>
      <c r="L34" s="75">
        <v>38464.540074999997</v>
      </c>
      <c r="M34" s="75">
        <v>17922.50011666667</v>
      </c>
      <c r="N34" s="57"/>
      <c r="O34" s="57"/>
      <c r="P34" s="77">
        <v>38547.240041666671</v>
      </c>
      <c r="Q34" s="77">
        <v>17717.600100000003</v>
      </c>
    </row>
    <row r="35" spans="3:17" x14ac:dyDescent="0.25">
      <c r="C35" s="78" t="s">
        <v>30</v>
      </c>
      <c r="D35" s="75">
        <v>57730.388316666671</v>
      </c>
      <c r="E35" s="75">
        <v>97390.999841666664</v>
      </c>
      <c r="F35" s="57"/>
      <c r="G35" s="57"/>
      <c r="H35" s="76">
        <v>58001.345508333339</v>
      </c>
      <c r="I35" s="76">
        <v>97390.999841666664</v>
      </c>
      <c r="J35" s="57"/>
      <c r="K35" s="57"/>
      <c r="L35" s="75">
        <v>57825.789249999994</v>
      </c>
      <c r="M35" s="75">
        <v>97629.599833333326</v>
      </c>
      <c r="N35" s="57"/>
      <c r="O35" s="57"/>
      <c r="P35" s="77">
        <v>57820.140883333341</v>
      </c>
      <c r="Q35" s="77">
        <v>97390.999841666664</v>
      </c>
    </row>
    <row r="36" spans="3:17" x14ac:dyDescent="0.25">
      <c r="C36" s="78" t="s">
        <v>152</v>
      </c>
      <c r="D36" s="75">
        <v>37789.083958333336</v>
      </c>
      <c r="E36" s="75">
        <v>16534.500016666665</v>
      </c>
      <c r="F36" s="57"/>
      <c r="G36" s="57"/>
      <c r="H36" s="76">
        <v>41648.660325000004</v>
      </c>
      <c r="I36" s="76">
        <v>17505.599983333334</v>
      </c>
      <c r="J36" s="57"/>
      <c r="K36" s="57"/>
      <c r="L36" s="75">
        <v>37402.724924999995</v>
      </c>
      <c r="M36" s="75">
        <v>16407.900008333334</v>
      </c>
      <c r="N36" s="57"/>
      <c r="O36" s="57"/>
      <c r="P36" s="77">
        <v>41283.590283333346</v>
      </c>
      <c r="Q36" s="77">
        <v>17314.5</v>
      </c>
    </row>
    <row r="37" spans="3:17" x14ac:dyDescent="0.25">
      <c r="C37" s="78" t="s">
        <v>127</v>
      </c>
      <c r="D37" s="75">
        <v>3128.768775</v>
      </c>
      <c r="E37" s="75">
        <v>5625.8</v>
      </c>
      <c r="F37" s="57"/>
      <c r="G37" s="57"/>
      <c r="H37" s="76">
        <v>3124.468883333333</v>
      </c>
      <c r="I37" s="76">
        <v>5602.0999583333341</v>
      </c>
      <c r="J37" s="57"/>
      <c r="K37" s="57"/>
      <c r="L37" s="75">
        <v>3647.268783333333</v>
      </c>
      <c r="M37" s="75">
        <v>7289.1999416666658</v>
      </c>
      <c r="N37" s="57"/>
      <c r="O37" s="57"/>
      <c r="P37" s="77">
        <v>3813.0688749999999</v>
      </c>
      <c r="Q37" s="77">
        <v>7289.1</v>
      </c>
    </row>
    <row r="38" spans="3:17" x14ac:dyDescent="0.25">
      <c r="C38" s="78" t="s">
        <v>130</v>
      </c>
      <c r="D38" s="75">
        <v>10996.693441666666</v>
      </c>
      <c r="E38" s="75">
        <v>25496.9</v>
      </c>
      <c r="F38" s="57"/>
      <c r="G38" s="57"/>
      <c r="H38" s="76">
        <v>14367.862091666671</v>
      </c>
      <c r="I38" s="76">
        <v>21186.200025000002</v>
      </c>
      <c r="J38" s="57"/>
      <c r="K38" s="57"/>
      <c r="L38" s="75">
        <v>29321.531175000004</v>
      </c>
      <c r="M38" s="75">
        <v>41255.199983333332</v>
      </c>
      <c r="N38" s="57"/>
      <c r="O38" s="57"/>
      <c r="P38" s="77">
        <v>30713.174075000003</v>
      </c>
      <c r="Q38" s="77">
        <v>39236.899983333336</v>
      </c>
    </row>
    <row r="39" spans="3:17" x14ac:dyDescent="0.25">
      <c r="C39" s="78" t="s">
        <v>153</v>
      </c>
      <c r="D39" s="75">
        <v>76378.477350000001</v>
      </c>
      <c r="E39" s="75">
        <v>48576.600108333332</v>
      </c>
      <c r="F39" s="57"/>
      <c r="G39" s="57"/>
      <c r="H39" s="76">
        <v>76710.456050000008</v>
      </c>
      <c r="I39" s="76">
        <v>48576.600108333332</v>
      </c>
      <c r="J39" s="57"/>
      <c r="K39" s="57"/>
      <c r="L39" s="75">
        <v>76399.711575000008</v>
      </c>
      <c r="M39" s="75">
        <v>48576.600108333332</v>
      </c>
      <c r="N39" s="57"/>
      <c r="O39" s="57"/>
      <c r="P39" s="77">
        <v>76537.662583333353</v>
      </c>
      <c r="Q39" s="77">
        <v>48576.600108333332</v>
      </c>
    </row>
    <row r="40" spans="3:17" x14ac:dyDescent="0.25">
      <c r="C40" s="78" t="s">
        <v>1</v>
      </c>
      <c r="D40" s="75">
        <v>60727.704566666675</v>
      </c>
      <c r="E40" s="75">
        <v>113726.09966666668</v>
      </c>
      <c r="F40" s="57"/>
      <c r="G40" s="57"/>
      <c r="H40" s="76">
        <v>57817.87662499999</v>
      </c>
      <c r="I40" s="76">
        <v>117489.89963333332</v>
      </c>
      <c r="J40" s="57"/>
      <c r="K40" s="57"/>
      <c r="L40" s="75">
        <v>68413.406033333333</v>
      </c>
      <c r="M40" s="75">
        <v>214077.19961666665</v>
      </c>
      <c r="N40" s="57"/>
      <c r="O40" s="57"/>
      <c r="P40" s="77">
        <v>70460.816849999959</v>
      </c>
      <c r="Q40" s="77">
        <v>214077.19961666671</v>
      </c>
    </row>
    <row r="41" spans="3:17" x14ac:dyDescent="0.25">
      <c r="C41" s="78" t="s">
        <v>37</v>
      </c>
      <c r="D41" s="75">
        <v>62004.495299999995</v>
      </c>
      <c r="E41" s="75">
        <v>219368.8003</v>
      </c>
      <c r="F41" s="57"/>
      <c r="G41" s="57"/>
      <c r="H41" s="76">
        <v>54848.843216666661</v>
      </c>
      <c r="I41" s="76">
        <v>144368.79989166668</v>
      </c>
      <c r="J41" s="57"/>
      <c r="K41" s="57"/>
      <c r="L41" s="75">
        <v>62069.42704166667</v>
      </c>
      <c r="M41" s="75">
        <v>219368.59975833329</v>
      </c>
      <c r="N41" s="57"/>
      <c r="O41" s="57"/>
      <c r="P41" s="77">
        <v>63471.795033333343</v>
      </c>
      <c r="Q41" s="77">
        <v>144368.69960833335</v>
      </c>
    </row>
    <row r="42" spans="3:17" x14ac:dyDescent="0.25">
      <c r="C42" s="78" t="s">
        <v>31</v>
      </c>
      <c r="D42" s="75">
        <v>84889.223500000007</v>
      </c>
      <c r="E42" s="75">
        <v>68023.600000000006</v>
      </c>
      <c r="F42" s="57"/>
      <c r="G42" s="57"/>
      <c r="H42" s="76">
        <v>84889.723525000009</v>
      </c>
      <c r="I42" s="76">
        <v>68023.600000000006</v>
      </c>
      <c r="J42" s="57"/>
      <c r="K42" s="57"/>
      <c r="L42" s="75">
        <v>77927.261099999989</v>
      </c>
      <c r="M42" s="75">
        <v>160938.00009166665</v>
      </c>
      <c r="N42" s="57"/>
      <c r="O42" s="57"/>
      <c r="P42" s="77">
        <v>80541.265625</v>
      </c>
      <c r="Q42" s="77">
        <v>171994.60008333335</v>
      </c>
    </row>
    <row r="43" spans="3:17" x14ac:dyDescent="0.25">
      <c r="C43" s="78" t="s">
        <v>6</v>
      </c>
      <c r="D43" s="75">
        <v>118712.42159166682</v>
      </c>
      <c r="E43" s="75">
        <v>368186.30001666653</v>
      </c>
      <c r="F43" s="57"/>
      <c r="G43" s="57"/>
      <c r="H43" s="76">
        <v>102175.20484166675</v>
      </c>
      <c r="I43" s="76">
        <v>312500.70029999997</v>
      </c>
      <c r="J43" s="57"/>
      <c r="K43" s="57"/>
      <c r="L43" s="75">
        <v>266797.679925</v>
      </c>
      <c r="M43" s="75">
        <v>1258684.4998916665</v>
      </c>
      <c r="N43" s="57"/>
      <c r="O43" s="57"/>
      <c r="P43" s="77">
        <v>261431.28774166686</v>
      </c>
      <c r="Q43" s="77">
        <v>1047579.900158333</v>
      </c>
    </row>
    <row r="44" spans="3:17" x14ac:dyDescent="0.25">
      <c r="C44" s="78" t="s">
        <v>146</v>
      </c>
      <c r="D44" s="75">
        <v>83132.832075000013</v>
      </c>
      <c r="E44" s="75">
        <v>133009.39995000002</v>
      </c>
      <c r="F44" s="57"/>
      <c r="G44" s="57"/>
      <c r="H44" s="76">
        <v>87240.593175000016</v>
      </c>
      <c r="I44" s="76">
        <v>131901.99991666668</v>
      </c>
      <c r="J44" s="57"/>
      <c r="K44" s="57"/>
      <c r="L44" s="75">
        <v>82114.517474999971</v>
      </c>
      <c r="M44" s="75">
        <v>133009.39994999999</v>
      </c>
      <c r="N44" s="57"/>
      <c r="O44" s="57"/>
      <c r="P44" s="77">
        <v>86710.833991666674</v>
      </c>
      <c r="Q44" s="77">
        <v>133009.39995000002</v>
      </c>
    </row>
    <row r="45" spans="3:17" x14ac:dyDescent="0.25">
      <c r="C45" s="78" t="s">
        <v>157</v>
      </c>
      <c r="D45" s="75">
        <v>13327.866808333332</v>
      </c>
      <c r="E45" s="75">
        <v>15186.600008333335</v>
      </c>
      <c r="F45" s="57"/>
      <c r="G45" s="57"/>
      <c r="H45" s="76">
        <v>13503.687058333329</v>
      </c>
      <c r="I45" s="76">
        <v>15186.600008333335</v>
      </c>
      <c r="J45" s="57"/>
      <c r="K45" s="57"/>
      <c r="L45" s="75">
        <v>13346.396983333329</v>
      </c>
      <c r="M45" s="75">
        <v>15186.600008333335</v>
      </c>
      <c r="N45" s="57"/>
      <c r="O45" s="57"/>
      <c r="P45" s="77">
        <v>13503.687058333329</v>
      </c>
      <c r="Q45" s="77">
        <v>15186.600008333335</v>
      </c>
    </row>
    <row r="46" spans="3:17" x14ac:dyDescent="0.25">
      <c r="C46" s="78" t="s">
        <v>2</v>
      </c>
      <c r="D46" s="75">
        <v>81493.662666666627</v>
      </c>
      <c r="E46" s="75">
        <v>179710.79984166677</v>
      </c>
      <c r="F46" s="57"/>
      <c r="G46" s="57"/>
      <c r="H46" s="76">
        <v>79078.258066666749</v>
      </c>
      <c r="I46" s="76">
        <v>176682.99990833341</v>
      </c>
      <c r="J46" s="57"/>
      <c r="K46" s="57"/>
      <c r="L46" s="75">
        <v>209760.18866666663</v>
      </c>
      <c r="M46" s="75">
        <v>853430.79973333341</v>
      </c>
      <c r="N46" s="57"/>
      <c r="O46" s="57"/>
      <c r="P46" s="77">
        <v>215026.96886666652</v>
      </c>
      <c r="Q46" s="77">
        <v>812610.29960833339</v>
      </c>
    </row>
    <row r="47" spans="3:17" x14ac:dyDescent="0.25">
      <c r="C47" s="78" t="s">
        <v>128</v>
      </c>
      <c r="D47" s="75">
        <v>1503.572725</v>
      </c>
      <c r="E47" s="75">
        <v>0</v>
      </c>
      <c r="F47" s="57"/>
      <c r="G47" s="57"/>
      <c r="H47" s="76">
        <v>1985.3604416666669</v>
      </c>
      <c r="I47" s="76">
        <v>0</v>
      </c>
      <c r="J47" s="57"/>
      <c r="K47" s="57"/>
      <c r="L47" s="75">
        <v>1439.8441083333335</v>
      </c>
      <c r="M47" s="75">
        <v>0</v>
      </c>
      <c r="N47" s="57"/>
      <c r="O47" s="57"/>
      <c r="P47" s="77">
        <v>1989.0316583333336</v>
      </c>
      <c r="Q47" s="77">
        <v>0</v>
      </c>
    </row>
    <row r="48" spans="3:17" x14ac:dyDescent="0.25">
      <c r="C48" s="78" t="s">
        <v>38</v>
      </c>
      <c r="D48" s="75">
        <v>33569.803741666663</v>
      </c>
      <c r="E48" s="75">
        <v>162980.19993333338</v>
      </c>
      <c r="F48" s="57"/>
      <c r="G48" s="57"/>
      <c r="H48" s="76">
        <v>30780.151574999996</v>
      </c>
      <c r="I48" s="76">
        <v>145253.50014166668</v>
      </c>
      <c r="J48" s="57"/>
      <c r="K48" s="57"/>
      <c r="L48" s="75">
        <v>64736.667500000003</v>
      </c>
      <c r="M48" s="75">
        <v>199745.10003333332</v>
      </c>
      <c r="N48" s="57"/>
      <c r="O48" s="57"/>
      <c r="P48" s="77">
        <v>66242.951341666674</v>
      </c>
      <c r="Q48" s="77">
        <v>195540.60014166665</v>
      </c>
    </row>
    <row r="49" spans="3:17" x14ac:dyDescent="0.25">
      <c r="C49" s="78" t="s">
        <v>32</v>
      </c>
      <c r="D49" s="75">
        <v>17607.700024999998</v>
      </c>
      <c r="E49" s="75">
        <v>2864.5000250000003</v>
      </c>
      <c r="F49" s="57"/>
      <c r="G49" s="57"/>
      <c r="H49" s="76">
        <v>17612.500041666666</v>
      </c>
      <c r="I49" s="76">
        <v>2864.5000250000003</v>
      </c>
      <c r="J49" s="57"/>
      <c r="K49" s="57"/>
      <c r="L49" s="75">
        <v>11747.500049999999</v>
      </c>
      <c r="M49" s="75">
        <v>36304.499991666671</v>
      </c>
      <c r="N49" s="57"/>
      <c r="O49" s="57"/>
      <c r="P49" s="77">
        <v>13552.300025</v>
      </c>
      <c r="Q49" s="77">
        <v>42118.199983333339</v>
      </c>
    </row>
    <row r="50" spans="3:17" x14ac:dyDescent="0.25">
      <c r="C50" s="79" t="s">
        <v>143</v>
      </c>
      <c r="D50" s="75">
        <v>50198.757625000013</v>
      </c>
      <c r="E50" s="75">
        <v>258129.79995833337</v>
      </c>
      <c r="F50" s="57"/>
      <c r="G50" s="57"/>
      <c r="H50" s="76">
        <v>31580.040991666669</v>
      </c>
      <c r="I50" s="76">
        <v>192419.10006666667</v>
      </c>
      <c r="J50" s="57"/>
      <c r="K50" s="57"/>
      <c r="L50" s="75">
        <v>102819.39731666667</v>
      </c>
      <c r="M50" s="75">
        <v>306081.89990833332</v>
      </c>
      <c r="N50" s="57"/>
      <c r="O50" s="57"/>
      <c r="P50" s="77">
        <v>102714.36775000003</v>
      </c>
      <c r="Q50" s="77">
        <v>309625.69965833344</v>
      </c>
    </row>
    <row r="51" spans="3:17" x14ac:dyDescent="0.25">
      <c r="C51" s="78" t="s">
        <v>147</v>
      </c>
      <c r="D51" s="75">
        <v>198229.18382500004</v>
      </c>
      <c r="E51" s="75">
        <v>401700.40020000003</v>
      </c>
      <c r="F51" s="57"/>
      <c r="G51" s="57"/>
      <c r="H51" s="76">
        <v>160281.66921666689</v>
      </c>
      <c r="I51" s="76">
        <v>365440.3000166667</v>
      </c>
      <c r="J51" s="57"/>
      <c r="K51" s="57"/>
      <c r="L51" s="75">
        <v>200908.5764916667</v>
      </c>
      <c r="M51" s="75">
        <v>487739.9999833334</v>
      </c>
      <c r="N51" s="57"/>
      <c r="O51" s="57"/>
      <c r="P51" s="77">
        <v>201284.18007500027</v>
      </c>
      <c r="Q51" s="77">
        <v>487068.39991666668</v>
      </c>
    </row>
    <row r="52" spans="3:17" x14ac:dyDescent="0.25">
      <c r="C52" s="78" t="s">
        <v>154</v>
      </c>
      <c r="D52" s="75">
        <v>69368.401975000001</v>
      </c>
      <c r="E52" s="75">
        <v>31540.500208333335</v>
      </c>
      <c r="F52" s="57"/>
      <c r="G52" s="57"/>
      <c r="H52" s="76">
        <v>69400.293541666659</v>
      </c>
      <c r="I52" s="76">
        <v>31540.500208333335</v>
      </c>
      <c r="J52" s="57"/>
      <c r="K52" s="57"/>
      <c r="L52" s="75">
        <v>69368.401975000001</v>
      </c>
      <c r="M52" s="75">
        <v>31540.500208333327</v>
      </c>
      <c r="N52" s="57"/>
      <c r="O52" s="57"/>
      <c r="P52" s="77">
        <v>69402.086583333323</v>
      </c>
      <c r="Q52" s="77">
        <v>31540.500208333335</v>
      </c>
    </row>
    <row r="53" spans="3:17" x14ac:dyDescent="0.25">
      <c r="C53" s="78" t="s">
        <v>129</v>
      </c>
      <c r="D53" s="75">
        <v>1.4000416666666666</v>
      </c>
      <c r="E53" s="75">
        <v>0</v>
      </c>
      <c r="F53" s="57"/>
      <c r="G53" s="57"/>
      <c r="H53" s="76">
        <v>4.1999500000000012</v>
      </c>
      <c r="I53" s="76">
        <v>0</v>
      </c>
      <c r="J53" s="57"/>
      <c r="K53" s="57"/>
      <c r="L53" s="75">
        <v>1.4000416666666666</v>
      </c>
      <c r="M53" s="75">
        <v>0</v>
      </c>
      <c r="N53" s="57"/>
      <c r="O53" s="57"/>
      <c r="P53" s="77">
        <v>4.1999500000000012</v>
      </c>
      <c r="Q53" s="77">
        <v>0</v>
      </c>
    </row>
    <row r="54" spans="3:17" x14ac:dyDescent="0.25">
      <c r="C54" s="78" t="s">
        <v>39</v>
      </c>
      <c r="D54" s="75">
        <v>33535.737900000022</v>
      </c>
      <c r="E54" s="75">
        <v>160664.50011666666</v>
      </c>
      <c r="F54" s="57"/>
      <c r="G54" s="57"/>
      <c r="H54" s="76">
        <v>33793.752141666686</v>
      </c>
      <c r="I54" s="76">
        <v>117255.40017500002</v>
      </c>
      <c r="J54" s="57"/>
      <c r="K54" s="57"/>
      <c r="L54" s="75">
        <v>55529.529499999997</v>
      </c>
      <c r="M54" s="75">
        <v>187771.70009166666</v>
      </c>
      <c r="N54" s="57"/>
      <c r="O54" s="57"/>
      <c r="P54" s="77">
        <v>57948.309649999981</v>
      </c>
      <c r="Q54" s="77">
        <v>186498.00015833334</v>
      </c>
    </row>
    <row r="55" spans="3:17" x14ac:dyDescent="0.25">
      <c r="C55" s="78" t="s">
        <v>158</v>
      </c>
      <c r="D55" s="75">
        <v>28321.449433333328</v>
      </c>
      <c r="E55" s="75">
        <v>5959.4999750000006</v>
      </c>
      <c r="F55" s="57"/>
      <c r="G55" s="57"/>
      <c r="H55" s="76">
        <v>26234.264225000006</v>
      </c>
      <c r="I55" s="76">
        <v>5959.4999750000006</v>
      </c>
      <c r="J55" s="57"/>
      <c r="K55" s="57"/>
      <c r="L55" s="75">
        <v>28431.787799999995</v>
      </c>
      <c r="M55" s="75">
        <v>5959.4999749999997</v>
      </c>
      <c r="N55" s="57"/>
      <c r="O55" s="57"/>
      <c r="P55" s="77">
        <v>26335.941091666667</v>
      </c>
      <c r="Q55" s="77">
        <v>5959.4999750000006</v>
      </c>
    </row>
    <row r="56" spans="3:17" x14ac:dyDescent="0.25">
      <c r="C56" s="79" t="s">
        <v>40</v>
      </c>
      <c r="D56" s="75">
        <v>41356.215625000019</v>
      </c>
      <c r="E56" s="75">
        <v>221064.90002500001</v>
      </c>
      <c r="F56" s="57"/>
      <c r="G56" s="57"/>
      <c r="H56" s="76">
        <v>35872.910899999995</v>
      </c>
      <c r="I56" s="76">
        <v>138781.4999</v>
      </c>
      <c r="J56" s="57"/>
      <c r="K56" s="57"/>
      <c r="L56" s="75">
        <v>155156.97555833333</v>
      </c>
      <c r="M56" s="75">
        <v>550629.2999333333</v>
      </c>
      <c r="N56" s="57"/>
      <c r="O56" s="57"/>
      <c r="P56" s="77">
        <v>148245.78096666664</v>
      </c>
      <c r="Q56" s="77">
        <v>485117.59980000008</v>
      </c>
    </row>
    <row r="57" spans="3:17" x14ac:dyDescent="0.25">
      <c r="C57" s="78" t="s">
        <v>7</v>
      </c>
      <c r="D57" s="75">
        <v>74189.485625000001</v>
      </c>
      <c r="E57" s="75">
        <v>200978.39992499998</v>
      </c>
      <c r="F57" s="57"/>
      <c r="G57" s="57"/>
      <c r="H57" s="76">
        <v>60425.960274999983</v>
      </c>
      <c r="I57" s="76">
        <v>182173.69978333334</v>
      </c>
      <c r="J57" s="57"/>
      <c r="K57" s="57"/>
      <c r="L57" s="75">
        <v>111540.3981916667</v>
      </c>
      <c r="M57" s="75">
        <v>214062.69979166667</v>
      </c>
      <c r="N57" s="57"/>
      <c r="O57" s="57"/>
      <c r="P57" s="77">
        <v>103468.89445000008</v>
      </c>
      <c r="Q57" s="77">
        <v>189551.99981666671</v>
      </c>
    </row>
    <row r="58" spans="3:17" x14ac:dyDescent="0.25">
      <c r="C58" s="78" t="s">
        <v>155</v>
      </c>
      <c r="D58" s="75">
        <v>90499.807558333312</v>
      </c>
      <c r="E58" s="75">
        <v>47275.600291666677</v>
      </c>
      <c r="F58" s="57"/>
      <c r="G58" s="57"/>
      <c r="H58" s="76">
        <v>90502.396449999971</v>
      </c>
      <c r="I58" s="76">
        <v>45792.000250000012</v>
      </c>
      <c r="J58" s="57"/>
      <c r="K58" s="57"/>
      <c r="L58" s="75">
        <v>90499.806391666658</v>
      </c>
      <c r="M58" s="75">
        <v>47275.700333333334</v>
      </c>
      <c r="N58" s="57"/>
      <c r="O58" s="57"/>
      <c r="P58" s="77">
        <v>90502.323649999977</v>
      </c>
      <c r="Q58" s="77">
        <v>47240.200333333341</v>
      </c>
    </row>
    <row r="59" spans="3:17" x14ac:dyDescent="0.25">
      <c r="C59" s="78" t="s">
        <v>265</v>
      </c>
      <c r="D59" s="80"/>
      <c r="E59" s="80"/>
      <c r="F59" s="57"/>
      <c r="G59" s="57"/>
      <c r="H59" s="81"/>
      <c r="I59" s="81"/>
      <c r="J59" s="57"/>
      <c r="K59" s="57"/>
      <c r="L59" s="80"/>
      <c r="M59" s="80"/>
      <c r="N59" s="57"/>
      <c r="O59" s="57"/>
      <c r="P59" s="80"/>
      <c r="Q59" s="80"/>
    </row>
    <row r="60" spans="3:17" x14ac:dyDescent="0.25">
      <c r="C60" s="82" t="s">
        <v>160</v>
      </c>
      <c r="D60" s="83">
        <v>2569519.1725666681</v>
      </c>
      <c r="E60" s="83">
        <v>6106707.6005499987</v>
      </c>
      <c r="F60" s="57"/>
      <c r="G60" s="57"/>
      <c r="H60" s="83">
        <v>2304175.4611916672</v>
      </c>
      <c r="I60" s="83">
        <v>5401704.2997499993</v>
      </c>
      <c r="J60" s="57"/>
      <c r="K60" s="57"/>
      <c r="L60" s="83">
        <v>3943437.9129416668</v>
      </c>
      <c r="M60" s="83">
        <v>9856926.3990499992</v>
      </c>
      <c r="N60" s="57"/>
      <c r="O60" s="57"/>
      <c r="P60" s="83">
        <v>4008240.5163833341</v>
      </c>
      <c r="Q60" s="83">
        <v>9222097.1974833328</v>
      </c>
    </row>
    <row r="63" spans="3:17" x14ac:dyDescent="0.25">
      <c r="C63" s="57"/>
      <c r="D63" s="57" t="s">
        <v>266</v>
      </c>
      <c r="E63" s="57"/>
      <c r="F63" s="57"/>
      <c r="G63" s="57"/>
      <c r="H63" s="57" t="s">
        <v>266</v>
      </c>
      <c r="I63" s="57"/>
      <c r="J63" s="57"/>
      <c r="K63" s="57"/>
      <c r="L63" s="57" t="s">
        <v>267</v>
      </c>
      <c r="M63" s="57"/>
      <c r="N63" s="57"/>
      <c r="O63" s="57"/>
      <c r="P63" s="57" t="s">
        <v>267</v>
      </c>
      <c r="Q63" s="57"/>
    </row>
    <row r="64" spans="3:17" x14ac:dyDescent="0.25">
      <c r="C64" s="57"/>
      <c r="D64" s="57" t="s">
        <v>268</v>
      </c>
      <c r="E64" s="57" t="s">
        <v>269</v>
      </c>
      <c r="F64" s="57"/>
      <c r="G64" s="57"/>
      <c r="H64" s="57" t="s">
        <v>270</v>
      </c>
      <c r="I64" s="57" t="s">
        <v>271</v>
      </c>
      <c r="J64" s="57"/>
      <c r="K64" s="57"/>
      <c r="L64" s="57" t="s">
        <v>268</v>
      </c>
      <c r="M64" s="57" t="s">
        <v>269</v>
      </c>
      <c r="N64" s="57"/>
      <c r="O64" s="57"/>
      <c r="P64" s="57" t="s">
        <v>270</v>
      </c>
      <c r="Q64" s="57" t="s">
        <v>271</v>
      </c>
    </row>
    <row r="65" spans="3:17" x14ac:dyDescent="0.25">
      <c r="C65" s="57" t="s">
        <v>43</v>
      </c>
      <c r="D65" s="71">
        <v>19.850363804880008</v>
      </c>
      <c r="E65" s="71">
        <v>26.14069593072</v>
      </c>
      <c r="F65" s="57"/>
      <c r="G65" s="57" t="s">
        <v>43</v>
      </c>
      <c r="H65" s="71">
        <v>21.600173304360005</v>
      </c>
      <c r="I65" s="71">
        <v>21.997059764400003</v>
      </c>
      <c r="J65" s="71"/>
      <c r="K65" s="57" t="s">
        <v>43</v>
      </c>
      <c r="L65" s="71">
        <v>20.640927195000003</v>
      </c>
      <c r="M65" s="71">
        <v>29.423399108040002</v>
      </c>
      <c r="N65" s="57"/>
      <c r="O65" s="57" t="s">
        <v>43</v>
      </c>
      <c r="P65" s="71">
        <v>22.795795620359996</v>
      </c>
      <c r="Q65" s="71">
        <v>29.975702475599999</v>
      </c>
    </row>
    <row r="66" spans="3:17" x14ac:dyDescent="0.25">
      <c r="C66" s="57" t="s">
        <v>44</v>
      </c>
      <c r="D66" s="71">
        <v>138.99942464435998</v>
      </c>
      <c r="E66" s="71">
        <v>289.33674291396005</v>
      </c>
      <c r="F66" s="57"/>
      <c r="G66" s="57" t="s">
        <v>44</v>
      </c>
      <c r="H66" s="71">
        <v>137.2266978818401</v>
      </c>
      <c r="I66" s="71">
        <v>286.09377512688008</v>
      </c>
      <c r="J66" s="71"/>
      <c r="K66" s="57" t="s">
        <v>44</v>
      </c>
      <c r="L66" s="71">
        <v>278.95957819379998</v>
      </c>
      <c r="M66" s="71">
        <v>1005.8699744352001</v>
      </c>
      <c r="N66" s="57"/>
      <c r="O66" s="57" t="s">
        <v>44</v>
      </c>
      <c r="P66" s="71">
        <v>286.85751072299979</v>
      </c>
      <c r="Q66" s="71">
        <v>967.0066149618001</v>
      </c>
    </row>
    <row r="67" spans="3:17" x14ac:dyDescent="0.25">
      <c r="C67" s="57" t="s">
        <v>45</v>
      </c>
      <c r="D67" s="71">
        <v>488.36742113124012</v>
      </c>
      <c r="E67" s="71">
        <v>1427.4023594871601</v>
      </c>
      <c r="F67" s="57"/>
      <c r="G67" s="57" t="s">
        <v>45</v>
      </c>
      <c r="H67" s="71">
        <v>395.53340286348003</v>
      </c>
      <c r="I67" s="71">
        <v>1340.9852092156802</v>
      </c>
      <c r="J67" s="71"/>
      <c r="K67" s="57" t="s">
        <v>45</v>
      </c>
      <c r="L67" s="71">
        <v>829.98635044752018</v>
      </c>
      <c r="M67" s="71">
        <v>2840.9652016477198</v>
      </c>
      <c r="N67" s="57"/>
      <c r="O67" s="57" t="s">
        <v>45</v>
      </c>
      <c r="P67" s="71">
        <v>835.93019582099998</v>
      </c>
      <c r="Q67" s="71">
        <v>2448.2180913901202</v>
      </c>
    </row>
    <row r="68" spans="3:17" x14ac:dyDescent="0.25">
      <c r="C68" s="57" t="s">
        <v>46</v>
      </c>
      <c r="D68" s="71">
        <v>371.07455046732002</v>
      </c>
      <c r="E68" s="71">
        <v>643.28563161072009</v>
      </c>
      <c r="F68" s="57"/>
      <c r="G68" s="57" t="s">
        <v>46</v>
      </c>
      <c r="H68" s="71">
        <v>380.77884472823996</v>
      </c>
      <c r="I68" s="71">
        <v>690.12101072123994</v>
      </c>
      <c r="J68" s="71"/>
      <c r="K68" s="57" t="s">
        <v>46</v>
      </c>
      <c r="L68" s="71">
        <v>522.61649068103998</v>
      </c>
      <c r="M68" s="71">
        <v>828.20075211215999</v>
      </c>
      <c r="N68" s="57"/>
      <c r="O68" s="57" t="s">
        <v>46</v>
      </c>
      <c r="P68" s="71">
        <v>542.53492353143997</v>
      </c>
      <c r="Q68" s="71">
        <v>875.67180587712005</v>
      </c>
    </row>
    <row r="69" spans="3:17" x14ac:dyDescent="0.25">
      <c r="C69" s="57" t="s">
        <v>47</v>
      </c>
      <c r="D69" s="71">
        <v>299.54407515984002</v>
      </c>
      <c r="E69" s="71">
        <v>1329.77031322212</v>
      </c>
      <c r="F69" s="57"/>
      <c r="G69" s="57" t="s">
        <v>47</v>
      </c>
      <c r="H69" s="71">
        <v>268.1357959576801</v>
      </c>
      <c r="I69" s="71">
        <v>898.5426813014401</v>
      </c>
      <c r="J69" s="71"/>
      <c r="K69" s="57" t="s">
        <v>47</v>
      </c>
      <c r="L69" s="71">
        <v>653.96651166504012</v>
      </c>
      <c r="M69" s="71">
        <v>2067.0498472629597</v>
      </c>
      <c r="N69" s="57"/>
      <c r="O69" s="57" t="s">
        <v>47</v>
      </c>
      <c r="P69" s="71">
        <v>664.95311372700019</v>
      </c>
      <c r="Q69" s="71">
        <v>1923.2536573303203</v>
      </c>
    </row>
    <row r="70" spans="3:17" x14ac:dyDescent="0.25">
      <c r="C70" s="57" t="s">
        <v>48</v>
      </c>
      <c r="D70" s="71">
        <v>199.41020653176002</v>
      </c>
      <c r="E70" s="71">
        <v>904.65938621856003</v>
      </c>
      <c r="F70" s="57"/>
      <c r="G70" s="57" t="s">
        <v>48</v>
      </c>
      <c r="H70" s="71">
        <v>145.41044464044006</v>
      </c>
      <c r="I70" s="71">
        <v>778.26247644096009</v>
      </c>
      <c r="J70" s="71"/>
      <c r="K70" s="57" t="s">
        <v>48</v>
      </c>
      <c r="L70" s="71">
        <v>431.82619960788003</v>
      </c>
      <c r="M70" s="71">
        <v>1102.91615283024</v>
      </c>
      <c r="N70" s="57"/>
      <c r="O70" s="57" t="s">
        <v>48</v>
      </c>
      <c r="P70" s="71">
        <v>432.71345761308015</v>
      </c>
      <c r="Q70" s="71">
        <v>1054.38730266324</v>
      </c>
    </row>
    <row r="71" spans="3:17" x14ac:dyDescent="0.25">
      <c r="C71" s="57" t="s">
        <v>49</v>
      </c>
      <c r="D71" s="71">
        <v>323.49679899768006</v>
      </c>
      <c r="E71" s="71">
        <v>628.22139426144008</v>
      </c>
      <c r="F71" s="57"/>
      <c r="G71" s="57" t="s">
        <v>49</v>
      </c>
      <c r="H71" s="71">
        <v>245.54143606860021</v>
      </c>
      <c r="I71" s="71">
        <v>594.32277731148019</v>
      </c>
      <c r="J71" s="71"/>
      <c r="K71" s="57" t="s">
        <v>49</v>
      </c>
      <c r="L71" s="71">
        <v>349.54511144111996</v>
      </c>
      <c r="M71" s="71">
        <v>776.51856572220004</v>
      </c>
      <c r="N71" s="57"/>
      <c r="O71" s="57" t="s">
        <v>49</v>
      </c>
      <c r="P71" s="71">
        <v>354.66494003892024</v>
      </c>
      <c r="Q71" s="71">
        <v>775.90929014172002</v>
      </c>
    </row>
    <row r="72" spans="3:17" x14ac:dyDescent="0.25">
      <c r="C72" s="57" t="s">
        <v>50</v>
      </c>
      <c r="D72" s="71">
        <v>436.34282263235991</v>
      </c>
      <c r="E72" s="71">
        <v>256.29506865648005</v>
      </c>
      <c r="F72" s="57"/>
      <c r="G72" s="57" t="s">
        <v>50</v>
      </c>
      <c r="H72" s="71">
        <v>442.30224867444008</v>
      </c>
      <c r="I72" s="71">
        <v>255.20760793332002</v>
      </c>
      <c r="J72" s="71"/>
      <c r="K72" s="57" t="s">
        <v>50</v>
      </c>
      <c r="L72" s="71">
        <v>436.01344220195995</v>
      </c>
      <c r="M72" s="71">
        <v>256.36619318184</v>
      </c>
      <c r="N72" s="57"/>
      <c r="O72" s="57" t="s">
        <v>50</v>
      </c>
      <c r="P72" s="71">
        <v>441.90538385112001</v>
      </c>
      <c r="Q72" s="71">
        <v>256.97056979916005</v>
      </c>
    </row>
    <row r="73" spans="3:17" x14ac:dyDescent="0.25">
      <c r="C73" s="57" t="s">
        <v>272</v>
      </c>
      <c r="D73" s="71">
        <v>54.00250660223999</v>
      </c>
      <c r="E73" s="71">
        <v>34.913919536999998</v>
      </c>
      <c r="F73" s="57"/>
      <c r="G73" s="57" t="s">
        <v>272</v>
      </c>
      <c r="H73" s="71">
        <v>53.839310893199972</v>
      </c>
      <c r="I73" s="71">
        <v>34.913919536999998</v>
      </c>
      <c r="J73" s="71"/>
      <c r="K73" s="57" t="s">
        <v>272</v>
      </c>
      <c r="L73" s="71">
        <v>53.95263980651999</v>
      </c>
      <c r="M73" s="71">
        <v>34.913919536999998</v>
      </c>
      <c r="N73" s="57"/>
      <c r="O73" s="57" t="s">
        <v>272</v>
      </c>
      <c r="P73" s="71">
        <v>53.940852156239977</v>
      </c>
      <c r="Q73" s="71">
        <v>34.913919536999998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69"/>
  <sheetViews>
    <sheetView zoomScale="80" zoomScaleNormal="80" workbookViewId="0">
      <selection activeCell="F44" sqref="F44"/>
    </sheetView>
  </sheetViews>
  <sheetFormatPr defaultColWidth="9.44140625" defaultRowHeight="11.4" x14ac:dyDescent="0.2"/>
  <cols>
    <col min="1" max="1" width="21.109375" style="19" customWidth="1"/>
    <col min="2" max="2" width="11.88671875" style="19" customWidth="1"/>
    <col min="3" max="3" width="20.109375" style="19" customWidth="1"/>
    <col min="4" max="4" width="4.33203125" style="19" customWidth="1"/>
    <col min="5" max="5" width="17.88671875" style="19" customWidth="1"/>
    <col min="6" max="6" width="9.44140625" style="19" customWidth="1"/>
    <col min="7" max="7" width="12.6640625" style="19" customWidth="1"/>
    <col min="8" max="8" width="12.33203125" style="19" customWidth="1"/>
    <col min="9" max="9" width="11" style="19" bestFit="1" customWidth="1"/>
    <col min="10" max="16384" width="9.44140625" style="19"/>
  </cols>
  <sheetData>
    <row r="1" spans="1:12" ht="12" x14ac:dyDescent="0.25">
      <c r="A1" s="109" t="s">
        <v>176</v>
      </c>
      <c r="B1" s="110"/>
      <c r="C1" s="110"/>
      <c r="D1" s="49"/>
      <c r="E1" s="111" t="s">
        <v>57</v>
      </c>
      <c r="F1" s="111"/>
      <c r="G1" s="111"/>
    </row>
    <row r="2" spans="1:12" ht="12" x14ac:dyDescent="0.25">
      <c r="A2" s="51" t="s">
        <v>58</v>
      </c>
      <c r="B2" s="52" t="s">
        <v>59</v>
      </c>
      <c r="C2" s="52" t="s">
        <v>60</v>
      </c>
      <c r="D2" s="50"/>
      <c r="E2" s="52" t="s">
        <v>61</v>
      </c>
      <c r="F2" s="52" t="s">
        <v>62</v>
      </c>
      <c r="G2" s="52" t="s">
        <v>63</v>
      </c>
    </row>
    <row r="3" spans="1:12" x14ac:dyDescent="0.2">
      <c r="A3" s="20" t="s">
        <v>65</v>
      </c>
      <c r="B3" s="21">
        <v>29260</v>
      </c>
      <c r="C3" s="22"/>
      <c r="D3" s="22"/>
      <c r="E3" s="23" t="s">
        <v>66</v>
      </c>
      <c r="F3" s="23" t="s">
        <v>140</v>
      </c>
      <c r="G3" s="24">
        <v>29.26</v>
      </c>
    </row>
    <row r="4" spans="1:12" x14ac:dyDescent="0.2">
      <c r="A4" s="20" t="s">
        <v>67</v>
      </c>
      <c r="B4" s="25">
        <v>20908</v>
      </c>
      <c r="C4" s="22"/>
      <c r="D4" s="22"/>
      <c r="E4" s="23" t="s">
        <v>68</v>
      </c>
      <c r="F4" s="23" t="s">
        <v>69</v>
      </c>
      <c r="G4" s="23">
        <v>1055</v>
      </c>
    </row>
    <row r="5" spans="1:12" x14ac:dyDescent="0.2">
      <c r="A5" s="20" t="s">
        <v>70</v>
      </c>
      <c r="B5" s="25">
        <v>41800</v>
      </c>
      <c r="C5" s="22"/>
      <c r="D5" s="22"/>
      <c r="E5" s="23" t="s">
        <v>71</v>
      </c>
      <c r="F5" s="23" t="s">
        <v>72</v>
      </c>
      <c r="G5" s="23">
        <v>4.1867999999999999</v>
      </c>
    </row>
    <row r="6" spans="1:12" x14ac:dyDescent="0.2">
      <c r="A6" s="20" t="s">
        <v>73</v>
      </c>
      <c r="B6" s="25">
        <v>35500</v>
      </c>
      <c r="C6" s="22"/>
      <c r="D6" s="22"/>
      <c r="E6" s="26" t="s">
        <v>74</v>
      </c>
      <c r="F6" s="26" t="s">
        <v>75</v>
      </c>
      <c r="G6" s="26">
        <v>3.6</v>
      </c>
    </row>
    <row r="7" spans="1:12" x14ac:dyDescent="0.2">
      <c r="A7" s="20" t="s">
        <v>76</v>
      </c>
      <c r="B7" s="25">
        <v>16051</v>
      </c>
      <c r="C7" s="24">
        <f>B7/$F$21/$F$17*2000/1000</f>
        <v>13.799744226284513</v>
      </c>
      <c r="D7" s="24"/>
      <c r="E7" s="26" t="s">
        <v>77</v>
      </c>
      <c r="F7" s="26" t="s">
        <v>78</v>
      </c>
      <c r="G7" s="26">
        <v>2.8299999999999999E-2</v>
      </c>
    </row>
    <row r="8" spans="1:12" x14ac:dyDescent="0.2">
      <c r="A8" s="20" t="s">
        <v>79</v>
      </c>
      <c r="B8" s="25">
        <v>14423</v>
      </c>
      <c r="C8" s="24">
        <f>B8/$F$21/$F$17*2000/1000</f>
        <v>12.400081675640239</v>
      </c>
      <c r="D8" s="24"/>
      <c r="E8" s="23" t="s">
        <v>80</v>
      </c>
      <c r="F8" s="23" t="s">
        <v>140</v>
      </c>
      <c r="G8" s="26">
        <v>1.0549999999999999</v>
      </c>
      <c r="H8" s="26"/>
      <c r="I8" s="26"/>
      <c r="J8" s="26"/>
      <c r="K8" s="26"/>
      <c r="L8" s="26"/>
    </row>
    <row r="9" spans="1:12" x14ac:dyDescent="0.2">
      <c r="A9" s="20" t="s">
        <v>172</v>
      </c>
      <c r="B9" s="25">
        <v>14423</v>
      </c>
      <c r="C9" s="24">
        <f>B9/$F$21/$F$17*2000/1000</f>
        <v>12.400081675640239</v>
      </c>
      <c r="D9" s="24"/>
    </row>
    <row r="10" spans="1:12" x14ac:dyDescent="0.2">
      <c r="A10" s="20" t="s">
        <v>81</v>
      </c>
      <c r="B10" s="25">
        <v>47310</v>
      </c>
      <c r="C10" s="24">
        <f>B10/B3</f>
        <v>1.6168831168831168</v>
      </c>
      <c r="D10" s="24"/>
      <c r="G10" s="47"/>
    </row>
    <row r="11" spans="1:12" x14ac:dyDescent="0.2">
      <c r="A11" s="20" t="s">
        <v>82</v>
      </c>
      <c r="B11" s="25">
        <v>28500</v>
      </c>
      <c r="C11" s="24">
        <f>B11/B3</f>
        <v>0.97402597402597402</v>
      </c>
      <c r="D11" s="24"/>
    </row>
    <row r="12" spans="1:12" ht="12" x14ac:dyDescent="0.2">
      <c r="A12" s="110" t="s">
        <v>83</v>
      </c>
      <c r="B12" s="110"/>
      <c r="C12" s="110"/>
      <c r="D12" s="49"/>
    </row>
    <row r="13" spans="1:12" x14ac:dyDescent="0.2">
      <c r="A13" s="27" t="s">
        <v>84</v>
      </c>
      <c r="B13" s="28">
        <f>B14*B15/10^3</f>
        <v>5.4839199999999998E-2</v>
      </c>
      <c r="C13" s="29" t="s">
        <v>140</v>
      </c>
      <c r="D13" s="29"/>
    </row>
    <row r="14" spans="1:12" x14ac:dyDescent="0.2">
      <c r="A14" s="30" t="s">
        <v>85</v>
      </c>
      <c r="B14" s="29">
        <v>52</v>
      </c>
      <c r="C14" s="29" t="s">
        <v>86</v>
      </c>
      <c r="D14" s="29"/>
    </row>
    <row r="15" spans="1:12" x14ac:dyDescent="0.2">
      <c r="A15" s="30" t="s">
        <v>87</v>
      </c>
      <c r="B15" s="29">
        <v>1.0546</v>
      </c>
      <c r="C15" s="29" t="s">
        <v>140</v>
      </c>
      <c r="D15" s="29"/>
      <c r="E15" s="31" t="s">
        <v>88</v>
      </c>
      <c r="F15" s="19">
        <f>B14*G7</f>
        <v>1.4716</v>
      </c>
      <c r="G15" s="19" t="s">
        <v>78</v>
      </c>
    </row>
    <row r="16" spans="1:12" x14ac:dyDescent="0.2">
      <c r="A16" s="30" t="s">
        <v>85</v>
      </c>
      <c r="B16" s="29">
        <v>5.7272999999999996</v>
      </c>
      <c r="C16" s="32" t="s">
        <v>89</v>
      </c>
      <c r="D16" s="32"/>
      <c r="E16" s="31" t="s">
        <v>90</v>
      </c>
      <c r="F16" s="19">
        <v>928</v>
      </c>
      <c r="G16" s="19" t="s">
        <v>68</v>
      </c>
      <c r="H16" s="19" t="s">
        <v>91</v>
      </c>
    </row>
    <row r="17" spans="1:7" x14ac:dyDescent="0.2">
      <c r="A17" s="30" t="s">
        <v>92</v>
      </c>
      <c r="B17" s="29">
        <v>11</v>
      </c>
      <c r="C17" s="32" t="s">
        <v>140</v>
      </c>
      <c r="D17" s="32"/>
      <c r="E17" s="20" t="s">
        <v>93</v>
      </c>
      <c r="F17" s="33">
        <v>1055</v>
      </c>
      <c r="G17" s="33" t="s">
        <v>69</v>
      </c>
    </row>
    <row r="18" spans="1:7" x14ac:dyDescent="0.2">
      <c r="A18" s="30" t="s">
        <v>94</v>
      </c>
      <c r="B18" s="29">
        <v>37</v>
      </c>
      <c r="C18" s="32" t="s">
        <v>75</v>
      </c>
      <c r="D18" s="32"/>
      <c r="E18" s="31" t="s">
        <v>90</v>
      </c>
      <c r="F18" s="19">
        <f>F16*F17</f>
        <v>979040</v>
      </c>
      <c r="G18" s="33" t="s">
        <v>69</v>
      </c>
    </row>
    <row r="19" spans="1:7" x14ac:dyDescent="0.2">
      <c r="A19" s="30" t="s">
        <v>95</v>
      </c>
      <c r="B19" s="34">
        <f>B16/B14/B15</f>
        <v>0.10443806620081986</v>
      </c>
      <c r="C19" s="32" t="s">
        <v>96</v>
      </c>
      <c r="D19" s="32"/>
      <c r="E19" s="31" t="s">
        <v>97</v>
      </c>
      <c r="F19" s="35">
        <f>F18/G7/10^6</f>
        <v>34.595053003533572</v>
      </c>
      <c r="G19" s="33" t="s">
        <v>75</v>
      </c>
    </row>
    <row r="20" spans="1:7" x14ac:dyDescent="0.2">
      <c r="A20" s="30" t="s">
        <v>98</v>
      </c>
      <c r="B20" s="29">
        <v>21</v>
      </c>
      <c r="C20" s="32" t="s">
        <v>99</v>
      </c>
      <c r="D20" s="32"/>
      <c r="E20" s="31" t="s">
        <v>100</v>
      </c>
      <c r="F20" s="19">
        <v>121.9</v>
      </c>
      <c r="G20" s="33" t="s">
        <v>75</v>
      </c>
    </row>
    <row r="21" spans="1:7" x14ac:dyDescent="0.2">
      <c r="A21" s="30" t="s">
        <v>101</v>
      </c>
      <c r="B21" s="29"/>
      <c r="C21" s="29" t="s">
        <v>102</v>
      </c>
      <c r="D21" s="29"/>
      <c r="E21" s="31" t="s">
        <v>103</v>
      </c>
      <c r="F21" s="19">
        <v>2.2050000000000001</v>
      </c>
      <c r="G21" s="33" t="s">
        <v>104</v>
      </c>
    </row>
    <row r="22" spans="1:7" x14ac:dyDescent="0.2">
      <c r="A22" s="36" t="s">
        <v>8</v>
      </c>
      <c r="B22" s="37">
        <v>20</v>
      </c>
      <c r="C22" s="32" t="s">
        <v>9</v>
      </c>
      <c r="D22" s="32"/>
      <c r="E22" s="31"/>
      <c r="G22" s="33"/>
    </row>
    <row r="23" spans="1:7" x14ac:dyDescent="0.2">
      <c r="A23" s="36" t="s">
        <v>10</v>
      </c>
      <c r="B23" s="19">
        <f>B22*1055*10^-3</f>
        <v>21.1</v>
      </c>
      <c r="C23" s="32" t="s">
        <v>140</v>
      </c>
      <c r="D23" s="32"/>
    </row>
    <row r="24" spans="1:7" x14ac:dyDescent="0.2">
      <c r="A24" s="36" t="s">
        <v>11</v>
      </c>
      <c r="B24" s="38">
        <f>1/(B14*B23)</f>
        <v>9.1141086401749902E-4</v>
      </c>
      <c r="C24" s="32" t="s">
        <v>42</v>
      </c>
      <c r="D24" s="32"/>
    </row>
    <row r="25" spans="1:7" ht="14.4" x14ac:dyDescent="0.3">
      <c r="A25" s="36" t="s">
        <v>94</v>
      </c>
      <c r="B25" s="19">
        <v>0.66200000000000003</v>
      </c>
      <c r="C25" s="32" t="s">
        <v>12</v>
      </c>
      <c r="D25" s="32"/>
      <c r="E25" s="48" t="s">
        <v>173</v>
      </c>
    </row>
    <row r="26" spans="1:7" ht="13.2" x14ac:dyDescent="0.25">
      <c r="A26" s="36" t="s">
        <v>13</v>
      </c>
      <c r="B26" s="19">
        <v>31.536000000000001</v>
      </c>
      <c r="C26" s="32" t="s">
        <v>14</v>
      </c>
      <c r="D26" s="32"/>
      <c r="E26"/>
    </row>
    <row r="27" spans="1:7" ht="14.4" x14ac:dyDescent="0.3">
      <c r="A27" s="36" t="s">
        <v>15</v>
      </c>
      <c r="B27" s="19">
        <v>5.8</v>
      </c>
      <c r="C27" s="32" t="s">
        <v>140</v>
      </c>
      <c r="D27" s="32"/>
      <c r="E27" s="48" t="s">
        <v>173</v>
      </c>
    </row>
    <row r="28" spans="1:7" ht="12" x14ac:dyDescent="0.2">
      <c r="E28" s="39"/>
      <c r="F28" s="39"/>
    </row>
    <row r="29" spans="1:7" ht="12" x14ac:dyDescent="0.2">
      <c r="A29" s="110" t="s">
        <v>16</v>
      </c>
      <c r="B29" s="110"/>
      <c r="C29" s="110"/>
      <c r="D29" s="49"/>
      <c r="E29" s="29"/>
      <c r="F29" s="29"/>
    </row>
    <row r="30" spans="1:7" x14ac:dyDescent="0.2">
      <c r="A30" s="30" t="s">
        <v>17</v>
      </c>
      <c r="B30" s="40">
        <f>1/Conversions!B13</f>
        <v>18.235131074122162</v>
      </c>
      <c r="C30" s="29" t="s">
        <v>18</v>
      </c>
      <c r="D30" s="29"/>
    </row>
    <row r="31" spans="1:7" x14ac:dyDescent="0.2">
      <c r="A31" s="30" t="s">
        <v>19</v>
      </c>
      <c r="B31" s="29">
        <f>15.3*0.001</f>
        <v>1.5300000000000001E-2</v>
      </c>
      <c r="C31" s="29" t="s">
        <v>20</v>
      </c>
      <c r="D31" s="29"/>
    </row>
    <row r="32" spans="1:7" x14ac:dyDescent="0.2">
      <c r="A32" s="31" t="s">
        <v>21</v>
      </c>
      <c r="B32" s="28">
        <f>20*0.001</f>
        <v>0.02</v>
      </c>
      <c r="C32" s="29" t="s">
        <v>20</v>
      </c>
      <c r="D32" s="29"/>
    </row>
    <row r="33" spans="1:7" x14ac:dyDescent="0.2">
      <c r="A33" s="31" t="s">
        <v>22</v>
      </c>
      <c r="B33" s="19">
        <f>12/16</f>
        <v>0.75</v>
      </c>
      <c r="C33" s="32" t="s">
        <v>23</v>
      </c>
      <c r="D33" s="32"/>
    </row>
    <row r="35" spans="1:7" ht="13.2" x14ac:dyDescent="0.25">
      <c r="A35" s="112" t="s">
        <v>175</v>
      </c>
      <c r="B35" s="113"/>
      <c r="C35" s="114"/>
      <c r="D35" s="53"/>
      <c r="G35" s="41"/>
    </row>
    <row r="36" spans="1:7" customFormat="1" ht="13.2" x14ac:dyDescent="0.25">
      <c r="A36" s="55" t="s">
        <v>25</v>
      </c>
      <c r="B36" s="56" t="s">
        <v>56</v>
      </c>
      <c r="C36" s="56" t="s">
        <v>174</v>
      </c>
      <c r="D36" s="43"/>
      <c r="E36" s="44"/>
      <c r="F36" s="44"/>
      <c r="G36" s="44"/>
    </row>
    <row r="37" spans="1:7" customFormat="1" ht="13.2" x14ac:dyDescent="0.25">
      <c r="A37" s="17">
        <v>1983</v>
      </c>
      <c r="B37" s="17">
        <v>57.603000000000002</v>
      </c>
      <c r="C37" s="18">
        <f t="shared" ref="C37:C63" si="0">$B$59/B37</f>
        <v>1.7360206933666649</v>
      </c>
      <c r="D37" s="18"/>
      <c r="E37" s="44"/>
      <c r="F37" s="44"/>
      <c r="G37" s="44"/>
    </row>
    <row r="38" spans="1:7" customFormat="1" ht="13.2" x14ac:dyDescent="0.25">
      <c r="A38" s="17">
        <v>1984</v>
      </c>
      <c r="B38" s="17">
        <v>59.765999999999998</v>
      </c>
      <c r="C38" s="18">
        <f t="shared" si="0"/>
        <v>1.6731921159187499</v>
      </c>
      <c r="D38" s="18"/>
      <c r="E38" s="45"/>
      <c r="F38" s="44"/>
      <c r="G38" s="44"/>
    </row>
    <row r="39" spans="1:7" customFormat="1" ht="13.2" x14ac:dyDescent="0.25">
      <c r="A39" s="17">
        <v>1985</v>
      </c>
      <c r="B39" s="17">
        <v>61.576000000000001</v>
      </c>
      <c r="C39" s="18">
        <f t="shared" si="0"/>
        <v>1.6240093542938807</v>
      </c>
      <c r="D39" s="18"/>
      <c r="E39" s="45"/>
      <c r="F39" s="44"/>
      <c r="G39" s="44"/>
    </row>
    <row r="40" spans="1:7" customFormat="1" ht="13.2" x14ac:dyDescent="0.25">
      <c r="A40" s="17">
        <v>1986</v>
      </c>
      <c r="B40" s="17">
        <v>62.936999999999998</v>
      </c>
      <c r="C40" s="18">
        <f t="shared" si="0"/>
        <v>1.5888904777793667</v>
      </c>
      <c r="D40" s="18"/>
      <c r="E40" s="45"/>
      <c r="F40" s="44"/>
      <c r="G40" s="44"/>
    </row>
    <row r="41" spans="1:7" customFormat="1" ht="13.2" x14ac:dyDescent="0.25">
      <c r="A41" s="17">
        <v>1987</v>
      </c>
      <c r="B41" s="17">
        <v>64.763999999999996</v>
      </c>
      <c r="C41" s="18">
        <f t="shared" si="0"/>
        <v>1.5440676919276142</v>
      </c>
      <c r="D41" s="18"/>
      <c r="E41" s="45"/>
      <c r="F41" s="44"/>
      <c r="G41" s="44"/>
    </row>
    <row r="42" spans="1:7" customFormat="1" ht="13.2" x14ac:dyDescent="0.25">
      <c r="A42" s="17">
        <v>1988</v>
      </c>
      <c r="B42" s="17">
        <v>66.988</v>
      </c>
      <c r="C42" s="18">
        <f t="shared" si="0"/>
        <v>1.492804681435481</v>
      </c>
      <c r="D42" s="18"/>
      <c r="E42" s="45"/>
      <c r="F42" s="44"/>
      <c r="G42" s="44"/>
    </row>
    <row r="43" spans="1:7" customFormat="1" ht="13.2" x14ac:dyDescent="0.25">
      <c r="A43" s="17">
        <v>1989</v>
      </c>
      <c r="B43" s="17">
        <v>69.518000000000001</v>
      </c>
      <c r="C43" s="18">
        <f t="shared" si="0"/>
        <v>1.4384763658333093</v>
      </c>
      <c r="D43" s="18"/>
      <c r="E43" s="45"/>
      <c r="F43" s="44"/>
      <c r="G43" s="44"/>
    </row>
    <row r="44" spans="1:7" customFormat="1" ht="13.2" x14ac:dyDescent="0.25">
      <c r="A44" s="17">
        <v>1990</v>
      </c>
      <c r="B44" s="17">
        <v>72.200999999999993</v>
      </c>
      <c r="C44" s="18">
        <f t="shared" si="0"/>
        <v>1.385022368111245</v>
      </c>
      <c r="D44" s="18"/>
      <c r="E44" s="46"/>
      <c r="F44" s="46"/>
      <c r="G44" s="44"/>
    </row>
    <row r="45" spans="1:7" customFormat="1" ht="13.2" x14ac:dyDescent="0.25">
      <c r="A45" s="17">
        <v>1991</v>
      </c>
      <c r="B45" s="17">
        <v>74.760000000000005</v>
      </c>
      <c r="C45" s="18">
        <f t="shared" si="0"/>
        <v>1.3376136971642589</v>
      </c>
      <c r="D45" s="18"/>
      <c r="E45" s="46"/>
      <c r="F45" s="46"/>
      <c r="G45" s="44"/>
    </row>
    <row r="46" spans="1:7" customFormat="1" ht="13.2" x14ac:dyDescent="0.25">
      <c r="A46" s="17">
        <v>1992</v>
      </c>
      <c r="B46" s="17">
        <v>76.533000000000001</v>
      </c>
      <c r="C46" s="18">
        <f t="shared" si="0"/>
        <v>1.3066258999385885</v>
      </c>
      <c r="D46" s="18"/>
      <c r="E46" s="46"/>
      <c r="F46" s="46"/>
      <c r="G46" s="44"/>
    </row>
    <row r="47" spans="1:7" customFormat="1" ht="13.2" x14ac:dyDescent="0.25">
      <c r="A47" s="17">
        <v>1993</v>
      </c>
      <c r="B47" s="17">
        <v>78.224000000000004</v>
      </c>
      <c r="C47" s="18">
        <f t="shared" si="0"/>
        <v>1.278380036817345</v>
      </c>
      <c r="D47" s="18"/>
      <c r="E47" s="46"/>
      <c r="F47" s="46"/>
      <c r="G47" s="44"/>
    </row>
    <row r="48" spans="1:7" customFormat="1" ht="13.2" x14ac:dyDescent="0.25">
      <c r="A48" s="17">
        <v>1994</v>
      </c>
      <c r="B48" s="17">
        <v>79.872</v>
      </c>
      <c r="C48" s="18">
        <f t="shared" si="0"/>
        <v>1.2520032051282051</v>
      </c>
      <c r="D48" s="18"/>
      <c r="E48" s="46"/>
      <c r="F48" s="46"/>
      <c r="G48" s="44"/>
    </row>
    <row r="49" spans="1:7" customFormat="1" ht="13.2" x14ac:dyDescent="0.25">
      <c r="A49" s="17">
        <v>1995</v>
      </c>
      <c r="B49" s="17">
        <v>81.536000000000001</v>
      </c>
      <c r="C49" s="18">
        <f t="shared" si="0"/>
        <v>1.2264521193092621</v>
      </c>
      <c r="D49" s="18"/>
      <c r="E49" s="46"/>
      <c r="F49" s="46"/>
      <c r="G49" s="44"/>
    </row>
    <row r="50" spans="1:7" customFormat="1" ht="13.2" x14ac:dyDescent="0.25">
      <c r="A50" s="17">
        <v>1996</v>
      </c>
      <c r="B50" s="17">
        <v>83.087999999999994</v>
      </c>
      <c r="C50" s="18">
        <f t="shared" si="0"/>
        <v>1.2035432312728673</v>
      </c>
      <c r="D50" s="18"/>
      <c r="E50" s="46"/>
      <c r="F50" s="46"/>
      <c r="G50" s="44"/>
    </row>
    <row r="51" spans="1:7" customFormat="1" ht="13.2" x14ac:dyDescent="0.25">
      <c r="A51" s="17">
        <v>1997</v>
      </c>
      <c r="B51" s="17">
        <v>84.555000000000007</v>
      </c>
      <c r="C51" s="18">
        <f t="shared" si="0"/>
        <v>1.182662172550411</v>
      </c>
      <c r="D51" s="18"/>
      <c r="E51" s="46"/>
      <c r="F51" s="46"/>
      <c r="G51" s="44"/>
    </row>
    <row r="52" spans="1:7" customFormat="1" ht="13.2" x14ac:dyDescent="0.25">
      <c r="A52" s="17">
        <v>1998</v>
      </c>
      <c r="B52" s="17">
        <v>85.510999999999996</v>
      </c>
      <c r="C52" s="18">
        <f t="shared" si="0"/>
        <v>1.1694401889815347</v>
      </c>
      <c r="D52" s="18"/>
      <c r="E52" s="46"/>
      <c r="F52" s="46"/>
      <c r="G52" s="44"/>
    </row>
    <row r="53" spans="1:7" customFormat="1" ht="13.2" x14ac:dyDescent="0.25">
      <c r="A53" s="17">
        <v>1999</v>
      </c>
      <c r="B53" s="17">
        <v>86.768000000000001</v>
      </c>
      <c r="C53" s="18">
        <f t="shared" si="0"/>
        <v>1.1524986170016596</v>
      </c>
      <c r="D53" s="18"/>
      <c r="E53" s="46"/>
      <c r="F53" s="46"/>
      <c r="G53" s="44"/>
    </row>
    <row r="54" spans="1:7" customFormat="1" ht="13.2" x14ac:dyDescent="0.25">
      <c r="A54" s="17">
        <v>2000</v>
      </c>
      <c r="B54" s="17">
        <v>88.647000000000006</v>
      </c>
      <c r="C54" s="18">
        <f t="shared" si="0"/>
        <v>1.128069759833948</v>
      </c>
      <c r="D54" s="18"/>
      <c r="E54" s="46"/>
      <c r="F54" s="46"/>
      <c r="G54" s="44"/>
    </row>
    <row r="55" spans="1:7" customFormat="1" ht="13.2" x14ac:dyDescent="0.25">
      <c r="A55" s="17">
        <v>2001</v>
      </c>
      <c r="B55" s="17">
        <v>90.65</v>
      </c>
      <c r="C55" s="18">
        <f t="shared" si="0"/>
        <v>1.1031439602868174</v>
      </c>
      <c r="D55" s="18"/>
      <c r="E55" s="46"/>
      <c r="F55" s="46"/>
      <c r="G55" s="44"/>
    </row>
    <row r="56" spans="1:7" customFormat="1" ht="13.2" x14ac:dyDescent="0.25">
      <c r="A56" s="17">
        <v>2002</v>
      </c>
      <c r="B56" s="17">
        <v>92.117999999999995</v>
      </c>
      <c r="C56" s="18">
        <f t="shared" si="0"/>
        <v>1.0855641676979526</v>
      </c>
      <c r="D56" s="18"/>
      <c r="E56" s="46"/>
      <c r="F56" s="46"/>
      <c r="G56" s="44"/>
    </row>
    <row r="57" spans="1:7" customFormat="1" ht="13.2" x14ac:dyDescent="0.25">
      <c r="A57" s="17">
        <v>2003</v>
      </c>
      <c r="B57" s="17">
        <v>94.1</v>
      </c>
      <c r="C57" s="18">
        <f t="shared" si="0"/>
        <v>1.0626992561105209</v>
      </c>
      <c r="D57" s="18"/>
      <c r="E57" s="46"/>
      <c r="F57" s="46"/>
      <c r="G57" s="44"/>
    </row>
    <row r="58" spans="1:7" customFormat="1" ht="13.2" x14ac:dyDescent="0.25">
      <c r="A58" s="17">
        <v>2004</v>
      </c>
      <c r="B58" s="17">
        <v>96.77</v>
      </c>
      <c r="C58" s="18">
        <f t="shared" si="0"/>
        <v>1.0333781130515656</v>
      </c>
      <c r="D58" s="18"/>
      <c r="E58" s="46"/>
      <c r="F58" s="46"/>
      <c r="G58" s="44"/>
    </row>
    <row r="59" spans="1:7" customFormat="1" ht="13.2" x14ac:dyDescent="0.25">
      <c r="A59" s="17">
        <v>2005</v>
      </c>
      <c r="B59" s="17">
        <v>100</v>
      </c>
      <c r="C59" s="18">
        <f t="shared" si="0"/>
        <v>1</v>
      </c>
      <c r="D59" s="18"/>
      <c r="E59" s="46"/>
      <c r="F59" s="46"/>
      <c r="G59" s="44"/>
    </row>
    <row r="60" spans="1:7" customFormat="1" ht="13.2" x14ac:dyDescent="0.25">
      <c r="A60" s="17">
        <v>2006</v>
      </c>
      <c r="B60" s="17">
        <v>103.25700000000001</v>
      </c>
      <c r="C60" s="18">
        <f t="shared" si="0"/>
        <v>0.96845734429627039</v>
      </c>
      <c r="D60" s="18"/>
      <c r="E60" s="46"/>
      <c r="F60" s="46"/>
      <c r="G60" s="44"/>
    </row>
    <row r="61" spans="1:7" customFormat="1" ht="13.2" x14ac:dyDescent="0.25">
      <c r="A61" s="17">
        <v>2007</v>
      </c>
      <c r="B61" s="17">
        <v>106.214</v>
      </c>
      <c r="C61" s="18">
        <f t="shared" si="0"/>
        <v>0.94149547140678258</v>
      </c>
      <c r="D61" s="18"/>
      <c r="E61" s="46"/>
      <c r="F61" s="46"/>
      <c r="G61" s="44"/>
    </row>
    <row r="62" spans="1:7" customFormat="1" ht="13.2" x14ac:dyDescent="0.25">
      <c r="A62" s="17">
        <v>2008</v>
      </c>
      <c r="B62" s="17">
        <v>108.483</v>
      </c>
      <c r="C62" s="18">
        <f t="shared" si="0"/>
        <v>0.9218034162034604</v>
      </c>
      <c r="D62" s="18"/>
      <c r="E62" s="46"/>
      <c r="F62" s="46"/>
      <c r="G62" s="44"/>
    </row>
    <row r="63" spans="1:7" customFormat="1" ht="13.2" x14ac:dyDescent="0.25">
      <c r="A63" s="17">
        <v>2009</v>
      </c>
      <c r="B63" s="17">
        <v>109.761</v>
      </c>
      <c r="C63" s="18">
        <f t="shared" si="0"/>
        <v>0.91107041663250155</v>
      </c>
      <c r="D63" s="18"/>
      <c r="E63" s="46"/>
      <c r="F63" s="46"/>
      <c r="G63" s="44"/>
    </row>
    <row r="64" spans="1:7" customFormat="1" ht="13.2" x14ac:dyDescent="0.25">
      <c r="A64" s="42" t="s">
        <v>54</v>
      </c>
      <c r="B64" s="43"/>
      <c r="C64" s="43"/>
      <c r="D64" s="43"/>
      <c r="E64" s="44"/>
      <c r="F64" s="44"/>
      <c r="G64" s="44"/>
    </row>
    <row r="65" spans="1:7" customFormat="1" ht="13.2" x14ac:dyDescent="0.25">
      <c r="A65" s="43" t="s">
        <v>64</v>
      </c>
      <c r="B65" s="43"/>
      <c r="C65" s="43"/>
      <c r="D65" s="43"/>
      <c r="E65" s="44"/>
      <c r="F65" s="44"/>
      <c r="G65" s="44"/>
    </row>
    <row r="66" spans="1:7" customFormat="1" ht="13.2" x14ac:dyDescent="0.25">
      <c r="A66" s="43" t="s">
        <v>55</v>
      </c>
      <c r="B66" s="43"/>
      <c r="C66" s="43"/>
      <c r="D66" s="43"/>
      <c r="E66" s="44"/>
      <c r="F66" s="44"/>
      <c r="G66" s="44"/>
    </row>
    <row r="67" spans="1:7" customFormat="1" ht="13.2" x14ac:dyDescent="0.25">
      <c r="A67" s="54" t="s">
        <v>24</v>
      </c>
      <c r="B67" s="43"/>
      <c r="C67" s="43"/>
      <c r="D67" s="43"/>
      <c r="E67" s="44"/>
      <c r="F67" s="44"/>
      <c r="G67" s="44"/>
    </row>
    <row r="68" spans="1:7" customFormat="1" ht="13.2" x14ac:dyDescent="0.25"/>
    <row r="69" spans="1:7" customFormat="1" ht="13.2" x14ac:dyDescent="0.25"/>
  </sheetData>
  <mergeCells count="5">
    <mergeCell ref="A1:C1"/>
    <mergeCell ref="A29:C29"/>
    <mergeCell ref="E1:G1"/>
    <mergeCell ref="A12:C12"/>
    <mergeCell ref="A35:C35"/>
  </mergeCells>
  <phoneticPr fontId="1" type="noConversion"/>
  <pageMargins left="0.75" right="0.75" top="1" bottom="1" header="0.5" footer="0.5"/>
  <pageSetup orientation="portrait" horizontalDpi="4294967294" verticalDpi="300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77D304-6936-4028-9560-58DE82CF8285}"/>
</file>

<file path=customXml/itemProps2.xml><?xml version="1.0" encoding="utf-8"?>
<ds:datastoreItem xmlns:ds="http://schemas.openxmlformats.org/officeDocument/2006/customXml" ds:itemID="{5A502715-CC82-47B4-8D91-602FF5C1D7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AQ_TOT</vt:lpstr>
      <vt:lpstr>AQ_REG</vt:lpstr>
      <vt:lpstr>DataSummary</vt:lpstr>
      <vt:lpstr>2000</vt:lpstr>
      <vt:lpstr>2005</vt:lpstr>
      <vt:lpstr>2010-2015</vt:lpstr>
      <vt:lpstr>Conversions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Lenox, Carol</cp:lastModifiedBy>
  <cp:lastPrinted>2011-08-18T18:35:46Z</cp:lastPrinted>
  <dcterms:created xsi:type="dcterms:W3CDTF">2005-05-01T12:39:10Z</dcterms:created>
  <dcterms:modified xsi:type="dcterms:W3CDTF">2018-08-13T19:32:56Z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173560559749603</vt:r8>
  </property>
</Properties>
</file>