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1.1H2\SuppXLS\"/>
    </mc:Choice>
  </mc:AlternateContent>
  <xr:revisionPtr revIDLastSave="0" documentId="13_ncr:1_{888E95DC-25AE-45D0-9845-2CFD34972822}" xr6:coauthVersionLast="45" xr6:coauthVersionMax="45" xr10:uidLastSave="{00000000-0000-0000-0000-000000000000}"/>
  <bookViews>
    <workbookView xWindow="384" yWindow="384" windowWidth="16872" windowHeight="10548" tabRatio="584" activeTab="1" xr2:uid="{00000000-000D-0000-FFFF-FFFF00000000}"/>
  </bookViews>
  <sheets>
    <sheet name="LDV_sizeshare" sheetId="36" r:id="rId1"/>
    <sheet name="Fueluse" sheetId="41" r:id="rId2"/>
    <sheet name="CAFE" sheetId="38" r:id="rId3"/>
    <sheet name="CAFE calcs" sheetId="40" r:id="rId4"/>
    <sheet name="AEOT40" sheetId="45" r:id="rId5"/>
    <sheet name="AEOT43" sheetId="43" r:id="rId6"/>
    <sheet name="AEOT41" sheetId="44" r:id="rId7"/>
    <sheet name="initial results" sheetId="4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09" i="41" l="1"/>
  <c r="M201" i="41"/>
  <c r="M197" i="41"/>
  <c r="M193" i="41"/>
  <c r="M213" i="41" l="1"/>
  <c r="M220" i="41" l="1"/>
  <c r="M217" i="41"/>
  <c r="M205" i="41"/>
  <c r="M22" i="41" l="1"/>
  <c r="M17" i="41"/>
  <c r="O7" i="42"/>
  <c r="N33" i="36" l="1"/>
  <c r="N31" i="36"/>
  <c r="N30" i="36"/>
  <c r="Q52" i="43"/>
  <c r="R52" i="43"/>
  <c r="P53" i="43"/>
  <c r="Q53" i="43"/>
  <c r="R53" i="43"/>
  <c r="P46" i="43"/>
  <c r="Q46" i="43"/>
  <c r="R46" i="43"/>
  <c r="P47" i="43"/>
  <c r="Q47" i="43"/>
  <c r="R47" i="43"/>
  <c r="P48" i="43"/>
  <c r="Q48" i="43"/>
  <c r="R48" i="43"/>
  <c r="P49" i="43"/>
  <c r="Q49" i="43"/>
  <c r="R49" i="43"/>
  <c r="P50" i="43"/>
  <c r="Q50" i="43"/>
  <c r="R50" i="43"/>
  <c r="P51" i="43"/>
  <c r="Q51" i="43"/>
  <c r="R51" i="43"/>
  <c r="R45" i="43"/>
  <c r="Q45" i="43"/>
  <c r="P45" i="43"/>
  <c r="O43" i="43"/>
  <c r="P43" i="43"/>
  <c r="Q43" i="43"/>
  <c r="R43" i="43"/>
  <c r="S43" i="43"/>
  <c r="T43" i="43"/>
  <c r="U43" i="43"/>
  <c r="V43" i="43"/>
  <c r="W43" i="43"/>
  <c r="N43" i="43"/>
  <c r="S27" i="36"/>
  <c r="N32" i="36" l="1"/>
  <c r="H10" i="40" l="1"/>
  <c r="H14" i="40" s="1"/>
  <c r="H11" i="38" s="1"/>
  <c r="G10" i="40"/>
  <c r="F10" i="40"/>
  <c r="I9" i="40"/>
  <c r="I10" i="40" s="1"/>
  <c r="G7" i="40"/>
  <c r="H7" i="40"/>
  <c r="I7" i="40"/>
  <c r="J7" i="40"/>
  <c r="K7" i="40"/>
  <c r="L7" i="40"/>
  <c r="F7" i="40"/>
  <c r="F6" i="40"/>
  <c r="F8" i="40" s="1"/>
  <c r="G6" i="40"/>
  <c r="G8" i="40" s="1"/>
  <c r="H6" i="40"/>
  <c r="H8" i="40" s="1"/>
  <c r="I6" i="40"/>
  <c r="I8" i="40" s="1"/>
  <c r="J6" i="40"/>
  <c r="J8" i="40" s="1"/>
  <c r="K6" i="40"/>
  <c r="L6" i="40"/>
  <c r="L8" i="40" s="1"/>
  <c r="K69" i="45"/>
  <c r="J69" i="45"/>
  <c r="I69" i="45"/>
  <c r="H69" i="45"/>
  <c r="G69" i="45"/>
  <c r="F69" i="45"/>
  <c r="E69" i="45"/>
  <c r="D68" i="45" s="1"/>
  <c r="E6" i="40" s="1"/>
  <c r="E14" i="40" s="1"/>
  <c r="H8" i="38" s="1"/>
  <c r="C3" i="40"/>
  <c r="C68" i="45" l="1"/>
  <c r="D6" i="40" s="1"/>
  <c r="D14" i="40" s="1"/>
  <c r="H7" i="38" s="1"/>
  <c r="I14" i="40"/>
  <c r="H12" i="38" s="1"/>
  <c r="F14" i="40"/>
  <c r="H9" i="38" s="1"/>
  <c r="K8" i="40"/>
  <c r="G14" i="40"/>
  <c r="H10" i="38" s="1"/>
  <c r="J9" i="40"/>
  <c r="K9" i="40" l="1"/>
  <c r="J10" i="40"/>
  <c r="J14" i="40" s="1"/>
  <c r="H13" i="38" s="1"/>
  <c r="L9" i="40" l="1"/>
  <c r="L10" i="40" s="1"/>
  <c r="K10" i="40"/>
  <c r="K14" i="40" s="1"/>
  <c r="H14" i="38" s="1"/>
  <c r="M14" i="40" l="1"/>
  <c r="H16" i="38" s="1"/>
  <c r="L14" i="40"/>
  <c r="H15" i="38" s="1"/>
  <c r="P189" i="41" l="1"/>
  <c r="P184" i="41"/>
  <c r="P179" i="41"/>
  <c r="P174" i="41"/>
  <c r="P169" i="41"/>
  <c r="P164" i="41"/>
  <c r="P159" i="41"/>
  <c r="P154" i="41"/>
  <c r="P149" i="41"/>
  <c r="P144" i="41"/>
  <c r="P139" i="41"/>
  <c r="P134" i="41"/>
  <c r="P129" i="41"/>
  <c r="P124" i="41"/>
  <c r="P121" i="41"/>
  <c r="P116" i="41"/>
  <c r="P111" i="41"/>
  <c r="P106" i="41"/>
  <c r="P101" i="41"/>
  <c r="P96" i="41"/>
  <c r="P91" i="41"/>
  <c r="P86" i="41"/>
  <c r="P81" i="41"/>
  <c r="P76" i="41"/>
  <c r="P71" i="41"/>
  <c r="P66" i="41"/>
  <c r="P61" i="41"/>
  <c r="P56" i="41"/>
  <c r="P51" i="41"/>
  <c r="P46" i="41"/>
  <c r="P41" i="41"/>
  <c r="P36" i="41"/>
  <c r="P35" i="41"/>
  <c r="P31" i="41"/>
  <c r="P26" i="41"/>
  <c r="P21" i="41"/>
  <c r="P16" i="41"/>
  <c r="P11" i="41"/>
  <c r="P170" i="41" l="1"/>
  <c r="P171" i="41"/>
  <c r="P172" i="41"/>
  <c r="P173" i="41"/>
  <c r="P175" i="41"/>
  <c r="P176" i="41"/>
  <c r="P177" i="41"/>
  <c r="P178" i="41"/>
  <c r="P180" i="41"/>
  <c r="P181" i="41"/>
  <c r="P182" i="41"/>
  <c r="P183" i="41"/>
  <c r="P185" i="41"/>
  <c r="P186" i="41"/>
  <c r="P187" i="41"/>
  <c r="P188" i="41"/>
  <c r="P161" i="41"/>
  <c r="P162" i="41"/>
  <c r="P163" i="41"/>
  <c r="P160" i="41"/>
  <c r="P156" i="41"/>
  <c r="P157" i="41"/>
  <c r="P158" i="41"/>
  <c r="P155" i="41"/>
  <c r="P145" i="41"/>
  <c r="P146" i="41"/>
  <c r="P147" i="41"/>
  <c r="P148" i="41"/>
  <c r="P150" i="41"/>
  <c r="P151" i="41"/>
  <c r="P152" i="41"/>
  <c r="P153" i="41"/>
  <c r="P165" i="41"/>
  <c r="P166" i="41"/>
  <c r="P167" i="41"/>
  <c r="P168" i="41"/>
  <c r="P126" i="41"/>
  <c r="P127" i="41"/>
  <c r="P128" i="41"/>
  <c r="P130" i="41"/>
  <c r="P131" i="41"/>
  <c r="P132" i="41"/>
  <c r="P133" i="41"/>
  <c r="P135" i="41"/>
  <c r="P136" i="41"/>
  <c r="P137" i="41"/>
  <c r="P138" i="41"/>
  <c r="P140" i="41"/>
  <c r="P141" i="41"/>
  <c r="P142" i="41"/>
  <c r="P143" i="41"/>
  <c r="P125" i="41"/>
  <c r="P118" i="41"/>
  <c r="P119" i="41"/>
  <c r="P120" i="41"/>
  <c r="P117" i="41"/>
  <c r="P122" i="41"/>
  <c r="P123" i="41"/>
  <c r="P103" i="41"/>
  <c r="P104" i="41"/>
  <c r="P105" i="41"/>
  <c r="P102" i="41"/>
  <c r="P93" i="41"/>
  <c r="P94" i="41"/>
  <c r="P95" i="41"/>
  <c r="P92" i="41"/>
  <c r="P83" i="41"/>
  <c r="P84" i="41"/>
  <c r="P85" i="41"/>
  <c r="P87" i="41"/>
  <c r="P88" i="41"/>
  <c r="P89" i="41"/>
  <c r="P90" i="41"/>
  <c r="P97" i="41"/>
  <c r="P98" i="41"/>
  <c r="P99" i="41"/>
  <c r="P100" i="41"/>
  <c r="P107" i="41"/>
  <c r="P108" i="41"/>
  <c r="P109" i="41"/>
  <c r="P110" i="41"/>
  <c r="P112" i="41"/>
  <c r="P113" i="41"/>
  <c r="P114" i="41"/>
  <c r="P115" i="41"/>
  <c r="P82" i="41"/>
  <c r="P68" i="41" l="1"/>
  <c r="P69" i="41"/>
  <c r="P70" i="41"/>
  <c r="P72" i="41"/>
  <c r="P73" i="41"/>
  <c r="P74" i="41"/>
  <c r="P75" i="41"/>
  <c r="P67" i="41"/>
  <c r="P58" i="41"/>
  <c r="P59" i="41"/>
  <c r="P60" i="41"/>
  <c r="P57" i="41"/>
  <c r="P48" i="41"/>
  <c r="P49" i="41"/>
  <c r="P50" i="41"/>
  <c r="P52" i="41"/>
  <c r="P53" i="41"/>
  <c r="P54" i="41"/>
  <c r="P55" i="41"/>
  <c r="P62" i="41"/>
  <c r="P63" i="41"/>
  <c r="P64" i="41"/>
  <c r="P65" i="41"/>
  <c r="P77" i="41"/>
  <c r="P78" i="41"/>
  <c r="P79" i="41"/>
  <c r="P80" i="41"/>
  <c r="P47" i="41"/>
  <c r="P10" i="41"/>
  <c r="P38" i="41"/>
  <c r="P39" i="41"/>
  <c r="P40" i="41"/>
  <c r="P37" i="41"/>
  <c r="P33" i="41"/>
  <c r="P34" i="41"/>
  <c r="P32" i="41"/>
  <c r="P18" i="41"/>
  <c r="P19" i="41"/>
  <c r="P20" i="41"/>
  <c r="P22" i="41"/>
  <c r="P23" i="41"/>
  <c r="P24" i="41"/>
  <c r="P25" i="41"/>
  <c r="P17" i="41"/>
  <c r="P8" i="41"/>
  <c r="P9" i="41"/>
  <c r="P12" i="41"/>
  <c r="P13" i="41"/>
  <c r="P14" i="41"/>
  <c r="P15" i="41"/>
  <c r="P27" i="41"/>
  <c r="P28" i="41"/>
  <c r="P29" i="41"/>
  <c r="P30" i="41"/>
  <c r="P42" i="41"/>
  <c r="P43" i="41"/>
  <c r="P44" i="41"/>
  <c r="P45" i="41"/>
  <c r="P7" i="41"/>
  <c r="O8" i="42"/>
  <c r="O9" i="42"/>
  <c r="M7" i="41" s="1"/>
  <c r="M10" i="41" s="1"/>
  <c r="O10" i="42"/>
  <c r="M47" i="41" s="1"/>
  <c r="O11" i="42"/>
  <c r="M117" i="41" s="1"/>
  <c r="M118" i="41" s="1"/>
  <c r="M119" i="41" s="1"/>
  <c r="M120" i="41" s="1"/>
  <c r="O12" i="42"/>
  <c r="M82" i="41" s="1"/>
  <c r="O13" i="42"/>
  <c r="M145" i="41" s="1"/>
  <c r="O14" i="42"/>
  <c r="M170" i="41" s="1"/>
  <c r="O15" i="42"/>
  <c r="O16" i="42"/>
  <c r="O17" i="42"/>
  <c r="M12" i="41" s="1"/>
  <c r="M15" i="41" s="1"/>
  <c r="O18" i="42"/>
  <c r="M52" i="41" s="1"/>
  <c r="O19" i="42"/>
  <c r="M87" i="41" s="1"/>
  <c r="O20" i="42"/>
  <c r="M150" i="41" s="1"/>
  <c r="O21" i="42"/>
  <c r="M175" i="41" s="1"/>
  <c r="O22" i="42"/>
  <c r="M20" i="41" s="1"/>
  <c r="O23" i="42"/>
  <c r="M67" i="41" s="1"/>
  <c r="O24" i="42"/>
  <c r="M92" i="41" s="1"/>
  <c r="O25" i="42"/>
  <c r="M160" i="41" s="1"/>
  <c r="O26" i="42"/>
  <c r="M23" i="41" s="1"/>
  <c r="O27" i="42"/>
  <c r="O28" i="42"/>
  <c r="O29" i="42"/>
  <c r="M27" i="41" s="1"/>
  <c r="M30" i="41" s="1"/>
  <c r="O30" i="42"/>
  <c r="M62" i="41" s="1"/>
  <c r="O31" i="42"/>
  <c r="M97" i="41" s="1"/>
  <c r="O32" i="42"/>
  <c r="O33" i="42"/>
  <c r="O34" i="42"/>
  <c r="M32" i="41" s="1"/>
  <c r="O35" i="42"/>
  <c r="M72" i="41" s="1"/>
  <c r="O36" i="42"/>
  <c r="M122" i="41" s="1"/>
  <c r="M123" i="41" s="1"/>
  <c r="O37" i="42"/>
  <c r="M102" i="41" s="1"/>
  <c r="O38" i="42"/>
  <c r="M37" i="41" s="1"/>
  <c r="M39" i="41" s="1"/>
  <c r="O39" i="42"/>
  <c r="M57" i="41" s="1"/>
  <c r="O40" i="42"/>
  <c r="M107" i="41" s="1"/>
  <c r="O41" i="42"/>
  <c r="M155" i="41" s="1"/>
  <c r="O42" i="42"/>
  <c r="O43" i="42"/>
  <c r="O44" i="42"/>
  <c r="M42" i="41" s="1"/>
  <c r="M45" i="41" s="1"/>
  <c r="O45" i="42"/>
  <c r="M77" i="41" s="1"/>
  <c r="O46" i="42"/>
  <c r="M112" i="41" s="1"/>
  <c r="O47" i="42"/>
  <c r="M165" i="41" s="1"/>
  <c r="O48" i="42"/>
  <c r="O49" i="42"/>
  <c r="M140" i="41" l="1"/>
  <c r="M143" i="41" s="1"/>
  <c r="O50" i="42"/>
  <c r="M9" i="41"/>
  <c r="M8" i="41"/>
  <c r="M69" i="41"/>
  <c r="M70" i="41"/>
  <c r="M68" i="41"/>
  <c r="M75" i="41"/>
  <c r="M74" i="41"/>
  <c r="M73" i="41"/>
  <c r="M50" i="41"/>
  <c r="M49" i="41"/>
  <c r="M48" i="41"/>
  <c r="M65" i="41"/>
  <c r="M64" i="41"/>
  <c r="M63" i="41"/>
  <c r="M53" i="41"/>
  <c r="M54" i="41"/>
  <c r="M55" i="41"/>
  <c r="M58" i="41"/>
  <c r="M60" i="41"/>
  <c r="M59" i="41"/>
  <c r="M79" i="41"/>
  <c r="M78" i="41"/>
  <c r="M80" i="41"/>
  <c r="M84" i="41"/>
  <c r="M83" i="41"/>
  <c r="M85" i="41"/>
  <c r="M135" i="41"/>
  <c r="M90" i="41"/>
  <c r="M89" i="41"/>
  <c r="M88" i="41"/>
  <c r="M141" i="41"/>
  <c r="M158" i="41"/>
  <c r="M157" i="41"/>
  <c r="M156" i="41"/>
  <c r="M163" i="41"/>
  <c r="M162" i="41"/>
  <c r="M161" i="41"/>
  <c r="M185" i="41"/>
  <c r="M180" i="41"/>
  <c r="M93" i="41"/>
  <c r="M94" i="41"/>
  <c r="M95" i="41"/>
  <c r="M125" i="41"/>
  <c r="M153" i="41"/>
  <c r="M152" i="41"/>
  <c r="M151" i="41"/>
  <c r="M167" i="41"/>
  <c r="M168" i="41"/>
  <c r="M166" i="41"/>
  <c r="M100" i="41"/>
  <c r="M99" i="41"/>
  <c r="M98" i="41"/>
  <c r="M130" i="41"/>
  <c r="M115" i="41"/>
  <c r="M114" i="41"/>
  <c r="M113" i="41"/>
  <c r="M171" i="41"/>
  <c r="M172" i="41"/>
  <c r="M173" i="41"/>
  <c r="M109" i="41"/>
  <c r="M110" i="41"/>
  <c r="M108" i="41"/>
  <c r="M105" i="41"/>
  <c r="M104" i="41"/>
  <c r="M103" i="41"/>
  <c r="M178" i="41"/>
  <c r="M177" i="41"/>
  <c r="M176" i="41"/>
  <c r="M148" i="41"/>
  <c r="M147" i="41"/>
  <c r="M146" i="41"/>
  <c r="M34" i="41"/>
  <c r="M35" i="41"/>
  <c r="M29" i="41"/>
  <c r="M43" i="41"/>
  <c r="M28" i="41"/>
  <c r="M38" i="41"/>
  <c r="M40" i="41"/>
  <c r="M24" i="41"/>
  <c r="M13" i="41"/>
  <c r="M25" i="41"/>
  <c r="M44" i="41"/>
  <c r="M14" i="41"/>
  <c r="M19" i="41"/>
  <c r="M33" i="41"/>
  <c r="M18" i="41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8" i="42"/>
  <c r="A404" i="42"/>
  <c r="A405" i="42"/>
  <c r="A406" i="42"/>
  <c r="A407" i="42"/>
  <c r="A408" i="42"/>
  <c r="A409" i="42"/>
  <c r="A410" i="42"/>
  <c r="A411" i="42"/>
  <c r="A412" i="42"/>
  <c r="A494" i="42"/>
  <c r="A495" i="42"/>
  <c r="A496" i="42"/>
  <c r="A497" i="42"/>
  <c r="A498" i="42"/>
  <c r="A499" i="42"/>
  <c r="A500" i="42"/>
  <c r="A501" i="42"/>
  <c r="A502" i="42"/>
  <c r="A413" i="42"/>
  <c r="A414" i="42"/>
  <c r="A415" i="42"/>
  <c r="A416" i="42"/>
  <c r="A417" i="42"/>
  <c r="A418" i="42"/>
  <c r="A419" i="42"/>
  <c r="A420" i="42"/>
  <c r="A421" i="42"/>
  <c r="A503" i="42"/>
  <c r="A540" i="42"/>
  <c r="A541" i="42"/>
  <c r="A542" i="42"/>
  <c r="A543" i="42"/>
  <c r="A544" i="42"/>
  <c r="A545" i="42"/>
  <c r="A546" i="42"/>
  <c r="A547" i="42"/>
  <c r="A548" i="42"/>
  <c r="A558" i="42"/>
  <c r="A559" i="42"/>
  <c r="A560" i="42"/>
  <c r="A561" i="42"/>
  <c r="A562" i="42"/>
  <c r="A563" i="42"/>
  <c r="A564" i="42"/>
  <c r="A565" i="42"/>
  <c r="A566" i="42"/>
  <c r="A576" i="42"/>
  <c r="A577" i="42"/>
  <c r="A578" i="42"/>
  <c r="A579" i="42"/>
  <c r="A580" i="42"/>
  <c r="A581" i="42"/>
  <c r="A582" i="42"/>
  <c r="A583" i="42"/>
  <c r="A584" i="42"/>
  <c r="A606" i="42"/>
  <c r="A607" i="42"/>
  <c r="A608" i="42"/>
  <c r="A609" i="42"/>
  <c r="A610" i="42"/>
  <c r="A611" i="42"/>
  <c r="A612" i="42"/>
  <c r="A613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504" i="42"/>
  <c r="A505" i="42"/>
  <c r="A506" i="42"/>
  <c r="A507" i="42"/>
  <c r="A508" i="42"/>
  <c r="A509" i="42"/>
  <c r="A510" i="42"/>
  <c r="A511" i="42"/>
  <c r="A512" i="42"/>
  <c r="A614" i="42"/>
  <c r="A615" i="42"/>
  <c r="A616" i="42"/>
  <c r="A617" i="42"/>
  <c r="A618" i="42"/>
  <c r="A619" i="42"/>
  <c r="A620" i="42"/>
  <c r="A621" i="42"/>
  <c r="A622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49" i="42"/>
  <c r="A550" i="42"/>
  <c r="A551" i="42"/>
  <c r="A552" i="42"/>
  <c r="A553" i="42"/>
  <c r="A554" i="42"/>
  <c r="A555" i="42"/>
  <c r="A556" i="42"/>
  <c r="A557" i="42"/>
  <c r="A567" i="42"/>
  <c r="A568" i="42"/>
  <c r="A569" i="42"/>
  <c r="A570" i="42"/>
  <c r="A571" i="42"/>
  <c r="A572" i="42"/>
  <c r="A573" i="42"/>
  <c r="A574" i="42"/>
  <c r="A575" i="42"/>
  <c r="A585" i="42"/>
  <c r="A586" i="42"/>
  <c r="A587" i="42"/>
  <c r="A588" i="42"/>
  <c r="A589" i="42"/>
  <c r="A590" i="42"/>
  <c r="A591" i="42"/>
  <c r="A592" i="42"/>
  <c r="A593" i="42"/>
  <c r="A597" i="42"/>
  <c r="A598" i="42"/>
  <c r="A599" i="42"/>
  <c r="A600" i="42"/>
  <c r="A601" i="42"/>
  <c r="A602" i="42"/>
  <c r="A603" i="42"/>
  <c r="A604" i="42"/>
  <c r="A605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531" i="42"/>
  <c r="A532" i="42"/>
  <c r="A533" i="42"/>
  <c r="A534" i="42"/>
  <c r="A535" i="42"/>
  <c r="A536" i="42"/>
  <c r="A537" i="42"/>
  <c r="A538" i="42"/>
  <c r="A539" i="42"/>
  <c r="A594" i="42"/>
  <c r="A595" i="42"/>
  <c r="A596" i="42"/>
  <c r="A659" i="42"/>
  <c r="A660" i="42"/>
  <c r="A661" i="42"/>
  <c r="A662" i="42"/>
  <c r="A663" i="42"/>
  <c r="A664" i="42"/>
  <c r="A665" i="42"/>
  <c r="A666" i="42"/>
  <c r="A396" i="42"/>
  <c r="A397" i="42"/>
  <c r="A398" i="42"/>
  <c r="A399" i="42"/>
  <c r="A400" i="42"/>
  <c r="A401" i="42"/>
  <c r="A402" i="42"/>
  <c r="A403" i="42"/>
  <c r="A395" i="42"/>
  <c r="N34" i="36" l="1"/>
  <c r="N35" i="36" s="1"/>
  <c r="N36" i="36" s="1"/>
  <c r="N21" i="36"/>
  <c r="N22" i="36" s="1"/>
  <c r="N23" i="36" s="1"/>
  <c r="N24" i="36" s="1"/>
  <c r="N25" i="36" s="1"/>
  <c r="N26" i="36" s="1"/>
  <c r="N27" i="36" s="1"/>
  <c r="N62" i="36"/>
  <c r="N63" i="36" s="1"/>
  <c r="N64" i="36" s="1"/>
  <c r="N65" i="36" s="1"/>
  <c r="N66" i="36" s="1"/>
  <c r="N67" i="36" s="1"/>
  <c r="N68" i="36" s="1"/>
  <c r="N14" i="36"/>
  <c r="N15" i="36" s="1"/>
  <c r="N16" i="36" s="1"/>
  <c r="N7" i="36"/>
  <c r="N48" i="36"/>
  <c r="N49" i="36" s="1"/>
  <c r="N50" i="36" s="1"/>
  <c r="N51" i="36" s="1"/>
  <c r="N52" i="36" s="1"/>
  <c r="N53" i="36" s="1"/>
  <c r="N54" i="36" s="1"/>
  <c r="N55" i="36"/>
  <c r="N56" i="36" s="1"/>
  <c r="N41" i="36"/>
  <c r="N42" i="36" s="1"/>
  <c r="N43" i="36" s="1"/>
  <c r="M142" i="41"/>
  <c r="M181" i="41"/>
  <c r="M183" i="41"/>
  <c r="M182" i="41"/>
  <c r="M188" i="41"/>
  <c r="M186" i="41"/>
  <c r="M187" i="41"/>
  <c r="M132" i="41"/>
  <c r="M131" i="41"/>
  <c r="M133" i="41"/>
  <c r="M127" i="41"/>
  <c r="M126" i="41"/>
  <c r="M128" i="41"/>
  <c r="M138" i="41"/>
  <c r="M137" i="41"/>
  <c r="M136" i="41"/>
  <c r="N37" i="36" l="1"/>
  <c r="N38" i="36" s="1"/>
  <c r="N39" i="36" s="1"/>
  <c r="N40" i="36" s="1"/>
  <c r="N8" i="36"/>
  <c r="N9" i="36" s="1"/>
  <c r="N10" i="36" s="1"/>
  <c r="N70" i="36"/>
  <c r="N57" i="36"/>
  <c r="N58" i="36" s="1"/>
  <c r="N59" i="36" s="1"/>
  <c r="N60" i="36" s="1"/>
  <c r="N61" i="36" s="1"/>
  <c r="N17" i="36"/>
  <c r="N18" i="36" s="1"/>
  <c r="N19" i="36" s="1"/>
  <c r="N20" i="36" s="1"/>
  <c r="N44" i="36"/>
  <c r="N45" i="36" s="1"/>
  <c r="N46" i="36" s="1"/>
  <c r="N47" i="36" s="1"/>
  <c r="N71" i="36"/>
  <c r="N11" i="36"/>
  <c r="N72" i="36" l="1"/>
  <c r="N73" i="36"/>
  <c r="N12" i="36"/>
  <c r="N74" i="36"/>
  <c r="C24" i="44"/>
  <c r="D24" i="44"/>
  <c r="E24" i="44"/>
  <c r="F24" i="44"/>
  <c r="G24" i="44"/>
  <c r="H24" i="44"/>
  <c r="I24" i="44"/>
  <c r="J24" i="44"/>
  <c r="K24" i="44"/>
  <c r="B24" i="44"/>
  <c r="O21" i="44" l="1"/>
  <c r="O13" i="44"/>
  <c r="O18" i="44"/>
  <c r="O14" i="44"/>
  <c r="O10" i="44"/>
  <c r="M208" i="41" s="1"/>
  <c r="O12" i="44"/>
  <c r="O15" i="44"/>
  <c r="O20" i="44"/>
  <c r="M200" i="41" s="1"/>
  <c r="O17" i="44"/>
  <c r="M216" i="41" s="1"/>
  <c r="O7" i="44"/>
  <c r="M192" i="41" s="1"/>
  <c r="O11" i="44"/>
  <c r="M212" i="41" s="1"/>
  <c r="O6" i="44"/>
  <c r="O19" i="44"/>
  <c r="N15" i="44"/>
  <c r="N6" i="44"/>
  <c r="N20" i="44"/>
  <c r="M199" i="41" s="1"/>
  <c r="N12" i="44"/>
  <c r="N11" i="44"/>
  <c r="M211" i="41" s="1"/>
  <c r="N21" i="44"/>
  <c r="N18" i="44"/>
  <c r="M203" i="41" s="1"/>
  <c r="N14" i="44"/>
  <c r="M218" i="41" s="1"/>
  <c r="N10" i="44"/>
  <c r="M207" i="41" s="1"/>
  <c r="N17" i="44"/>
  <c r="M215" i="41" s="1"/>
  <c r="N7" i="44"/>
  <c r="M191" i="41" s="1"/>
  <c r="N19" i="44"/>
  <c r="M19" i="44"/>
  <c r="M11" i="44"/>
  <c r="M210" i="41" s="1"/>
  <c r="M17" i="44"/>
  <c r="M214" i="41" s="1"/>
  <c r="M7" i="44"/>
  <c r="M190" i="41" s="1"/>
  <c r="M6" i="44"/>
  <c r="M18" i="44"/>
  <c r="M202" i="41" s="1"/>
  <c r="M20" i="44"/>
  <c r="M198" i="41" s="1"/>
  <c r="M21" i="44"/>
  <c r="M10" i="44"/>
  <c r="M206" i="41" s="1"/>
  <c r="N13" i="36"/>
  <c r="N76" i="36" s="1"/>
  <c r="N75" i="36"/>
  <c r="W19" i="43"/>
  <c r="O24" i="43"/>
  <c r="S28" i="43"/>
  <c r="N16" i="43"/>
  <c r="N26" i="43"/>
  <c r="C31" i="43"/>
  <c r="O13" i="43" s="1"/>
  <c r="O34" i="43" s="1"/>
  <c r="E31" i="43"/>
  <c r="Q19" i="43" s="1"/>
  <c r="F31" i="43"/>
  <c r="R18" i="43" s="1"/>
  <c r="G31" i="43"/>
  <c r="S17" i="43" s="1"/>
  <c r="H31" i="43"/>
  <c r="T16" i="43" s="1"/>
  <c r="I31" i="43"/>
  <c r="U15" i="43" s="1"/>
  <c r="J31" i="43"/>
  <c r="V14" i="43" s="1"/>
  <c r="K31" i="43"/>
  <c r="W13" i="43" s="1"/>
  <c r="B31" i="43"/>
  <c r="N23" i="43" s="1"/>
  <c r="P62" i="36"/>
  <c r="H62" i="36"/>
  <c r="P55" i="36"/>
  <c r="H55" i="36"/>
  <c r="P48" i="36"/>
  <c r="H48" i="36"/>
  <c r="P41" i="36"/>
  <c r="H41" i="36"/>
  <c r="P34" i="36"/>
  <c r="H34" i="36"/>
  <c r="P21" i="36"/>
  <c r="H21" i="36"/>
  <c r="P14" i="36"/>
  <c r="H14" i="36"/>
  <c r="P7" i="36"/>
  <c r="H7" i="36"/>
  <c r="D20" i="43"/>
  <c r="D19" i="43"/>
  <c r="N37" i="43" l="1"/>
  <c r="W34" i="43"/>
  <c r="AE14" i="43"/>
  <c r="W20" i="43"/>
  <c r="W41" i="43"/>
  <c r="AB28" i="43"/>
  <c r="S40" i="43"/>
  <c r="T19" i="43"/>
  <c r="O28" i="43"/>
  <c r="O40" i="43" s="1"/>
  <c r="W16" i="43"/>
  <c r="AD15" i="43"/>
  <c r="T27" i="43"/>
  <c r="R25" i="43"/>
  <c r="T36" i="43"/>
  <c r="AC16" i="43"/>
  <c r="N17" i="43"/>
  <c r="N36" i="43" s="1"/>
  <c r="N13" i="43"/>
  <c r="N34" i="43" s="1"/>
  <c r="S24" i="43"/>
  <c r="P19" i="43"/>
  <c r="D31" i="43"/>
  <c r="N25" i="43"/>
  <c r="N38" i="43" s="1"/>
  <c r="N15" i="43"/>
  <c r="Q25" i="43"/>
  <c r="S20" i="43"/>
  <c r="R17" i="43"/>
  <c r="AA17" i="43" s="1"/>
  <c r="U14" i="43"/>
  <c r="M195" i="41"/>
  <c r="N24" i="44"/>
  <c r="N24" i="43"/>
  <c r="N14" i="43"/>
  <c r="W27" i="43"/>
  <c r="W24" i="43"/>
  <c r="AF24" i="43" s="1"/>
  <c r="O20" i="43"/>
  <c r="Q17" i="43"/>
  <c r="T14" i="43"/>
  <c r="M194" i="41"/>
  <c r="M24" i="44"/>
  <c r="Q14" i="43"/>
  <c r="N30" i="43"/>
  <c r="N20" i="43"/>
  <c r="U30" i="43"/>
  <c r="AD30" i="43" s="1"/>
  <c r="S16" i="43"/>
  <c r="O24" i="44"/>
  <c r="M196" i="41"/>
  <c r="M219" i="41"/>
  <c r="N29" i="43"/>
  <c r="N19" i="43"/>
  <c r="N41" i="43" s="1"/>
  <c r="T30" i="43"/>
  <c r="AC30" i="43" s="1"/>
  <c r="O27" i="43"/>
  <c r="O39" i="43" s="1"/>
  <c r="T23" i="43"/>
  <c r="O16" i="43"/>
  <c r="M204" i="41"/>
  <c r="N28" i="43"/>
  <c r="N40" i="43" s="1"/>
  <c r="N18" i="43"/>
  <c r="Q30" i="43"/>
  <c r="Z30" i="43" s="1"/>
  <c r="Q26" i="43"/>
  <c r="S23" i="43"/>
  <c r="O19" i="43"/>
  <c r="T15" i="43"/>
  <c r="N27" i="43"/>
  <c r="N39" i="43" s="1"/>
  <c r="W28" i="43"/>
  <c r="Q18" i="43"/>
  <c r="AA18" i="43" s="1"/>
  <c r="S15" i="43"/>
  <c r="AB15" i="43" s="1"/>
  <c r="V13" i="43"/>
  <c r="V20" i="43"/>
  <c r="AE20" i="43" s="1"/>
  <c r="R16" i="43"/>
  <c r="U13" i="43"/>
  <c r="S30" i="43"/>
  <c r="T29" i="43"/>
  <c r="U28" i="43"/>
  <c r="V27" i="43"/>
  <c r="W26" i="43"/>
  <c r="AF26" i="43" s="1"/>
  <c r="O26" i="43"/>
  <c r="P25" i="43"/>
  <c r="Q24" i="43"/>
  <c r="R23" i="43"/>
  <c r="U20" i="43"/>
  <c r="V19" i="43"/>
  <c r="AF19" i="43" s="1"/>
  <c r="W18" i="43"/>
  <c r="AF18" i="43" s="1"/>
  <c r="O18" i="43"/>
  <c r="P17" i="43"/>
  <c r="Y17" i="43" s="1"/>
  <c r="Q16" i="43"/>
  <c r="R15" i="43"/>
  <c r="S14" i="43"/>
  <c r="T13" i="43"/>
  <c r="V28" i="43"/>
  <c r="R24" i="43"/>
  <c r="AA24" i="43" s="1"/>
  <c r="R30" i="43"/>
  <c r="S29" i="43"/>
  <c r="T28" i="43"/>
  <c r="U27" i="43"/>
  <c r="V26" i="43"/>
  <c r="AE26" i="43" s="1"/>
  <c r="W25" i="43"/>
  <c r="O25" i="43"/>
  <c r="P24" i="43"/>
  <c r="Y24" i="43" s="1"/>
  <c r="Q23" i="43"/>
  <c r="T20" i="43"/>
  <c r="AC20" i="43" s="1"/>
  <c r="U19" i="43"/>
  <c r="V18" i="43"/>
  <c r="W17" i="43"/>
  <c r="O17" i="43"/>
  <c r="P16" i="43"/>
  <c r="Q15" i="43"/>
  <c r="R14" i="43"/>
  <c r="S13" i="43"/>
  <c r="U26" i="43"/>
  <c r="R13" i="43"/>
  <c r="P30" i="43"/>
  <c r="Q29" i="43"/>
  <c r="R28" i="43"/>
  <c r="S27" i="43"/>
  <c r="T26" i="43"/>
  <c r="AC26" i="43" s="1"/>
  <c r="U25" i="43"/>
  <c r="V24" i="43"/>
  <c r="W23" i="43"/>
  <c r="O23" i="43"/>
  <c r="O37" i="43" s="1"/>
  <c r="R20" i="43"/>
  <c r="S19" i="43"/>
  <c r="T18" i="43"/>
  <c r="AC18" i="43" s="1"/>
  <c r="U17" i="43"/>
  <c r="AD17" i="43" s="1"/>
  <c r="V16" i="43"/>
  <c r="W15" i="43"/>
  <c r="O15" i="43"/>
  <c r="P14" i="43"/>
  <c r="Q13" i="43"/>
  <c r="V17" i="43"/>
  <c r="AE17" i="43" s="1"/>
  <c r="W30" i="43"/>
  <c r="AF30" i="43" s="1"/>
  <c r="O30" i="43"/>
  <c r="P29" i="43"/>
  <c r="Q28" i="43"/>
  <c r="R27" i="43"/>
  <c r="S26" i="43"/>
  <c r="T25" i="43"/>
  <c r="U24" i="43"/>
  <c r="AD24" i="43" s="1"/>
  <c r="V23" i="43"/>
  <c r="Q20" i="43"/>
  <c r="R19" i="43"/>
  <c r="S18" i="43"/>
  <c r="AB18" i="43" s="1"/>
  <c r="T17" i="43"/>
  <c r="AC17" i="43" s="1"/>
  <c r="U16" i="43"/>
  <c r="V15" i="43"/>
  <c r="AE15" i="43" s="1"/>
  <c r="W14" i="43"/>
  <c r="O14" i="43"/>
  <c r="O35" i="43" s="1"/>
  <c r="P13" i="43"/>
  <c r="V29" i="43"/>
  <c r="U29" i="43"/>
  <c r="R29" i="43"/>
  <c r="V25" i="43"/>
  <c r="U18" i="43"/>
  <c r="V30" i="43"/>
  <c r="W29" i="43"/>
  <c r="O29" i="43"/>
  <c r="O42" i="43" s="1"/>
  <c r="P28" i="43"/>
  <c r="Q27" i="43"/>
  <c r="R26" i="43"/>
  <c r="AA26" i="43" s="1"/>
  <c r="S25" i="43"/>
  <c r="T24" i="43"/>
  <c r="AC24" i="43" s="1"/>
  <c r="U23" i="43"/>
  <c r="AA19" i="43" l="1"/>
  <c r="R41" i="43"/>
  <c r="AC27" i="43"/>
  <c r="T39" i="43"/>
  <c r="Y13" i="43"/>
  <c r="P34" i="43"/>
  <c r="R35" i="43"/>
  <c r="AA14" i="43"/>
  <c r="Q37" i="43"/>
  <c r="AA30" i="43"/>
  <c r="V34" i="43"/>
  <c r="AE13" i="43"/>
  <c r="Z26" i="43"/>
  <c r="AB20" i="43"/>
  <c r="P42" i="43"/>
  <c r="Y29" i="43"/>
  <c r="AF27" i="43"/>
  <c r="W39" i="43"/>
  <c r="W31" i="43"/>
  <c r="W35" i="43"/>
  <c r="AF14" i="43"/>
  <c r="AB19" i="43"/>
  <c r="S41" i="43"/>
  <c r="V40" i="43"/>
  <c r="AE28" i="43"/>
  <c r="Z29" i="43"/>
  <c r="Q42" i="43"/>
  <c r="AD20" i="43"/>
  <c r="W40" i="43"/>
  <c r="AF28" i="43"/>
  <c r="AA25" i="43"/>
  <c r="R38" i="43"/>
  <c r="V35" i="43"/>
  <c r="AE29" i="43"/>
  <c r="V42" i="43"/>
  <c r="U38" i="43"/>
  <c r="AD25" i="43"/>
  <c r="AF29" i="43"/>
  <c r="W42" i="43"/>
  <c r="U37" i="43"/>
  <c r="AD23" i="43"/>
  <c r="P36" i="43"/>
  <c r="Y16" i="43"/>
  <c r="Z18" i="43"/>
  <c r="N42" i="43"/>
  <c r="N31" i="43"/>
  <c r="N35" i="43"/>
  <c r="W36" i="43"/>
  <c r="AF16" i="43"/>
  <c r="AD18" i="43"/>
  <c r="AA20" i="43"/>
  <c r="T34" i="43"/>
  <c r="AC13" i="43"/>
  <c r="T42" i="43"/>
  <c r="AC29" i="43"/>
  <c r="AB25" i="43"/>
  <c r="S38" i="43"/>
  <c r="AE25" i="43"/>
  <c r="V38" i="43"/>
  <c r="U36" i="43"/>
  <c r="AD16" i="43"/>
  <c r="AB26" i="43"/>
  <c r="Y14" i="43"/>
  <c r="Y30" i="43"/>
  <c r="AF17" i="43"/>
  <c r="S35" i="43"/>
  <c r="AB14" i="43"/>
  <c r="AA23" i="43"/>
  <c r="R37" i="43"/>
  <c r="AB30" i="43"/>
  <c r="Q41" i="43"/>
  <c r="AB17" i="43"/>
  <c r="P40" i="43"/>
  <c r="Y28" i="43"/>
  <c r="S34" i="43"/>
  <c r="AB13" i="43"/>
  <c r="V39" i="43"/>
  <c r="AE27" i="43"/>
  <c r="Z25" i="43"/>
  <c r="Q38" i="43"/>
  <c r="AE30" i="43"/>
  <c r="AA28" i="43"/>
  <c r="R40" i="43"/>
  <c r="V41" i="43"/>
  <c r="AE19" i="43"/>
  <c r="W38" i="43"/>
  <c r="AF25" i="43"/>
  <c r="R42" i="43"/>
  <c r="AA29" i="43"/>
  <c r="AE18" i="43"/>
  <c r="U39" i="43"/>
  <c r="AD27" i="43"/>
  <c r="Z24" i="43"/>
  <c r="U34" i="43"/>
  <c r="AD13" i="43"/>
  <c r="AC15" i="43"/>
  <c r="O36" i="43"/>
  <c r="T35" i="43"/>
  <c r="AC14" i="43"/>
  <c r="Y19" i="43"/>
  <c r="Z19" i="43"/>
  <c r="T41" i="43"/>
  <c r="AC19" i="43"/>
  <c r="V36" i="43"/>
  <c r="AE16" i="43"/>
  <c r="S42" i="43"/>
  <c r="AB29" i="43"/>
  <c r="AB23" i="43"/>
  <c r="S37" i="43"/>
  <c r="AE23" i="43"/>
  <c r="V37" i="43"/>
  <c r="AB27" i="43"/>
  <c r="S39" i="43"/>
  <c r="O38" i="43"/>
  <c r="U40" i="43"/>
  <c r="AD28" i="43"/>
  <c r="Z14" i="43"/>
  <c r="Q35" i="43"/>
  <c r="AF20" i="43"/>
  <c r="AC25" i="43"/>
  <c r="T38" i="43"/>
  <c r="Q34" i="43"/>
  <c r="Z13" i="43"/>
  <c r="AA27" i="43"/>
  <c r="R39" i="43"/>
  <c r="AF23" i="43"/>
  <c r="W37" i="43"/>
  <c r="R34" i="43"/>
  <c r="AA13" i="43"/>
  <c r="AA15" i="43"/>
  <c r="Z27" i="43"/>
  <c r="Q39" i="43"/>
  <c r="AD29" i="43"/>
  <c r="U42" i="43"/>
  <c r="Z28" i="43"/>
  <c r="Q40" i="43"/>
  <c r="AF15" i="43"/>
  <c r="AE24" i="43"/>
  <c r="AD26" i="43"/>
  <c r="U41" i="43"/>
  <c r="AD19" i="43"/>
  <c r="AC28" i="43"/>
  <c r="T40" i="43"/>
  <c r="Q36" i="43"/>
  <c r="Z16" i="43"/>
  <c r="P38" i="43"/>
  <c r="Y25" i="43"/>
  <c r="R36" i="43"/>
  <c r="AA16" i="43"/>
  <c r="O41" i="43"/>
  <c r="AC23" i="43"/>
  <c r="T37" i="43"/>
  <c r="S36" i="43"/>
  <c r="AB16" i="43"/>
  <c r="Z17" i="43"/>
  <c r="U35" i="43"/>
  <c r="AD14" i="43"/>
  <c r="AB24" i="43"/>
  <c r="AF13" i="43"/>
  <c r="O31" i="43"/>
  <c r="T31" i="43"/>
  <c r="R31" i="43"/>
  <c r="S31" i="43"/>
  <c r="P20" i="43"/>
  <c r="Y20" i="43" s="1"/>
  <c r="P23" i="43"/>
  <c r="P26" i="43"/>
  <c r="Y26" i="43" s="1"/>
  <c r="P15" i="43"/>
  <c r="P27" i="43"/>
  <c r="P18" i="43"/>
  <c r="Y18" i="43" s="1"/>
  <c r="U31" i="43"/>
  <c r="V31" i="43"/>
  <c r="Q31" i="43"/>
  <c r="P50" i="36"/>
  <c r="P51" i="36"/>
  <c r="P52" i="36"/>
  <c r="P53" i="36"/>
  <c r="P54" i="36"/>
  <c r="P49" i="36"/>
  <c r="P36" i="36"/>
  <c r="P37" i="36"/>
  <c r="P38" i="36"/>
  <c r="P39" i="36"/>
  <c r="P40" i="36"/>
  <c r="P35" i="36"/>
  <c r="P9" i="36"/>
  <c r="P10" i="36"/>
  <c r="P11" i="36"/>
  <c r="P12" i="36"/>
  <c r="P13" i="36"/>
  <c r="P8" i="36"/>
  <c r="P43" i="36"/>
  <c r="P44" i="36"/>
  <c r="P45" i="36"/>
  <c r="P46" i="36"/>
  <c r="P47" i="36"/>
  <c r="P42" i="36"/>
  <c r="P57" i="36"/>
  <c r="P58" i="36"/>
  <c r="P59" i="36"/>
  <c r="P60" i="36"/>
  <c r="P61" i="36"/>
  <c r="P63" i="36"/>
  <c r="P64" i="36"/>
  <c r="P65" i="36"/>
  <c r="P66" i="36"/>
  <c r="P67" i="36"/>
  <c r="P68" i="36"/>
  <c r="P56" i="36"/>
  <c r="P23" i="36"/>
  <c r="P24" i="36"/>
  <c r="P25" i="36"/>
  <c r="P26" i="36"/>
  <c r="P27" i="36"/>
  <c r="P28" i="36"/>
  <c r="P29" i="36"/>
  <c r="P30" i="36"/>
  <c r="P31" i="36"/>
  <c r="P32" i="36"/>
  <c r="P33" i="36"/>
  <c r="P22" i="36"/>
  <c r="P16" i="36"/>
  <c r="P17" i="36"/>
  <c r="P18" i="36"/>
  <c r="P19" i="36"/>
  <c r="P20" i="36"/>
  <c r="P15" i="36"/>
  <c r="H54" i="36"/>
  <c r="H53" i="36"/>
  <c r="H52" i="36"/>
  <c r="H51" i="36"/>
  <c r="S50" i="36"/>
  <c r="H50" i="36"/>
  <c r="H49" i="36"/>
  <c r="H40" i="36"/>
  <c r="H39" i="36"/>
  <c r="H38" i="36"/>
  <c r="H37" i="36"/>
  <c r="S36" i="36"/>
  <c r="H36" i="36"/>
  <c r="H35" i="36"/>
  <c r="H13" i="36"/>
  <c r="H12" i="36"/>
  <c r="H11" i="36"/>
  <c r="H10" i="36"/>
  <c r="S9" i="36"/>
  <c r="H9" i="36"/>
  <c r="H8" i="36"/>
  <c r="H47" i="36"/>
  <c r="H46" i="36"/>
  <c r="H45" i="36"/>
  <c r="H44" i="36"/>
  <c r="S43" i="36"/>
  <c r="S44" i="36" s="1"/>
  <c r="H43" i="36"/>
  <c r="H42" i="36"/>
  <c r="H68" i="36"/>
  <c r="H67" i="36"/>
  <c r="H66" i="36"/>
  <c r="H65" i="36"/>
  <c r="S64" i="36"/>
  <c r="H64" i="36"/>
  <c r="H63" i="36"/>
  <c r="H61" i="36"/>
  <c r="H60" i="36"/>
  <c r="H59" i="36"/>
  <c r="H58" i="36"/>
  <c r="S57" i="36"/>
  <c r="S58" i="36" s="1"/>
  <c r="H57" i="36"/>
  <c r="H56" i="36"/>
  <c r="H33" i="36"/>
  <c r="H32" i="36"/>
  <c r="H31" i="36"/>
  <c r="H30" i="36"/>
  <c r="S29" i="36"/>
  <c r="H29" i="36"/>
  <c r="H28" i="36"/>
  <c r="H27" i="36"/>
  <c r="H26" i="36"/>
  <c r="H25" i="36"/>
  <c r="H24" i="36"/>
  <c r="S23" i="36"/>
  <c r="S24" i="36" s="1"/>
  <c r="H23" i="36"/>
  <c r="H22" i="36"/>
  <c r="H20" i="36"/>
  <c r="H19" i="36"/>
  <c r="H18" i="36"/>
  <c r="H17" i="36"/>
  <c r="S16" i="36"/>
  <c r="S17" i="36" s="1"/>
  <c r="H16" i="36"/>
  <c r="H15" i="36"/>
  <c r="P41" i="43" l="1"/>
  <c r="P31" i="43"/>
  <c r="Y15" i="43"/>
  <c r="P39" i="43"/>
  <c r="Y27" i="43"/>
  <c r="P35" i="43"/>
  <c r="Z15" i="43"/>
  <c r="Z20" i="43"/>
  <c r="P37" i="43"/>
  <c r="Y23" i="43"/>
  <c r="Z23" i="43"/>
  <c r="S51" i="36"/>
  <c r="S37" i="36"/>
  <c r="S45" i="36"/>
  <c r="S46" i="36" s="1"/>
  <c r="S10" i="36"/>
  <c r="S59" i="36"/>
  <c r="S18" i="36"/>
  <c r="S25" i="36"/>
  <c r="S30" i="36"/>
  <c r="S65" i="36"/>
  <c r="S38" i="36" l="1"/>
  <c r="S52" i="36"/>
  <c r="S11" i="36"/>
  <c r="S26" i="36"/>
  <c r="S60" i="36"/>
  <c r="S66" i="36"/>
  <c r="S19" i="36"/>
  <c r="S31" i="36"/>
  <c r="S39" i="36" l="1"/>
  <c r="S53" i="36"/>
  <c r="S12" i="36"/>
  <c r="S67" i="36"/>
  <c r="S3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</authors>
  <commentList>
    <comment ref="N6" authorId="0" shapeId="0" xr:uid="{2AA788BE-2A07-4A5D-8ACB-A56982DB4E83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coefficient of the net commodity production variable
VAR_COMNETr,t,c,s</t>
        </r>
      </text>
    </comment>
    <comment ref="O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</authors>
  <commentList>
    <comment ref="N6" authorId="0" shapeId="0" xr:uid="{CBB3DCC7-5702-4CCE-9EF9-D1882D1651C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</commentList>
</comments>
</file>

<file path=xl/sharedStrings.xml><?xml version="1.0" encoding="utf-8"?>
<sst xmlns="http://schemas.openxmlformats.org/spreadsheetml/2006/main" count="6454" uniqueCount="428">
  <si>
    <t>~UC_T</t>
  </si>
  <si>
    <t>UC_N</t>
  </si>
  <si>
    <t>LimType</t>
  </si>
  <si>
    <t>UC_Desc</t>
  </si>
  <si>
    <t>Pset_PN</t>
  </si>
  <si>
    <t>UC - Each Region/Period</t>
  </si>
  <si>
    <t>~UC_Sets: R_E: AllRegions</t>
  </si>
  <si>
    <t>~UC_Sets: T_E:</t>
  </si>
  <si>
    <t>Pset_Set</t>
  </si>
  <si>
    <t>Pset_CI</t>
  </si>
  <si>
    <t>Pset_CO</t>
  </si>
  <si>
    <t>Cset_CN</t>
  </si>
  <si>
    <t>Attribute</t>
  </si>
  <si>
    <t>Year</t>
  </si>
  <si>
    <t>UC_FLO</t>
  </si>
  <si>
    <t>UC_COMPRD</t>
  </si>
  <si>
    <t>Share of a group of processes within a market (see attribute FLO_MARK if you want to constrain the market share of a single process)</t>
  </si>
  <si>
    <t>LO</t>
  </si>
  <si>
    <t>UP</t>
  </si>
  <si>
    <t>Transportation LDV Shares - Compact</t>
  </si>
  <si>
    <t>Transportation LDV Shares - Full Size</t>
  </si>
  <si>
    <t>Transportation LDV Shares - Large Utility</t>
  </si>
  <si>
    <t>Transportation LDV Shares - Minivan</t>
  </si>
  <si>
    <t>Transportation LDV Shares - MiniCompact</t>
  </si>
  <si>
    <t>Transportation LDV Shares - Pickup</t>
  </si>
  <si>
    <t>Transportation LDV Shares - Small Utility</t>
  </si>
  <si>
    <t>TL-DSL</t>
  </si>
  <si>
    <t>TL-ELC</t>
  </si>
  <si>
    <t>UC_RHSRT</t>
  </si>
  <si>
    <t>UC_RHSRT~0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</si>
  <si>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</si>
  <si>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</si>
  <si>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</si>
  <si>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</si>
  <si>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</si>
  <si>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</si>
  <si>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</si>
  <si>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</si>
  <si>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</si>
  <si>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R1,R2,R3,R4,R5,R6,R7,R8,R9</t>
  </si>
  <si>
    <t>UC_S_TLC</t>
  </si>
  <si>
    <t>TL</t>
  </si>
  <si>
    <t>Region</t>
  </si>
  <si>
    <t>TL*DSL</t>
  </si>
  <si>
    <t>UC_COMCON</t>
  </si>
  <si>
    <t>UC_RHSTS</t>
  </si>
  <si>
    <t>UC_RHSTS~0</t>
  </si>
  <si>
    <t>UC_CAFE_STDYYY</t>
  </si>
  <si>
    <t>National CAFE standardYYY</t>
  </si>
  <si>
    <t>TRNE85L,TLGSL,TRNCNGL,TLDSL,TLELC,TLH2,TLLPG</t>
  </si>
  <si>
    <t>TLF*,TLEF*</t>
  </si>
  <si>
    <t>TLLS*,TLELS*</t>
  </si>
  <si>
    <t>TLMC*,TLEMC*</t>
  </si>
  <si>
    <t>TLP*,TLEP*</t>
  </si>
  <si>
    <t>TLSS*,TLESS*</t>
  </si>
  <si>
    <t xml:space="preserve">Page Fields: </t>
  </si>
  <si>
    <t>Table Name: Transportation Summary</t>
  </si>
  <si>
    <t xml:space="preserve">Active Unit:  </t>
  </si>
  <si>
    <t>ProcessSet</t>
  </si>
  <si>
    <t>Process</t>
  </si>
  <si>
    <t>Commodity\Period</t>
  </si>
  <si>
    <t>TL-CNG</t>
  </si>
  <si>
    <t>TLEFCNG</t>
  </si>
  <si>
    <t>TLEFDSL</t>
  </si>
  <si>
    <t>TLEPDSL</t>
  </si>
  <si>
    <t>TLFDSL</t>
  </si>
  <si>
    <t>TL-E85X</t>
  </si>
  <si>
    <t>TLEFETHX</t>
  </si>
  <si>
    <t>TLPETHX</t>
  </si>
  <si>
    <t>TL-GSL</t>
  </si>
  <si>
    <t>TLCCONV</t>
  </si>
  <si>
    <t>TLFCONV</t>
  </si>
  <si>
    <t>TLLSCONV</t>
  </si>
  <si>
    <t>TLPCONV</t>
  </si>
  <si>
    <t>TLSSCONV</t>
  </si>
  <si>
    <t>TL-LPG</t>
  </si>
  <si>
    <t>VAR_FOut</t>
  </si>
  <si>
    <t>Table 43.  Summary of New Light-Duty Vehicle Size Class Attributes</t>
  </si>
  <si>
    <t>*2010</t>
  </si>
  <si>
    <t>*2011</t>
  </si>
  <si>
    <t xml:space="preserve"> Degradation Factors 1/</t>
  </si>
  <si>
    <t xml:space="preserve">   Cars</t>
  </si>
  <si>
    <t xml:space="preserve">   Light Trucks</t>
  </si>
  <si>
    <t>New Vehicle Sales Shares (%)</t>
  </si>
  <si>
    <t xml:space="preserve"> Conventional Cars</t>
  </si>
  <si>
    <t xml:space="preserve">   Minicompact</t>
  </si>
  <si>
    <t>Assumptions made in spreadsheet to give values for CSUVs</t>
  </si>
  <si>
    <t xml:space="preserve">   Subcompact</t>
  </si>
  <si>
    <t xml:space="preserve">   Compact</t>
  </si>
  <si>
    <t xml:space="preserve">   Midsize</t>
  </si>
  <si>
    <t xml:space="preserve">   Large</t>
  </si>
  <si>
    <t xml:space="preserve">   Two Seater</t>
  </si>
  <si>
    <t xml:space="preserve">   Small Crossover Utility</t>
  </si>
  <si>
    <t xml:space="preserve">   Large Crossover Utility</t>
  </si>
  <si>
    <t xml:space="preserve"> Conventional Light Trucks</t>
  </si>
  <si>
    <t xml:space="preserve">   Small Pickup</t>
  </si>
  <si>
    <t xml:space="preserve">   Large Pickup</t>
  </si>
  <si>
    <t xml:space="preserve">   Small Van</t>
  </si>
  <si>
    <t xml:space="preserve">   Large Van</t>
  </si>
  <si>
    <t xml:space="preserve">   Small Utility</t>
  </si>
  <si>
    <t xml:space="preserve">   Large Utility</t>
  </si>
  <si>
    <t xml:space="preserve">   1/  Conversion factor used to convert U.S. Environmental Protection Agency (EPA) rated efficiency to "on road" miles per gallon.</t>
  </si>
  <si>
    <t xml:space="preserve">   2/  Environmental Protection Agency rated miles per gallon.</t>
  </si>
  <si>
    <t xml:space="preserve">   Sources:  2019 and projections:  U.S. Energy Information Administration (EIA), AEO2020 National Energy Modeling System run ref2020.d112119a.</t>
  </si>
  <si>
    <t>UC_S_TLMC</t>
  </si>
  <si>
    <t>UC_S_TLF</t>
  </si>
  <si>
    <t>TLCCO*,TLECCO*</t>
  </si>
  <si>
    <t>Transportation LDV Shares - Car Crossover</t>
  </si>
  <si>
    <t>TLV*,TLEV*</t>
  </si>
  <si>
    <t>TLTCO*,TLETCO*</t>
  </si>
  <si>
    <t>Transportation LDV Shares - Truck Crossover</t>
  </si>
  <si>
    <t>TL*ELC100,TL*ELC200,TL*ELC300</t>
  </si>
  <si>
    <t/>
  </si>
  <si>
    <t>41. Light-Duty Vehicle Miles Traveled by Technology Type</t>
  </si>
  <si>
    <t>(billion miles, unless otherwise noted)</t>
  </si>
  <si>
    <t xml:space="preserve"> Technology Type</t>
  </si>
  <si>
    <t>Conventional Vehicles 1/</t>
  </si>
  <si>
    <t xml:space="preserve">  Gasoline ICE Vehicles</t>
  </si>
  <si>
    <t xml:space="preserve">  TDI Diesel ICE</t>
  </si>
  <si>
    <t>Alternative-Fuel Vehicles 1/</t>
  </si>
  <si>
    <t xml:space="preserve">  Ethanol-Flex Fuel ICE</t>
  </si>
  <si>
    <t xml:space="preserve">  100 Mile Electric Vehicle</t>
  </si>
  <si>
    <t xml:space="preserve">  200 Mile Electric Vehicle</t>
  </si>
  <si>
    <t xml:space="preserve">  300 Mile Electric Vehicle</t>
  </si>
  <si>
    <t xml:space="preserve">  Plug-in 10 Gasoline Hybrid</t>
  </si>
  <si>
    <t xml:space="preserve">  Plug-in 40 Gasoline Hybrid</t>
  </si>
  <si>
    <t xml:space="preserve">  Electric-Diesel Hybrid</t>
  </si>
  <si>
    <t xml:space="preserve">  Electric-Gasoline Hybrid</t>
  </si>
  <si>
    <t xml:space="preserve">  Natural Gas ICE</t>
  </si>
  <si>
    <t xml:space="preserve">  Natural Gas Bi-fuel</t>
  </si>
  <si>
    <t xml:space="preserve">  Propane ICE</t>
  </si>
  <si>
    <t xml:space="preserve">  Propane Bi-fuel</t>
  </si>
  <si>
    <t xml:space="preserve">  Fuel Cell Methanol</t>
  </si>
  <si>
    <t xml:space="preserve">  Fuel Cell Hydrogen</t>
  </si>
  <si>
    <t>UC_S_TLDSL</t>
  </si>
  <si>
    <t>UC_S_TLGSL</t>
  </si>
  <si>
    <t>UC_S_TLLPG</t>
  </si>
  <si>
    <t>UC_S_TLCNG</t>
  </si>
  <si>
    <t>UC_S_TLE85</t>
  </si>
  <si>
    <t>UC_S_TLELC</t>
  </si>
  <si>
    <t>UC_S_TLHEV</t>
  </si>
  <si>
    <t>UC_S_TLPVEV</t>
  </si>
  <si>
    <t>TL*LPG,TL*LPGX</t>
  </si>
  <si>
    <t>TL*CNG,TL*CNGX</t>
  </si>
  <si>
    <t>TL*ETHX</t>
  </si>
  <si>
    <t>TL*HEV</t>
  </si>
  <si>
    <t>TL*PHEV10,TL*PHEV40</t>
  </si>
  <si>
    <t>LDV-DSL share</t>
  </si>
  <si>
    <t>LDV-GSL share</t>
  </si>
  <si>
    <t>LDV-LPG share</t>
  </si>
  <si>
    <t>LDV-CNG share</t>
  </si>
  <si>
    <t>LDV-E85 share</t>
  </si>
  <si>
    <t>LDV-ELC share</t>
  </si>
  <si>
    <t>LDV-HEV share</t>
  </si>
  <si>
    <t>LDV-PHEV share</t>
  </si>
  <si>
    <t>TL*CONV</t>
  </si>
  <si>
    <t>Scenario</t>
  </si>
  <si>
    <t>TLCCNGX</t>
  </si>
  <si>
    <t>TLCCODSL</t>
  </si>
  <si>
    <t>TLECDSL</t>
  </si>
  <si>
    <t>TLELSDSL</t>
  </si>
  <si>
    <t>TLESSDSL</t>
  </si>
  <si>
    <t>TLETCODSL</t>
  </si>
  <si>
    <t>TLEVDSL</t>
  </si>
  <si>
    <t>TLECETHX</t>
  </si>
  <si>
    <t>TLELSETHX</t>
  </si>
  <si>
    <t>TLEPETHX</t>
  </si>
  <si>
    <t>TLESSETHX</t>
  </si>
  <si>
    <t>TLETCOETHX</t>
  </si>
  <si>
    <t>TLEVETHX</t>
  </si>
  <si>
    <t>TLFETHX</t>
  </si>
  <si>
    <t>TLLSETHX</t>
  </si>
  <si>
    <t>TLTCOETHX</t>
  </si>
  <si>
    <t>TLCELC100</t>
  </si>
  <si>
    <t>TLCPHEV10</t>
  </si>
  <si>
    <t>TLCPHEV40</t>
  </si>
  <si>
    <t>TLECELC100</t>
  </si>
  <si>
    <t>TLESSELC100</t>
  </si>
  <si>
    <t>TLFELC100</t>
  </si>
  <si>
    <t>TLTCOPHEV40</t>
  </si>
  <si>
    <t>TLCCOCONV</t>
  </si>
  <si>
    <t>TLCCOHEV</t>
  </si>
  <si>
    <t>TLECCONV</t>
  </si>
  <si>
    <t>TLECHEV</t>
  </si>
  <si>
    <t>TLEFCONV</t>
  </si>
  <si>
    <t>TLEFHEV</t>
  </si>
  <si>
    <t>TLELSCONV</t>
  </si>
  <si>
    <t>TLELSHEV</t>
  </si>
  <si>
    <t>TLEMCCONV</t>
  </si>
  <si>
    <t>TLEPCONV</t>
  </si>
  <si>
    <t>TLESSCONV</t>
  </si>
  <si>
    <t>TLETCOCONV</t>
  </si>
  <si>
    <t>TLETCOHEV</t>
  </si>
  <si>
    <t>TLEVCONV</t>
  </si>
  <si>
    <t>TLEVHEV</t>
  </si>
  <si>
    <t>TLFHEV</t>
  </si>
  <si>
    <t>TLMCCONV</t>
  </si>
  <si>
    <t>TLTCOCONV</t>
  </si>
  <si>
    <t>TLVCONV</t>
  </si>
  <si>
    <t>TLVHEV</t>
  </si>
  <si>
    <t>TLEPLPG</t>
  </si>
  <si>
    <t>TLEVLPG</t>
  </si>
  <si>
    <t>TLFLPGX</t>
  </si>
  <si>
    <t>TLECCNG</t>
  </si>
  <si>
    <t>TLECCNGX</t>
  </si>
  <si>
    <t>TLEFCNGX</t>
  </si>
  <si>
    <t>TLEPCNG</t>
  </si>
  <si>
    <t>TLEPCNGX</t>
  </si>
  <si>
    <t>TLEVCNG</t>
  </si>
  <si>
    <t>TLEVCNGX</t>
  </si>
  <si>
    <t>TLECLPGX</t>
  </si>
  <si>
    <t>TLEFLPGX</t>
  </si>
  <si>
    <t>TLEPLPGX</t>
  </si>
  <si>
    <t>TLEVLPGX</t>
  </si>
  <si>
    <t>* Filtered for Commodity = TL and Var_Fout</t>
  </si>
  <si>
    <t>TLECCONV,TLCCONV</t>
  </si>
  <si>
    <t>TLEFCONV,TLFCONV</t>
  </si>
  <si>
    <t>TLELSCONV,TLLSCONV</t>
  </si>
  <si>
    <t>UC_S_TLCCONV</t>
  </si>
  <si>
    <t>UC_S_TLFCONV</t>
  </si>
  <si>
    <t>UC_S_TLLSCONV</t>
  </si>
  <si>
    <t>UC_S_TLMCCONV</t>
  </si>
  <si>
    <t>UC_S_TLPCONV</t>
  </si>
  <si>
    <t>UC_S_TLSSCONV</t>
  </si>
  <si>
    <t>UC_S_TLTCOCONV</t>
  </si>
  <si>
    <t>UC_S_TLVCONV</t>
  </si>
  <si>
    <t>TLEMCCONV,TLMCCONV</t>
  </si>
  <si>
    <t>TLEPCONV,TLPCONV</t>
  </si>
  <si>
    <t>TLESSCONV,TLSSCONV</t>
  </si>
  <si>
    <t>TLETCOCONV,TLTCOCONV</t>
  </si>
  <si>
    <t>TLEVCONV,TLVCONV</t>
  </si>
  <si>
    <t>TLECDSL,TLCDSL</t>
  </si>
  <si>
    <t>TLEFDSL,TLFDSL</t>
  </si>
  <si>
    <t>TLETCODSL,TLTCODSL</t>
  </si>
  <si>
    <t>TLEPDSL,TLPDSL</t>
  </si>
  <si>
    <t>TLELSDSL,TLLSDSL</t>
  </si>
  <si>
    <t>TLESSDSL,TLSSDSL</t>
  </si>
  <si>
    <t>TLEVDSL,TLVDSL</t>
  </si>
  <si>
    <t>UC_S_TLCDSL</t>
  </si>
  <si>
    <t>UC_S_TLFDSL</t>
  </si>
  <si>
    <t>UC_S_TLTCODSL</t>
  </si>
  <si>
    <t>UC_S_TLPDSL</t>
  </si>
  <si>
    <t>UC_S_TLLSDSL</t>
  </si>
  <si>
    <t>UC_S_TLSSDSL</t>
  </si>
  <si>
    <t>UC_S_TLVDSL</t>
  </si>
  <si>
    <t>TLEFETHX,TLFETHX</t>
  </si>
  <si>
    <t>TLELSETHX,TLLSETHX</t>
  </si>
  <si>
    <t>TLEPETHX,TLPETHX</t>
  </si>
  <si>
    <t>TLESSETHX,TLSSETHX</t>
  </si>
  <si>
    <t>TLETCOETHX,TLTCOETHX</t>
  </si>
  <si>
    <t>TLEVETHX,TLVETHX</t>
  </si>
  <si>
    <t>UC_S_TLVETHX</t>
  </si>
  <si>
    <t>UC_S_TLCETHX</t>
  </si>
  <si>
    <t>UC_S_TLFETHX</t>
  </si>
  <si>
    <t>UC_S_TLLSETHX</t>
  </si>
  <si>
    <t>UC_S_TLPETHX</t>
  </si>
  <si>
    <t>UC_S_TLSSETHX</t>
  </si>
  <si>
    <t>UC_S_TLTCOETHX</t>
  </si>
  <si>
    <t>TLECELC100,TLCELC100,TLCELC200,TLCELC300</t>
  </si>
  <si>
    <t>TLESSELC100,TLSSELC100,TLSSELC200,TLSSELC300</t>
  </si>
  <si>
    <t>UC_S_TLCELC</t>
  </si>
  <si>
    <t>UC_S_TLSSELC</t>
  </si>
  <si>
    <t>TLEPCNGX,TLEPNG,TLPCNGX,TLPCNG</t>
  </si>
  <si>
    <t>TLEFCNGX,TLEFNG,TLFCNGX,TLFCNG</t>
  </si>
  <si>
    <t>TLECCNGX,TLECNG,TLCCNGX,TLCCNG</t>
  </si>
  <si>
    <t>TLEVCNGX,TLEVNG,TLVCNGX,TLVCNG</t>
  </si>
  <si>
    <t>UC_S_TLCCNG</t>
  </si>
  <si>
    <t>UC_S_TLFCNG</t>
  </si>
  <si>
    <t>UC_S_TLPCNG</t>
  </si>
  <si>
    <t>UC_S_TLVCNG</t>
  </si>
  <si>
    <t>TLECHEV,TLCHEV</t>
  </si>
  <si>
    <t>TLEFHEV,TLFHEV</t>
  </si>
  <si>
    <t>TLETCOHEV,TLTCOHEV</t>
  </si>
  <si>
    <t>TLEVHEV,TLVHEV</t>
  </si>
  <si>
    <t>UC_S_TLCHEV</t>
  </si>
  <si>
    <t>UC_S_TLFHEV</t>
  </si>
  <si>
    <t>UC_S_TLTCOHEV</t>
  </si>
  <si>
    <t>UC_S_TLLSHEV</t>
  </si>
  <si>
    <t>UC_S_TLVHEV</t>
  </si>
  <si>
    <t>TLECLPGX,TLCLPGX</t>
  </si>
  <si>
    <t>TLEFLPGX,TLFLPGX</t>
  </si>
  <si>
    <t>TLEPLPGX,TLPLPGX,TLEPLPG,TLPLPG</t>
  </si>
  <si>
    <t>TLEVLPGX,TLVLPGX,TLVLPG,TLVLPGX</t>
  </si>
  <si>
    <t>UC_S_TLCLPG</t>
  </si>
  <si>
    <t>UC_S_TLFLPG</t>
  </si>
  <si>
    <t>UC_S_TLPLPG</t>
  </si>
  <si>
    <t>UC_S_TLVLPG</t>
  </si>
  <si>
    <t>TLELSHEV,TLLSHEV</t>
  </si>
  <si>
    <t>TLECETHX, TLCETHX</t>
  </si>
  <si>
    <t>UC_S_TLCCO</t>
  </si>
  <si>
    <t>UC_S_TLP</t>
  </si>
  <si>
    <t>UC_S_TLV</t>
  </si>
  <si>
    <t>UC_S_TLSS</t>
  </si>
  <si>
    <t>UC_S_TLLS</t>
  </si>
  <si>
    <t>UC_S_TLTCO</t>
  </si>
  <si>
    <t>MMBTU/gallon (gasoline)</t>
  </si>
  <si>
    <t>(AEO Tables H1 and H2)</t>
  </si>
  <si>
    <t>PJ per MMBTU</t>
  </si>
  <si>
    <t>(AEO Table H2)</t>
  </si>
  <si>
    <t>ref2020.d112119a</t>
  </si>
  <si>
    <t>Annual Energy Outlook 2020</t>
  </si>
  <si>
    <t>ref2020</t>
  </si>
  <si>
    <t>d112119a</t>
  </si>
  <si>
    <t>MPG000</t>
  </si>
  <si>
    <t>40. Light-Duty Vehicle Miles per Gallon by Technology Type</t>
  </si>
  <si>
    <t>(miles per gallon gasoline equivalent)</t>
  </si>
  <si>
    <t>New Car Miles per Gallon 1/</t>
  </si>
  <si>
    <t>MPG000:ba_GasolineICEVe</t>
  </si>
  <si>
    <t xml:space="preserve">   Gasoline ICE Vehicles</t>
  </si>
  <si>
    <t>MPG000:ba_TDIDieselICE</t>
  </si>
  <si>
    <t xml:space="preserve">   TDI Diesel ICE</t>
  </si>
  <si>
    <t xml:space="preserve"> Alternative-Fuel Cars</t>
  </si>
  <si>
    <t>MPG000:ca_Ethanol-FlexF</t>
  </si>
  <si>
    <t xml:space="preserve">   Ethanol-Flex Fuel ICE</t>
  </si>
  <si>
    <t>MPG000:ca_100mileEV</t>
  </si>
  <si>
    <t xml:space="preserve">   100 Mile Electric Vehicle</t>
  </si>
  <si>
    <t>MPG000:ca_ElectricVehic</t>
  </si>
  <si>
    <t xml:space="preserve">   200 Mile Electric Vehicle</t>
  </si>
  <si>
    <t>MPG000:ea_FuelCellGasol</t>
  </si>
  <si>
    <t xml:space="preserve">   300 Mile Electric Vehicle</t>
  </si>
  <si>
    <t>MPG000:ca_Plug-inGasoli</t>
  </si>
  <si>
    <t xml:space="preserve">   Plug-in 10 Gasoline Hybrid</t>
  </si>
  <si>
    <t>MPG000:ca_Plug-in40Hybd</t>
  </si>
  <si>
    <t xml:space="preserve">   Plug-in 40 Gasoline Hybrid</t>
  </si>
  <si>
    <t>MPG000:ca_Electric-Dies</t>
  </si>
  <si>
    <t xml:space="preserve">   Electric-Diesel Hybrid</t>
  </si>
  <si>
    <t>MPG000:ca_Electric-Gaso</t>
  </si>
  <si>
    <t xml:space="preserve">   Electric-Gasoline Hybrid</t>
  </si>
  <si>
    <t>MPG000:ca_CompressedNat</t>
  </si>
  <si>
    <t xml:space="preserve">   Natural Gas ICE</t>
  </si>
  <si>
    <t>MPG000:da_CompressedNat</t>
  </si>
  <si>
    <t xml:space="preserve">   Natural Gas Bi-fuel</t>
  </si>
  <si>
    <t>MPG000:da_LiquefiedPetr</t>
  </si>
  <si>
    <t xml:space="preserve">   Propane ICE</t>
  </si>
  <si>
    <t>MPG000:ea_LiquefiedPetr</t>
  </si>
  <si>
    <t xml:space="preserve">   Propane Bi-fuel</t>
  </si>
  <si>
    <t>MPG000:ea_FuelCellMetha</t>
  </si>
  <si>
    <t xml:space="preserve">   Fuel Cell Methanol</t>
  </si>
  <si>
    <t>MPG000:ea_FuelCellHydro</t>
  </si>
  <si>
    <t xml:space="preserve">   Fuel Cell Hydrogen</t>
  </si>
  <si>
    <t>MPG000:fa_TotalNewCarSa</t>
  </si>
  <si>
    <t xml:space="preserve"> Average New Cars Miles per Gallon</t>
  </si>
  <si>
    <t>New Light Truck Miles per Gallon 1/</t>
  </si>
  <si>
    <t>MPG000:ga_GasolineICEVe</t>
  </si>
  <si>
    <t>MPG000:ga_TDIDieselICE</t>
  </si>
  <si>
    <t xml:space="preserve"> Alternative-Fuel Light Trucks</t>
  </si>
  <si>
    <t>MPG000:ha_Ethanol-FlexF</t>
  </si>
  <si>
    <t>MPG000:ha_100mileEV</t>
  </si>
  <si>
    <t>MPG000:ha_ElectricVehic</t>
  </si>
  <si>
    <t>MPG000:ja_FuelCellGasol</t>
  </si>
  <si>
    <t>MPG000:ha_Plug-inGasoli</t>
  </si>
  <si>
    <t>MPG000:ha_Plug-in40Hybd</t>
  </si>
  <si>
    <t>MPG000:ha_Electric-Dies</t>
  </si>
  <si>
    <t>MPG000:ha_Electric-Gaso</t>
  </si>
  <si>
    <t>MPG000:ha_CompressedNat</t>
  </si>
  <si>
    <t>MPG000:ia_CompressedNat</t>
  </si>
  <si>
    <t>MPG000:ia_LiquefiedPetr</t>
  </si>
  <si>
    <t>MPG000:ja_LiquefiedPetr</t>
  </si>
  <si>
    <t>MPG000:ja_FuelCellMetha</t>
  </si>
  <si>
    <t>MPG000:ja_FuelCellHydro</t>
  </si>
  <si>
    <t>MPG000:ka_TotalNewTruck</t>
  </si>
  <si>
    <t xml:space="preserve"> Average Light Truck Miles per Gallon</t>
  </si>
  <si>
    <t>MPG000:na_AverageNewTru</t>
  </si>
  <si>
    <t>Average New Vehicle Miles per Gallon</t>
  </si>
  <si>
    <t>MPG000:oa_FleetAverageS</t>
  </si>
  <si>
    <t>Average Car Stock Miles per Gallon 2/</t>
  </si>
  <si>
    <t>MPG000:pa_FleetAverageS</t>
  </si>
  <si>
    <t>Average Light Truck Stock Miles per Gallon 2/</t>
  </si>
  <si>
    <t>MPG000:qa_FleetAverageS</t>
  </si>
  <si>
    <t>Average Vehicle Stock Miles per Gallon 2/</t>
  </si>
  <si>
    <t>MPG000:allallnew</t>
  </si>
  <si>
    <t>Average New Vehicle Stock Miles per Gallon 2/</t>
  </si>
  <si>
    <t>MPG000:allallstock</t>
  </si>
  <si>
    <t xml:space="preserve">   1/ Fuel efficiencies are rated by the U.S. Environmental Protection Agency.  Includes personal and fleet vehicles.</t>
  </si>
  <si>
    <t xml:space="preserve">   2/ Stock values are on-road efficiencies.  Includes personal vehicles and fleet vehicles.</t>
  </si>
  <si>
    <t xml:space="preserve">   MPG = Miles per gallon.</t>
  </si>
  <si>
    <t xml:space="preserve">   ICE = Internal combustion engine.</t>
  </si>
  <si>
    <t xml:space="preserve">   Sources:  2019 and projections:  U.S. Energy Information Administration, AEO2020 National Energy Modeling System run ref2020.d112119a.</t>
  </si>
  <si>
    <t>AEO data - total fleet</t>
  </si>
  <si>
    <t>AEO data - new vehicles</t>
  </si>
  <si>
    <t>SAFE standard</t>
  </si>
  <si>
    <t>* Total DMDS from LDV workbook</t>
  </si>
  <si>
    <t>TLC*,TLEC*,-TLCCO*</t>
  </si>
  <si>
    <t>TLEM</t>
  </si>
  <si>
    <t>TLM</t>
  </si>
  <si>
    <t>TLEC</t>
  </si>
  <si>
    <t>TLC</t>
  </si>
  <si>
    <t>TLEF</t>
  </si>
  <si>
    <t>TLF</t>
  </si>
  <si>
    <t>TLECCO</t>
  </si>
  <si>
    <t>TLCCO</t>
  </si>
  <si>
    <t>TLEP</t>
  </si>
  <si>
    <t>TLP</t>
  </si>
  <si>
    <t>TLEV</t>
  </si>
  <si>
    <t>TLV</t>
  </si>
  <si>
    <t>TLES</t>
  </si>
  <si>
    <t>TLS</t>
  </si>
  <si>
    <t>TLEL</t>
  </si>
  <si>
    <t>TLL</t>
  </si>
  <si>
    <t>TLET</t>
  </si>
  <si>
    <t>TLT</t>
  </si>
  <si>
    <t>minicompact</t>
  </si>
  <si>
    <t>compacct</t>
  </si>
  <si>
    <t>full</t>
  </si>
  <si>
    <t>cco</t>
  </si>
  <si>
    <t>tco</t>
  </si>
  <si>
    <t>pickup</t>
  </si>
  <si>
    <t>van</t>
  </si>
  <si>
    <t>small suv</t>
  </si>
  <si>
    <t>large suv</t>
  </si>
  <si>
    <t>compact</t>
  </si>
  <si>
    <t>9rT_Ref_V1_1_1201_0212</t>
  </si>
  <si>
    <t>TLFCNGX</t>
  </si>
  <si>
    <t>TLPCNGX</t>
  </si>
  <si>
    <t>TLVCNGX</t>
  </si>
  <si>
    <t>TLCDSL</t>
  </si>
  <si>
    <t>TLTCODSL</t>
  </si>
  <si>
    <t>TLCETHX</t>
  </si>
  <si>
    <t>TLSSETHX</t>
  </si>
  <si>
    <t>TLVETHX</t>
  </si>
  <si>
    <t>TLMCELC100</t>
  </si>
  <si>
    <t>TLPELC200</t>
  </si>
  <si>
    <t>TLCHEV</t>
  </si>
  <si>
    <t>TLLSHEV</t>
  </si>
  <si>
    <t>TLTCOHEV</t>
  </si>
  <si>
    <t>TLCLPGX</t>
  </si>
  <si>
    <t>TLPLPGX</t>
  </si>
  <si>
    <t>TLVLPGX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</si>
</sst>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%"/>
    <numFmt numFmtId="167" formatCode="0.0000"/>
    <numFmt numFmtId="168" formatCode="#.00"/>
    <numFmt numFmtId="169" formatCode="#."/>
    <numFmt numFmtId="170" formatCode="m\o\n\th\ d\,\ yyyy"/>
    <numFmt numFmtId="171" formatCode="_([$€-2]* #,##0.00_);_([$€-2]* \(#,##0.00\);_([$€-2]* &quot;-&quot;??_)"/>
    <numFmt numFmtId="172" formatCode="#,##0.0"/>
    <numFmt numFmtId="173" formatCode="0.000%"/>
    <numFmt numFmtId="174" formatCode="0.000000"/>
    <numFmt numFmtId="175" formatCode="0.000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Arial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sz val="8"/>
      <color rgb="FFFF0000"/>
      <name val="Arial"/>
      <family val="2"/>
    </font>
    <font>
      <sz val="10"/>
      <color theme="4"/>
      <name val="Arial"/>
      <family val="2"/>
    </font>
    <font>
      <sz val="9"/>
      <name val="Calibri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7.8"/>
      <color rgb="FF000000"/>
      <name val="MS Sans Serif"/>
    </font>
    <font>
      <sz val="10"/>
      <color indexed="8"/>
      <name val="Arial"/>
      <family val="2"/>
    </font>
    <font>
      <i/>
      <sz val="10"/>
      <name val="Arial"/>
      <family val="2"/>
    </font>
    <font>
      <sz val="9"/>
      <color rgb="FFFF0000"/>
      <name val="Calibri"/>
      <family val="2"/>
    </font>
    <font>
      <sz val="8"/>
      <color rgb="FFFF0000"/>
      <name val="Calibri"/>
      <family val="2"/>
      <scheme val="minor"/>
    </font>
    <font>
      <sz val="10"/>
      <color rgb="FFFF0000"/>
      <name val="Arial"/>
    </font>
    <font>
      <sz val="9"/>
      <color rgb="FFFF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</borders>
  <cellStyleXfs count="207">
    <xf numFmtId="0" fontId="0" fillId="0" borderId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14" fillId="2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14" fillId="3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14" fillId="4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4" fillId="5" borderId="0" applyNumberFormat="0" applyBorder="0" applyAlignment="0" applyProtection="0"/>
    <xf numFmtId="0" fontId="36" fillId="29" borderId="0" applyNumberFormat="0" applyBorder="0" applyAlignment="0" applyProtection="0"/>
    <xf numFmtId="0" fontId="36" fillId="29" borderId="0" applyNumberFormat="0" applyBorder="0" applyAlignment="0" applyProtection="0"/>
    <xf numFmtId="0" fontId="14" fillId="6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14" fillId="7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4" fillId="8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14" fillId="9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4" fillId="10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4" fillId="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4" fillId="8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4" fillId="11" borderId="0" applyNumberFormat="0" applyBorder="0" applyAlignment="0" applyProtection="0"/>
    <xf numFmtId="0" fontId="37" fillId="37" borderId="0" applyNumberFormat="0" applyBorder="0" applyAlignment="0" applyProtection="0"/>
    <xf numFmtId="0" fontId="15" fillId="12" borderId="0" applyNumberFormat="0" applyBorder="0" applyAlignment="0" applyProtection="0"/>
    <xf numFmtId="0" fontId="37" fillId="38" borderId="0" applyNumberFormat="0" applyBorder="0" applyAlignment="0" applyProtection="0"/>
    <xf numFmtId="0" fontId="15" fillId="9" borderId="0" applyNumberFormat="0" applyBorder="0" applyAlignment="0" applyProtection="0"/>
    <xf numFmtId="0" fontId="37" fillId="39" borderId="0" applyNumberFormat="0" applyBorder="0" applyAlignment="0" applyProtection="0"/>
    <xf numFmtId="0" fontId="15" fillId="10" borderId="0" applyNumberFormat="0" applyBorder="0" applyAlignment="0" applyProtection="0"/>
    <xf numFmtId="0" fontId="37" fillId="40" borderId="0" applyNumberFormat="0" applyBorder="0" applyAlignment="0" applyProtection="0"/>
    <xf numFmtId="0" fontId="15" fillId="13" borderId="0" applyNumberFormat="0" applyBorder="0" applyAlignment="0" applyProtection="0"/>
    <xf numFmtId="0" fontId="37" fillId="41" borderId="0" applyNumberFormat="0" applyBorder="0" applyAlignment="0" applyProtection="0"/>
    <xf numFmtId="0" fontId="15" fillId="14" borderId="0" applyNumberFormat="0" applyBorder="0" applyAlignment="0" applyProtection="0"/>
    <xf numFmtId="0" fontId="37" fillId="42" borderId="0" applyNumberFormat="0" applyBorder="0" applyAlignment="0" applyProtection="0"/>
    <xf numFmtId="0" fontId="15" fillId="15" borderId="0" applyNumberFormat="0" applyBorder="0" applyAlignment="0" applyProtection="0"/>
    <xf numFmtId="0" fontId="37" fillId="43" borderId="0" applyNumberFormat="0" applyBorder="0" applyAlignment="0" applyProtection="0"/>
    <xf numFmtId="0" fontId="15" fillId="16" borderId="0" applyNumberFormat="0" applyBorder="0" applyAlignment="0" applyProtection="0"/>
    <xf numFmtId="0" fontId="37" fillId="44" borderId="0" applyNumberFormat="0" applyBorder="0" applyAlignment="0" applyProtection="0"/>
    <xf numFmtId="0" fontId="15" fillId="17" borderId="0" applyNumberFormat="0" applyBorder="0" applyAlignment="0" applyProtection="0"/>
    <xf numFmtId="0" fontId="37" fillId="45" borderId="0" applyNumberFormat="0" applyBorder="0" applyAlignment="0" applyProtection="0"/>
    <xf numFmtId="0" fontId="15" fillId="18" borderId="0" applyNumberFormat="0" applyBorder="0" applyAlignment="0" applyProtection="0"/>
    <xf numFmtId="0" fontId="37" fillId="46" borderId="0" applyNumberFormat="0" applyBorder="0" applyAlignment="0" applyProtection="0"/>
    <xf numFmtId="0" fontId="15" fillId="13" borderId="0" applyNumberFormat="0" applyBorder="0" applyAlignment="0" applyProtection="0"/>
    <xf numFmtId="0" fontId="37" fillId="47" borderId="0" applyNumberFormat="0" applyBorder="0" applyAlignment="0" applyProtection="0"/>
    <xf numFmtId="0" fontId="15" fillId="14" borderId="0" applyNumberFormat="0" applyBorder="0" applyAlignment="0" applyProtection="0"/>
    <xf numFmtId="0" fontId="37" fillId="48" borderId="0" applyNumberFormat="0" applyBorder="0" applyAlignment="0" applyProtection="0"/>
    <xf numFmtId="0" fontId="15" fillId="19" borderId="0" applyNumberFormat="0" applyBorder="0" applyAlignment="0" applyProtection="0"/>
    <xf numFmtId="0" fontId="38" fillId="49" borderId="0" applyNumberFormat="0" applyBorder="0" applyAlignment="0" applyProtection="0"/>
    <xf numFmtId="0" fontId="16" fillId="3" borderId="0" applyNumberFormat="0" applyBorder="0" applyAlignment="0" applyProtection="0"/>
    <xf numFmtId="0" fontId="39" fillId="50" borderId="13" applyNumberFormat="0" applyAlignment="0" applyProtection="0"/>
    <xf numFmtId="0" fontId="17" fillId="20" borderId="1" applyNumberFormat="0" applyAlignment="0" applyProtection="0"/>
    <xf numFmtId="0" fontId="40" fillId="51" borderId="14" applyNumberFormat="0" applyAlignment="0" applyProtection="0"/>
    <xf numFmtId="0" fontId="18" fillId="21" borderId="2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3" fontId="31" fillId="0" borderId="3" applyAlignment="0">
      <alignment horizontal="right" vertical="center"/>
    </xf>
    <xf numFmtId="170" fontId="11" fillId="0" borderId="0">
      <protection locked="0"/>
    </xf>
    <xf numFmtId="171" fontId="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11" fillId="0" borderId="0">
      <protection locked="0"/>
    </xf>
    <xf numFmtId="0" fontId="42" fillId="52" borderId="0" applyNumberFormat="0" applyBorder="0" applyAlignment="0" applyProtection="0"/>
    <xf numFmtId="0" fontId="20" fillId="4" borderId="0" applyNumberFormat="0" applyBorder="0" applyAlignment="0" applyProtection="0"/>
    <xf numFmtId="0" fontId="42" fillId="52" borderId="0" applyNumberFormat="0" applyBorder="0" applyAlignment="0" applyProtection="0"/>
    <xf numFmtId="0" fontId="43" fillId="0" borderId="15" applyNumberFormat="0" applyFill="0" applyAlignment="0" applyProtection="0"/>
    <xf numFmtId="0" fontId="21" fillId="0" borderId="4" applyNumberFormat="0" applyFill="0" applyAlignment="0" applyProtection="0"/>
    <xf numFmtId="0" fontId="44" fillId="0" borderId="16" applyNumberFormat="0" applyFill="0" applyAlignment="0" applyProtection="0"/>
    <xf numFmtId="0" fontId="22" fillId="0" borderId="5" applyNumberFormat="0" applyFill="0" applyAlignment="0" applyProtection="0"/>
    <xf numFmtId="0" fontId="45" fillId="0" borderId="17" applyNumberFormat="0" applyFill="0" applyAlignment="0" applyProtection="0"/>
    <xf numFmtId="0" fontId="23" fillId="0" borderId="6" applyNumberFormat="0" applyFill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2" fillId="0" borderId="0">
      <protection locked="0"/>
    </xf>
    <xf numFmtId="169" fontId="12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53" borderId="13" applyNumberFormat="0" applyAlignment="0" applyProtection="0"/>
    <xf numFmtId="0" fontId="24" fillId="7" borderId="1" applyNumberFormat="0" applyAlignment="0" applyProtection="0"/>
    <xf numFmtId="0" fontId="49" fillId="0" borderId="18" applyNumberFormat="0" applyFill="0" applyAlignment="0" applyProtection="0"/>
    <xf numFmtId="0" fontId="25" fillId="0" borderId="7" applyNumberFormat="0" applyFill="0" applyAlignment="0" applyProtection="0"/>
    <xf numFmtId="0" fontId="50" fillId="54" borderId="0" applyNumberFormat="0" applyBorder="0" applyAlignment="0" applyProtection="0"/>
    <xf numFmtId="0" fontId="26" fillId="22" borderId="0" applyNumberFormat="0" applyBorder="0" applyAlignment="0" applyProtection="0"/>
    <xf numFmtId="0" fontId="3" fillId="0" borderId="0"/>
    <xf numFmtId="0" fontId="3" fillId="0" borderId="0"/>
    <xf numFmtId="0" fontId="3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1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6" fillId="0" borderId="0"/>
    <xf numFmtId="0" fontId="51" fillId="0" borderId="0"/>
    <xf numFmtId="0" fontId="10" fillId="0" borderId="0"/>
    <xf numFmtId="0" fontId="36" fillId="55" borderId="19" applyNumberFormat="0" applyFont="0" applyAlignment="0" applyProtection="0"/>
    <xf numFmtId="0" fontId="14" fillId="23" borderId="8" applyNumberFormat="0" applyFont="0" applyAlignment="0" applyProtection="0"/>
    <xf numFmtId="0" fontId="3" fillId="23" borderId="8" applyNumberFormat="0" applyFont="0" applyAlignment="0" applyProtection="0"/>
    <xf numFmtId="0" fontId="36" fillId="55" borderId="19" applyNumberFormat="0" applyFont="0" applyAlignment="0" applyProtection="0"/>
    <xf numFmtId="0" fontId="52" fillId="50" borderId="20" applyNumberFormat="0" applyAlignment="0" applyProtection="0"/>
    <xf numFmtId="0" fontId="27" fillId="20" borderId="9" applyNumberForma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3" fillId="0" borderId="0">
      <alignment horizontal="right"/>
    </xf>
    <xf numFmtId="0" fontId="32" fillId="0" borderId="0">
      <alignment horizontal="left"/>
    </xf>
    <xf numFmtId="0" fontId="3" fillId="0" borderId="0"/>
    <xf numFmtId="0" fontId="5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4" fillId="0" borderId="0">
      <alignment horizontal="left"/>
    </xf>
    <xf numFmtId="0" fontId="54" fillId="0" borderId="21" applyNumberFormat="0" applyFill="0" applyAlignment="0" applyProtection="0"/>
    <xf numFmtId="169" fontId="11" fillId="0" borderId="11">
      <protection locked="0"/>
    </xf>
    <xf numFmtId="0" fontId="29" fillId="0" borderId="10" applyNumberFormat="0" applyFill="0" applyAlignment="0" applyProtection="0"/>
    <xf numFmtId="0" fontId="5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8" fillId="0" borderId="22" applyNumberFormat="0" applyFont="0" applyProtection="0">
      <alignment wrapText="1"/>
    </xf>
    <xf numFmtId="0" fontId="58" fillId="0" borderId="23" applyNumberFormat="0" applyProtection="0">
      <alignment wrapText="1"/>
    </xf>
    <xf numFmtId="0" fontId="65" fillId="0" borderId="0" applyNumberFormat="0" applyProtection="0">
      <alignment horizontal="left"/>
    </xf>
    <xf numFmtId="0" fontId="67" fillId="0" borderId="0" applyNumberFormat="0" applyFill="0" applyBorder="0" applyAlignment="0" applyProtection="0"/>
    <xf numFmtId="0" fontId="64" fillId="0" borderId="15" applyNumberFormat="0" applyProtection="0">
      <alignment wrapText="1"/>
    </xf>
    <xf numFmtId="0" fontId="64" fillId="0" borderId="25" applyNumberFormat="0" applyProtection="0">
      <alignment wrapText="1"/>
    </xf>
    <xf numFmtId="0" fontId="2" fillId="0" borderId="0"/>
    <xf numFmtId="9" fontId="70" fillId="0" borderId="0" applyFont="0" applyFill="0" applyBorder="0" applyAlignment="0" applyProtection="0"/>
  </cellStyleXfs>
  <cellXfs count="91">
    <xf numFmtId="0" fontId="0" fillId="0" borderId="0" xfId="0"/>
    <xf numFmtId="0" fontId="54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  <xf numFmtId="0" fontId="5" fillId="0" borderId="0" xfId="0" applyFont="1"/>
    <xf numFmtId="0" fontId="0" fillId="56" borderId="0" xfId="0" applyFill="1"/>
    <xf numFmtId="0" fontId="0" fillId="57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3" fillId="24" borderId="12" xfId="0" applyFont="1" applyFill="1" applyBorder="1"/>
    <xf numFmtId="0" fontId="42" fillId="0" borderId="0" xfId="86" applyFill="1"/>
    <xf numFmtId="9" fontId="42" fillId="0" borderId="0" xfId="86" applyNumberFormat="1" applyFill="1"/>
    <xf numFmtId="0" fontId="57" fillId="0" borderId="0" xfId="0" applyFont="1"/>
    <xf numFmtId="0" fontId="4" fillId="0" borderId="0" xfId="0" applyFont="1" applyAlignment="1">
      <alignment horizontal="center"/>
    </xf>
    <xf numFmtId="2" fontId="3" fillId="0" borderId="0" xfId="0" applyNumberFormat="1" applyFont="1"/>
    <xf numFmtId="2" fontId="59" fillId="0" borderId="22" xfId="199" applyNumberFormat="1" applyFont="1" applyAlignment="1">
      <alignment horizontal="right" wrapText="1"/>
    </xf>
    <xf numFmtId="2" fontId="3" fillId="0" borderId="22" xfId="199" applyNumberFormat="1" applyFont="1" applyAlignment="1">
      <alignment horizontal="right" wrapText="1"/>
    </xf>
    <xf numFmtId="0" fontId="60" fillId="0" borderId="0" xfId="0" applyFont="1"/>
    <xf numFmtId="2" fontId="56" fillId="0" borderId="0" xfId="0" applyNumberFormat="1" applyFont="1"/>
    <xf numFmtId="2" fontId="61" fillId="0" borderId="22" xfId="199" applyNumberFormat="1" applyFont="1" applyAlignment="1">
      <alignment horizontal="right" wrapText="1"/>
    </xf>
    <xf numFmtId="2" fontId="56" fillId="0" borderId="22" xfId="199" applyNumberFormat="1" applyFont="1" applyAlignment="1">
      <alignment horizontal="right" wrapText="1"/>
    </xf>
    <xf numFmtId="0" fontId="5" fillId="0" borderId="22" xfId="199" applyFont="1">
      <alignment wrapText="1"/>
    </xf>
    <xf numFmtId="2" fontId="59" fillId="0" borderId="0" xfId="121" applyNumberFormat="1" applyFont="1"/>
    <xf numFmtId="172" fontId="0" fillId="0" borderId="22" xfId="199" applyNumberFormat="1" applyFont="1" applyAlignment="1">
      <alignment horizontal="right" wrapText="1"/>
    </xf>
    <xf numFmtId="172" fontId="56" fillId="0" borderId="22" xfId="199" applyNumberFormat="1" applyFont="1" applyAlignment="1">
      <alignment horizontal="right" wrapText="1"/>
    </xf>
    <xf numFmtId="2" fontId="5" fillId="0" borderId="0" xfId="0" applyNumberFormat="1" applyFont="1"/>
    <xf numFmtId="0" fontId="62" fillId="0" borderId="0" xfId="0" applyFont="1"/>
    <xf numFmtId="0" fontId="35" fillId="0" borderId="0" xfId="0" applyFont="1"/>
    <xf numFmtId="0" fontId="64" fillId="0" borderId="0" xfId="0" applyFont="1"/>
    <xf numFmtId="0" fontId="35" fillId="56" borderId="0" xfId="0" applyFont="1" applyFill="1"/>
    <xf numFmtId="0" fontId="35" fillId="57" borderId="0" xfId="0" applyFont="1" applyFill="1"/>
    <xf numFmtId="0" fontId="35" fillId="0" borderId="0" xfId="0" applyFont="1" applyFill="1"/>
    <xf numFmtId="167" fontId="35" fillId="0" borderId="0" xfId="0" applyNumberFormat="1" applyFont="1" applyAlignment="1">
      <alignment horizontal="center"/>
    </xf>
    <xf numFmtId="11" fontId="35" fillId="0" borderId="0" xfId="0" applyNumberFormat="1" applyFont="1"/>
    <xf numFmtId="167" fontId="0" fillId="0" borderId="0" xfId="0" applyNumberFormat="1"/>
    <xf numFmtId="167" fontId="5" fillId="0" borderId="0" xfId="0" applyNumberFormat="1" applyFont="1"/>
    <xf numFmtId="0" fontId="66" fillId="0" borderId="0" xfId="201" applyFont="1">
      <alignment horizontal="left"/>
    </xf>
    <xf numFmtId="0" fontId="58" fillId="0" borderId="0" xfId="202" applyFont="1"/>
    <xf numFmtId="0" fontId="68" fillId="0" borderId="24" xfId="203" applyFont="1" applyBorder="1">
      <alignment wrapText="1"/>
    </xf>
    <xf numFmtId="0" fontId="68" fillId="0" borderId="26" xfId="204" applyFont="1" applyBorder="1">
      <alignment wrapText="1"/>
    </xf>
    <xf numFmtId="0" fontId="0" fillId="0" borderId="22" xfId="199" applyFont="1">
      <alignment wrapText="1"/>
    </xf>
    <xf numFmtId="0" fontId="0" fillId="0" borderId="0" xfId="0" applyAlignment="1">
      <alignment horizontal="left"/>
    </xf>
    <xf numFmtId="0" fontId="68" fillId="0" borderId="0" xfId="204" applyFont="1" applyBorder="1">
      <alignment wrapText="1"/>
    </xf>
    <xf numFmtId="165" fontId="0" fillId="0" borderId="0" xfId="0" applyNumberFormat="1"/>
    <xf numFmtId="0" fontId="68" fillId="0" borderId="0" xfId="203" applyFont="1" applyFill="1" applyBorder="1">
      <alignment wrapText="1"/>
    </xf>
    <xf numFmtId="0" fontId="69" fillId="0" borderId="0" xfId="205" applyFont="1"/>
    <xf numFmtId="11" fontId="5" fillId="0" borderId="0" xfId="0" applyNumberFormat="1" applyFont="1"/>
    <xf numFmtId="167" fontId="0" fillId="0" borderId="0" xfId="0" applyNumberFormat="1" applyAlignment="1">
      <alignment horizontal="center"/>
    </xf>
    <xf numFmtId="11" fontId="0" fillId="0" borderId="0" xfId="0" applyNumberFormat="1"/>
    <xf numFmtId="0" fontId="71" fillId="0" borderId="0" xfId="0" applyFont="1"/>
    <xf numFmtId="0" fontId="3" fillId="58" borderId="0" xfId="0" applyFont="1" applyFill="1"/>
    <xf numFmtId="166" fontId="0" fillId="0" borderId="0" xfId="206" applyNumberFormat="1" applyFont="1"/>
    <xf numFmtId="173" fontId="0" fillId="0" borderId="0" xfId="206" applyNumberFormat="1" applyFont="1"/>
    <xf numFmtId="173" fontId="0" fillId="0" borderId="0" xfId="0" applyNumberFormat="1"/>
    <xf numFmtId="166" fontId="0" fillId="0" borderId="0" xfId="0" applyNumberFormat="1"/>
    <xf numFmtId="174" fontId="35" fillId="0" borderId="0" xfId="0" applyNumberFormat="1" applyFont="1" applyAlignment="1">
      <alignment horizontal="center"/>
    </xf>
    <xf numFmtId="175" fontId="0" fillId="0" borderId="0" xfId="0" applyNumberFormat="1"/>
    <xf numFmtId="0" fontId="5" fillId="0" borderId="0" xfId="0" applyFont="1" applyAlignment="1">
      <alignment horizontal="right"/>
    </xf>
    <xf numFmtId="0" fontId="72" fillId="0" borderId="0" xfId="0" applyFont="1"/>
    <xf numFmtId="0" fontId="64" fillId="0" borderId="15" xfId="203">
      <alignment wrapText="1"/>
    </xf>
    <xf numFmtId="0" fontId="73" fillId="0" borderId="0" xfId="115" applyFont="1"/>
    <xf numFmtId="0" fontId="4" fillId="0" borderId="0" xfId="115" applyFont="1"/>
    <xf numFmtId="0" fontId="3" fillId="0" borderId="0" xfId="115"/>
    <xf numFmtId="4" fontId="0" fillId="0" borderId="22" xfId="199" applyNumberFormat="1" applyFont="1" applyAlignment="1">
      <alignment horizontal="right" wrapText="1"/>
    </xf>
    <xf numFmtId="2" fontId="3" fillId="0" borderId="0" xfId="115" applyNumberFormat="1"/>
    <xf numFmtId="4" fontId="64" fillId="0" borderId="25" xfId="204" applyNumberFormat="1" applyAlignment="1">
      <alignment horizontal="right" wrapText="1"/>
    </xf>
    <xf numFmtId="2" fontId="4" fillId="0" borderId="0" xfId="115" applyNumberFormat="1" applyFont="1"/>
    <xf numFmtId="2" fontId="74" fillId="0" borderId="0" xfId="0" applyNumberFormat="1" applyFont="1"/>
    <xf numFmtId="166" fontId="74" fillId="0" borderId="0" xfId="206" applyNumberFormat="1" applyFont="1"/>
    <xf numFmtId="4" fontId="0" fillId="0" borderId="0" xfId="0" applyNumberFormat="1"/>
    <xf numFmtId="166" fontId="3" fillId="0" borderId="0" xfId="206" applyNumberFormat="1" applyFont="1"/>
    <xf numFmtId="0" fontId="56" fillId="0" borderId="0" xfId="0" applyFont="1"/>
    <xf numFmtId="0" fontId="1" fillId="0" borderId="0" xfId="113" applyFont="1"/>
    <xf numFmtId="2" fontId="54" fillId="0" borderId="0" xfId="113" applyNumberFormat="1" applyFont="1"/>
    <xf numFmtId="9" fontId="0" fillId="0" borderId="0" xfId="206" applyFont="1"/>
    <xf numFmtId="9" fontId="0" fillId="58" borderId="0" xfId="206" applyFont="1" applyFill="1"/>
    <xf numFmtId="9" fontId="0" fillId="0" borderId="0" xfId="206" applyFont="1" applyFill="1"/>
    <xf numFmtId="166" fontId="0" fillId="59" borderId="0" xfId="0" applyNumberFormat="1" applyFill="1"/>
    <xf numFmtId="166" fontId="0" fillId="0" borderId="0" xfId="0" applyNumberFormat="1" applyFill="1"/>
    <xf numFmtId="0" fontId="75" fillId="0" borderId="0" xfId="205" applyFont="1"/>
    <xf numFmtId="0" fontId="76" fillId="0" borderId="0" xfId="0" applyFont="1"/>
    <xf numFmtId="167" fontId="60" fillId="0" borderId="0" xfId="0" applyNumberFormat="1" applyFont="1" applyAlignment="1">
      <alignment horizontal="center"/>
    </xf>
    <xf numFmtId="11" fontId="60" fillId="0" borderId="0" xfId="0" applyNumberFormat="1" applyFont="1"/>
    <xf numFmtId="167" fontId="77" fillId="0" borderId="0" xfId="0" applyNumberFormat="1" applyFont="1" applyAlignment="1">
      <alignment horizontal="center"/>
    </xf>
    <xf numFmtId="0" fontId="58" fillId="0" borderId="23" xfId="200">
      <alignment wrapText="1"/>
    </xf>
  </cellXfs>
  <cellStyles count="207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9" xr:uid="{818FDDDE-01CB-49BF-989F-39A282FDEFE3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2" xr:uid="{6CA47859-3F53-4A09-AB28-8D2079B142E4}"/>
    <cellStyle name="Footnotes: top row" xfId="200" xr:uid="{271304CF-C137-4834-9083-006FE62FF8F1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3" xr:uid="{0E6934FA-554A-4B53-9E64-1B54015A6134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2" xfId="112" xr:uid="{00000000-0005-0000-0000-000070000000}"/>
    <cellStyle name="Normal 10 3" xfId="205" xr:uid="{0B36B2BB-8AB3-455C-A356-6EAACFCB813F}"/>
    <cellStyle name="Normal 10 5" xfId="113" xr:uid="{00000000-0005-0000-0000-000071000000}"/>
    <cellStyle name="Normal 2" xfId="114" xr:uid="{00000000-0005-0000-0000-000072000000}"/>
    <cellStyle name="Normal 2 2" xfId="115" xr:uid="{00000000-0005-0000-0000-000073000000}"/>
    <cellStyle name="Normal 2 2 2" xfId="116" xr:uid="{00000000-0005-0000-0000-000074000000}"/>
    <cellStyle name="Normal 2 2 3" xfId="117" xr:uid="{00000000-0005-0000-0000-000075000000}"/>
    <cellStyle name="Normal 2 3" xfId="118" xr:uid="{00000000-0005-0000-0000-000076000000}"/>
    <cellStyle name="Normal 2 4" xfId="119" xr:uid="{00000000-0005-0000-0000-000077000000}"/>
    <cellStyle name="Normal 2 4 2" xfId="120" xr:uid="{00000000-0005-0000-0000-000078000000}"/>
    <cellStyle name="Normal 3" xfId="121" xr:uid="{00000000-0005-0000-0000-000079000000}"/>
    <cellStyle name="Normal 3 2" xfId="122" xr:uid="{00000000-0005-0000-0000-00007A000000}"/>
    <cellStyle name="Normal 3 3" xfId="123" xr:uid="{00000000-0005-0000-0000-00007B000000}"/>
    <cellStyle name="Normal 3 4" xfId="124" xr:uid="{00000000-0005-0000-0000-00007C000000}"/>
    <cellStyle name="Normal 3 5" xfId="125" xr:uid="{00000000-0005-0000-0000-00007D000000}"/>
    <cellStyle name="Normal 3 5 2" xfId="126" xr:uid="{00000000-0005-0000-0000-00007E000000}"/>
    <cellStyle name="Normal 3 5 3" xfId="127" xr:uid="{00000000-0005-0000-0000-00007F000000}"/>
    <cellStyle name="Normal 3 5 4" xfId="128" xr:uid="{00000000-0005-0000-0000-000080000000}"/>
    <cellStyle name="Normal 4" xfId="129" xr:uid="{00000000-0005-0000-0000-000081000000}"/>
    <cellStyle name="Normal 4 2" xfId="130" xr:uid="{00000000-0005-0000-0000-000082000000}"/>
    <cellStyle name="Normal 4 3" xfId="131" xr:uid="{00000000-0005-0000-0000-000083000000}"/>
    <cellStyle name="Normal 4 4" xfId="132" xr:uid="{00000000-0005-0000-0000-000084000000}"/>
    <cellStyle name="Normal 5" xfId="133" xr:uid="{00000000-0005-0000-0000-000085000000}"/>
    <cellStyle name="Normal 5 2" xfId="134" xr:uid="{00000000-0005-0000-0000-000086000000}"/>
    <cellStyle name="Normal 5 3" xfId="135" xr:uid="{00000000-0005-0000-0000-000087000000}"/>
    <cellStyle name="Normal 6" xfId="136" xr:uid="{00000000-0005-0000-0000-000088000000}"/>
    <cellStyle name="Normal 6 2" xfId="137" xr:uid="{00000000-0005-0000-0000-000089000000}"/>
    <cellStyle name="Normal 7" xfId="138" xr:uid="{00000000-0005-0000-0000-00008A000000}"/>
    <cellStyle name="Normal 7 2" xfId="139" xr:uid="{00000000-0005-0000-0000-00008B000000}"/>
    <cellStyle name="Normal 7 3" xfId="140" xr:uid="{00000000-0005-0000-0000-00008C000000}"/>
    <cellStyle name="Normal 8" xfId="141" xr:uid="{00000000-0005-0000-0000-00008D000000}"/>
    <cellStyle name="Normal 9" xfId="142" xr:uid="{00000000-0005-0000-0000-00008E000000}"/>
    <cellStyle name="Normale_B2020" xfId="143" xr:uid="{00000000-0005-0000-0000-00008F000000}"/>
    <cellStyle name="Note 2" xfId="144" xr:uid="{00000000-0005-0000-0000-000090000000}"/>
    <cellStyle name="Note 2 2" xfId="145" xr:uid="{00000000-0005-0000-0000-000091000000}"/>
    <cellStyle name="Note 2 3" xfId="146" xr:uid="{00000000-0005-0000-0000-000092000000}"/>
    <cellStyle name="Note 3" xfId="147" xr:uid="{00000000-0005-0000-0000-000093000000}"/>
    <cellStyle name="Output" xfId="148" builtinId="21" customBuiltin="1"/>
    <cellStyle name="Output 2" xfId="149" xr:uid="{00000000-0005-0000-0000-000095000000}"/>
    <cellStyle name="Parent row" xfId="204" xr:uid="{611C26DE-ED16-45D0-99C1-F368B9B75E50}"/>
    <cellStyle name="Percent" xfId="206" builtinId="5"/>
    <cellStyle name="Percent 10" xfId="150" xr:uid="{00000000-0005-0000-0000-000096000000}"/>
    <cellStyle name="Percent 11" xfId="151" xr:uid="{00000000-0005-0000-0000-000097000000}"/>
    <cellStyle name="Percent 12" xfId="152" xr:uid="{00000000-0005-0000-0000-000098000000}"/>
    <cellStyle name="Percent 13" xfId="153" xr:uid="{00000000-0005-0000-0000-000099000000}"/>
    <cellStyle name="Percent 14" xfId="154" xr:uid="{00000000-0005-0000-0000-00009A000000}"/>
    <cellStyle name="Percent 15" xfId="155" xr:uid="{00000000-0005-0000-0000-00009B000000}"/>
    <cellStyle name="Percent 16" xfId="156" xr:uid="{00000000-0005-0000-0000-00009C000000}"/>
    <cellStyle name="Percent 17" xfId="157" xr:uid="{00000000-0005-0000-0000-00009D000000}"/>
    <cellStyle name="Percent 18" xfId="158" xr:uid="{00000000-0005-0000-0000-00009E000000}"/>
    <cellStyle name="Percent 19" xfId="159" xr:uid="{00000000-0005-0000-0000-00009F000000}"/>
    <cellStyle name="Percent 2" xfId="160" xr:uid="{00000000-0005-0000-0000-0000A0000000}"/>
    <cellStyle name="Percent 2 2" xfId="161" xr:uid="{00000000-0005-0000-0000-0000A1000000}"/>
    <cellStyle name="Percent 2 2 2" xfId="162" xr:uid="{00000000-0005-0000-0000-0000A2000000}"/>
    <cellStyle name="Percent 20" xfId="163" xr:uid="{00000000-0005-0000-0000-0000A3000000}"/>
    <cellStyle name="Percent 21" xfId="164" xr:uid="{00000000-0005-0000-0000-0000A4000000}"/>
    <cellStyle name="Percent 22" xfId="165" xr:uid="{00000000-0005-0000-0000-0000A5000000}"/>
    <cellStyle name="Percent 23" xfId="166" xr:uid="{00000000-0005-0000-0000-0000A6000000}"/>
    <cellStyle name="Percent 24" xfId="167" xr:uid="{00000000-0005-0000-0000-0000A7000000}"/>
    <cellStyle name="Percent 25" xfId="168" xr:uid="{00000000-0005-0000-0000-0000A8000000}"/>
    <cellStyle name="Percent 26" xfId="169" xr:uid="{00000000-0005-0000-0000-0000A9000000}"/>
    <cellStyle name="Percent 27" xfId="170" xr:uid="{00000000-0005-0000-0000-0000AA000000}"/>
    <cellStyle name="Percent 28" xfId="171" xr:uid="{00000000-0005-0000-0000-0000AB000000}"/>
    <cellStyle name="Percent 29" xfId="172" xr:uid="{00000000-0005-0000-0000-0000AC000000}"/>
    <cellStyle name="Percent 3" xfId="173" xr:uid="{00000000-0005-0000-0000-0000AD000000}"/>
    <cellStyle name="Percent 3 2" xfId="174" xr:uid="{00000000-0005-0000-0000-0000AE000000}"/>
    <cellStyle name="Percent 3 2 2" xfId="175" xr:uid="{00000000-0005-0000-0000-0000AF000000}"/>
    <cellStyle name="Percent 3 3" xfId="176" xr:uid="{00000000-0005-0000-0000-0000B0000000}"/>
    <cellStyle name="Percent 30" xfId="177" xr:uid="{00000000-0005-0000-0000-0000B1000000}"/>
    <cellStyle name="Percent 4" xfId="178" xr:uid="{00000000-0005-0000-0000-0000B2000000}"/>
    <cellStyle name="Percent 4 2" xfId="179" xr:uid="{00000000-0005-0000-0000-0000B3000000}"/>
    <cellStyle name="Percent 4 3" xfId="180" xr:uid="{00000000-0005-0000-0000-0000B4000000}"/>
    <cellStyle name="Percent 5" xfId="181" xr:uid="{00000000-0005-0000-0000-0000B5000000}"/>
    <cellStyle name="Percent 5 2" xfId="182" xr:uid="{00000000-0005-0000-0000-0000B6000000}"/>
    <cellStyle name="Percent 6" xfId="183" xr:uid="{00000000-0005-0000-0000-0000B7000000}"/>
    <cellStyle name="Percent 6 2" xfId="184" xr:uid="{00000000-0005-0000-0000-0000B8000000}"/>
    <cellStyle name="Percent 7" xfId="185" xr:uid="{00000000-0005-0000-0000-0000B9000000}"/>
    <cellStyle name="Percent 8" xfId="186" xr:uid="{00000000-0005-0000-0000-0000BA000000}"/>
    <cellStyle name="Percent 9" xfId="187" xr:uid="{00000000-0005-0000-0000-0000BB000000}"/>
    <cellStyle name="Source Superscript" xfId="188" xr:uid="{00000000-0005-0000-0000-0000BC000000}"/>
    <cellStyle name="Source Text" xfId="189" xr:uid="{00000000-0005-0000-0000-0000BD000000}"/>
    <cellStyle name="Standard_Sce_D_Extraction" xfId="190" xr:uid="{00000000-0005-0000-0000-0000BE000000}"/>
    <cellStyle name="Table title" xfId="201" xr:uid="{26B656DE-E6EF-4FE3-A220-7138CA06AAF2}"/>
    <cellStyle name="Title" xfId="191" builtinId="15" customBuiltin="1"/>
    <cellStyle name="Title 2" xfId="192" xr:uid="{00000000-0005-0000-0000-0000C0000000}"/>
    <cellStyle name="Title-2" xfId="193" xr:uid="{00000000-0005-0000-0000-0000C1000000}"/>
    <cellStyle name="Total" xfId="194" builtinId="25" customBuiltin="1"/>
    <cellStyle name="Total 2" xfId="195" xr:uid="{00000000-0005-0000-0000-0000C3000000}"/>
    <cellStyle name="Total 2 2" xfId="196" xr:uid="{00000000-0005-0000-0000-0000C4000000}"/>
    <cellStyle name="Warning Text" xfId="197" builtinId="11" customBuiltin="1"/>
    <cellStyle name="Warning Text 2" xfId="198" xr:uid="{00000000-0005-0000-0000-0000C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AEOT43!$M$34</c:f>
              <c:strCache>
                <c:ptCount val="1"/>
                <c:pt idx="0">
                  <c:v>minicompact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AEOT43!$N$34:$W$34</c:f>
              <c:numCache>
                <c:formatCode>0.0%</c:formatCode>
                <c:ptCount val="10"/>
                <c:pt idx="0">
                  <c:v>4.4418485651603092E-3</c:v>
                </c:pt>
                <c:pt idx="1">
                  <c:v>5.3127429574141303E-3</c:v>
                </c:pt>
                <c:pt idx="2">
                  <c:v>3.7032240621530251E-3</c:v>
                </c:pt>
                <c:pt idx="3">
                  <c:v>2.2523200900928034E-3</c:v>
                </c:pt>
                <c:pt idx="4">
                  <c:v>2.4329247202136573E-3</c:v>
                </c:pt>
                <c:pt idx="5">
                  <c:v>2.5302051771143625E-3</c:v>
                </c:pt>
                <c:pt idx="6">
                  <c:v>2.5189098110817631E-3</c:v>
                </c:pt>
                <c:pt idx="7">
                  <c:v>2.5375800507516006E-3</c:v>
                </c:pt>
                <c:pt idx="8">
                  <c:v>2.568614293631069E-3</c:v>
                </c:pt>
                <c:pt idx="9">
                  <c:v>2.5803901290195061E-3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D-40F1-9D9E-57508A4C580F}"/>
            </c:ext>
          </c:extLst>
        </c:ser>
        <c:ser>
          <c:idx val="1"/>
          <c:order val="1"/>
          <c:tx>
            <c:strRef>
              <c:f>AEOT43!$M$35</c:f>
              <c:strCache>
                <c:ptCount val="1"/>
                <c:pt idx="0">
                  <c:v>compact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AEOT43!$N$35:$W$35</c:f>
              <c:numCache>
                <c:formatCode>0.0%</c:formatCode>
                <c:ptCount val="10"/>
                <c:pt idx="0">
                  <c:v>0.2450445933350047</c:v>
                </c:pt>
                <c:pt idx="1">
                  <c:v>0.27113067018219134</c:v>
                </c:pt>
                <c:pt idx="2">
                  <c:v>0.13924350470559277</c:v>
                </c:pt>
                <c:pt idx="3">
                  <c:v>0.10119839904793596</c:v>
                </c:pt>
                <c:pt idx="4">
                  <c:v>0.10018793847838707</c:v>
                </c:pt>
                <c:pt idx="5">
                  <c:v>9.9390051957303646E-2</c:v>
                </c:pt>
                <c:pt idx="6">
                  <c:v>9.7472632689552516E-2</c:v>
                </c:pt>
                <c:pt idx="7">
                  <c:v>9.6600496932009935E-2</c:v>
                </c:pt>
                <c:pt idx="8">
                  <c:v>9.6491163464930044E-2</c:v>
                </c:pt>
                <c:pt idx="9">
                  <c:v>9.5881174794058721E-2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D-40F1-9D9E-57508A4C580F}"/>
            </c:ext>
          </c:extLst>
        </c:ser>
        <c:ser>
          <c:idx val="2"/>
          <c:order val="2"/>
          <c:tx>
            <c:strRef>
              <c:f>AEOT43!$M$36</c:f>
              <c:strCache>
                <c:ptCount val="1"/>
                <c:pt idx="0">
                  <c:v>full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AEOT43!$N$36:$W$36</c:f>
              <c:numCache>
                <c:formatCode>0.0%</c:formatCode>
                <c:ptCount val="10"/>
                <c:pt idx="0">
                  <c:v>0.25051169810671703</c:v>
                </c:pt>
                <c:pt idx="1">
                  <c:v>0.22356870465225154</c:v>
                </c:pt>
                <c:pt idx="2">
                  <c:v>0.2245482263391467</c:v>
                </c:pt>
                <c:pt idx="3">
                  <c:v>0.25272451510898059</c:v>
                </c:pt>
                <c:pt idx="4">
                  <c:v>0.23586578787543439</c:v>
                </c:pt>
                <c:pt idx="5">
                  <c:v>0.22991932609435284</c:v>
                </c:pt>
                <c:pt idx="6">
                  <c:v>0.22894443282916749</c:v>
                </c:pt>
                <c:pt idx="7">
                  <c:v>0.22708364954167298</c:v>
                </c:pt>
                <c:pt idx="8">
                  <c:v>0.2241370333623158</c:v>
                </c:pt>
                <c:pt idx="9">
                  <c:v>0.22308546115427305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D-40F1-9D9E-57508A4C580F}"/>
            </c:ext>
          </c:extLst>
        </c:ser>
        <c:ser>
          <c:idx val="3"/>
          <c:order val="3"/>
          <c:tx>
            <c:strRef>
              <c:f>AEOT43!$M$37</c:f>
              <c:strCache>
                <c:ptCount val="1"/>
                <c:pt idx="0">
                  <c:v>pickup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AEOT43!$N$37:$W$37</c:f>
              <c:numCache>
                <c:formatCode>0.0%</c:formatCode>
                <c:ptCount val="10"/>
                <c:pt idx="0">
                  <c:v>0.13710454271319197</c:v>
                </c:pt>
                <c:pt idx="1">
                  <c:v>0.13540300618140388</c:v>
                </c:pt>
                <c:pt idx="2">
                  <c:v>0.13620282653012108</c:v>
                </c:pt>
                <c:pt idx="3">
                  <c:v>0.11718365968734637</c:v>
                </c:pt>
                <c:pt idx="4">
                  <c:v>0.12063044112749927</c:v>
                </c:pt>
                <c:pt idx="5">
                  <c:v>0.12175382352276765</c:v>
                </c:pt>
                <c:pt idx="6">
                  <c:v>0.12267055079970866</c:v>
                </c:pt>
                <c:pt idx="7">
                  <c:v>0.12317965746359315</c:v>
                </c:pt>
                <c:pt idx="8">
                  <c:v>0.1235048010361797</c:v>
                </c:pt>
                <c:pt idx="9">
                  <c:v>0.12384848619242428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3D-40F1-9D9E-57508A4C580F}"/>
            </c:ext>
          </c:extLst>
        </c:ser>
        <c:ser>
          <c:idx val="4"/>
          <c:order val="4"/>
          <c:tx>
            <c:strRef>
              <c:f>AEOT43!$M$38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AEOT43!$N$38:$W$38</c:f>
              <c:numCache>
                <c:formatCode>0.0%</c:formatCode>
                <c:ptCount val="10"/>
                <c:pt idx="0">
                  <c:v>4.8598480185623315E-2</c:v>
                </c:pt>
                <c:pt idx="1">
                  <c:v>4.9977298703239262E-2</c:v>
                </c:pt>
                <c:pt idx="2">
                  <c:v>4.350844654131783E-2</c:v>
                </c:pt>
                <c:pt idx="3">
                  <c:v>3.8774946550997856E-2</c:v>
                </c:pt>
                <c:pt idx="4">
                  <c:v>3.9253440485854343E-2</c:v>
                </c:pt>
                <c:pt idx="5">
                  <c:v>3.9487477764123452E-2</c:v>
                </c:pt>
                <c:pt idx="6">
                  <c:v>3.9250187056235966E-2</c:v>
                </c:pt>
                <c:pt idx="7">
                  <c:v>3.9056570781131415E-2</c:v>
                </c:pt>
                <c:pt idx="8">
                  <c:v>3.9091364249874819E-2</c:v>
                </c:pt>
                <c:pt idx="9">
                  <c:v>3.8954936947746842E-2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3D-40F1-9D9E-57508A4C580F}"/>
            </c:ext>
          </c:extLst>
        </c:ser>
        <c:ser>
          <c:idx val="5"/>
          <c:order val="5"/>
          <c:tx>
            <c:strRef>
              <c:f>AEOT43!$M$39</c:f>
              <c:strCache>
                <c:ptCount val="1"/>
                <c:pt idx="0">
                  <c:v>small suv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AEOT43!$N$39:$W$39</c:f>
              <c:numCache>
                <c:formatCode>0.0%</c:formatCode>
                <c:ptCount val="10"/>
                <c:pt idx="0">
                  <c:v>2.5799904540353205E-2</c:v>
                </c:pt>
                <c:pt idx="1">
                  <c:v>2.5000602139502531E-2</c:v>
                </c:pt>
                <c:pt idx="2">
                  <c:v>2.3999669884540737E-2</c:v>
                </c:pt>
                <c:pt idx="3">
                  <c:v>2.3687675947507036E-2</c:v>
                </c:pt>
                <c:pt idx="4">
                  <c:v>2.171386750290524E-2</c:v>
                </c:pt>
                <c:pt idx="5">
                  <c:v>2.0867636460734553E-2</c:v>
                </c:pt>
                <c:pt idx="6">
                  <c:v>2.0394603470404737E-2</c:v>
                </c:pt>
                <c:pt idx="7">
                  <c:v>2.0051995401039906E-2</c:v>
                </c:pt>
                <c:pt idx="8">
                  <c:v>1.974140457111374E-2</c:v>
                </c:pt>
                <c:pt idx="9">
                  <c:v>1.9519930975996549E-2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3D-40F1-9D9E-57508A4C580F}"/>
            </c:ext>
          </c:extLst>
        </c:ser>
        <c:ser>
          <c:idx val="6"/>
          <c:order val="6"/>
          <c:tx>
            <c:strRef>
              <c:f>AEOT43!$M$40</c:f>
              <c:strCache>
                <c:ptCount val="1"/>
                <c:pt idx="0">
                  <c:v>large suv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AEOT43!$N$40:$W$40</c:f>
              <c:numCache>
                <c:formatCode>0.0%</c:formatCode>
                <c:ptCount val="10"/>
                <c:pt idx="0">
                  <c:v>2.5999903800355943E-2</c:v>
                </c:pt>
                <c:pt idx="1">
                  <c:v>2.5500614182292578E-2</c:v>
                </c:pt>
                <c:pt idx="2">
                  <c:v>2.4499663007135339E-2</c:v>
                </c:pt>
                <c:pt idx="3">
                  <c:v>2.4109500964380037E-2</c:v>
                </c:pt>
                <c:pt idx="4">
                  <c:v>2.3028607351710154E-2</c:v>
                </c:pt>
                <c:pt idx="5">
                  <c:v>2.2477816573447162E-2</c:v>
                </c:pt>
                <c:pt idx="6">
                  <c:v>2.2144423339168245E-2</c:v>
                </c:pt>
                <c:pt idx="7">
                  <c:v>2.1912520438250406E-2</c:v>
                </c:pt>
                <c:pt idx="8">
                  <c:v>2.1736879022358265E-2</c:v>
                </c:pt>
                <c:pt idx="9">
                  <c:v>2.1581506079075302E-2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3D-40F1-9D9E-57508A4C580F}"/>
            </c:ext>
          </c:extLst>
        </c:ser>
        <c:ser>
          <c:idx val="7"/>
          <c:order val="7"/>
          <c:tx>
            <c:strRef>
              <c:f>AEOT43!$M$41</c:f>
              <c:strCache>
                <c:ptCount val="1"/>
                <c:pt idx="0">
                  <c:v>cco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AEOT43!$N$41:$W$41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0.13249817748756867</c:v>
                </c:pt>
                <c:pt idx="3">
                  <c:v>0.14382473075298921</c:v>
                </c:pt>
                <c:pt idx="4">
                  <c:v>0.16151343142595539</c:v>
                </c:pt>
                <c:pt idx="5">
                  <c:v>0.1681604167712292</c:v>
                </c:pt>
                <c:pt idx="6">
                  <c:v>0.17106401717019867</c:v>
                </c:pt>
                <c:pt idx="7">
                  <c:v>0.17377824847556497</c:v>
                </c:pt>
                <c:pt idx="8">
                  <c:v>0.17680319637912098</c:v>
                </c:pt>
                <c:pt idx="9">
                  <c:v>0.17845298392264919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3D-40F1-9D9E-57508A4C580F}"/>
            </c:ext>
          </c:extLst>
        </c:ser>
        <c:ser>
          <c:idx val="8"/>
          <c:order val="8"/>
          <c:tx>
            <c:strRef>
              <c:f>AEOT43!$M$42</c:f>
              <c:strCache>
                <c:ptCount val="1"/>
                <c:pt idx="0">
                  <c:v>tco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AEOT43!$N$33:$W$33</c:f>
              <c:strCache>
                <c:ptCount val="10"/>
                <c:pt idx="0">
                  <c:v>*2010</c:v>
                </c:pt>
                <c:pt idx="1">
                  <c:v>*2011</c:v>
                </c:pt>
                <c:pt idx="2">
                  <c:v>2015</c:v>
                </c:pt>
                <c:pt idx="3">
                  <c:v>2020</c:v>
                </c:pt>
                <c:pt idx="4">
                  <c:v>2025</c:v>
                </c:pt>
                <c:pt idx="5">
                  <c:v>2030</c:v>
                </c:pt>
                <c:pt idx="6">
                  <c:v>2035</c:v>
                </c:pt>
                <c:pt idx="7">
                  <c:v>2040</c:v>
                </c:pt>
                <c:pt idx="8">
                  <c:v>2045</c:v>
                </c:pt>
                <c:pt idx="9">
                  <c:v>2050</c:v>
                </c:pt>
              </c:strCache>
            </c:strRef>
          </c:cat>
          <c:val>
            <c:numRef>
              <c:f>AEOT43!$N$42:$W$42</c:f>
              <c:numCache>
                <c:formatCode>0.0%</c:formatCode>
                <c:ptCount val="10"/>
                <c:pt idx="0">
                  <c:v>0.26249902875359366</c:v>
                </c:pt>
                <c:pt idx="1">
                  <c:v>0.26410636100170476</c:v>
                </c:pt>
                <c:pt idx="2">
                  <c:v>0.27179626144242386</c:v>
                </c:pt>
                <c:pt idx="3">
                  <c:v>0.29624425184977005</c:v>
                </c:pt>
                <c:pt idx="4">
                  <c:v>0.29537356103204049</c:v>
                </c:pt>
                <c:pt idx="5">
                  <c:v>0.29541324567892718</c:v>
                </c:pt>
                <c:pt idx="6">
                  <c:v>0.29554024283448171</c:v>
                </c:pt>
                <c:pt idx="7">
                  <c:v>0.29579928091598562</c:v>
                </c:pt>
                <c:pt idx="8">
                  <c:v>0.29592554362047541</c:v>
                </c:pt>
                <c:pt idx="9">
                  <c:v>0.29609512980475644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3D-40F1-9D9E-57508A4C5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145072"/>
        <c:axId val="1112782928"/>
      </c:lineChart>
      <c:catAx>
        <c:axId val="132314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2928"/>
        <c:crosses val="autoZero"/>
        <c:auto val="1"/>
        <c:lblAlgn val="ctr"/>
        <c:lblOffset val="100"/>
        <c:noMultiLvlLbl val="0"/>
      </c:catAx>
      <c:valAx>
        <c:axId val="11127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4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35</xdr:row>
      <xdr:rowOff>68580</xdr:rowOff>
    </xdr:from>
    <xdr:to>
      <xdr:col>11</xdr:col>
      <xdr:colOff>388620</xdr:colOff>
      <xdr:row>51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A59DB-2E3B-452D-8C5C-CB945C429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B2:U124"/>
  <sheetViews>
    <sheetView zoomScale="85" zoomScaleNormal="85" workbookViewId="0">
      <selection activeCell="N7" sqref="N7"/>
    </sheetView>
  </sheetViews>
  <sheetFormatPr defaultRowHeight="11.4" x14ac:dyDescent="0.2"/>
  <cols>
    <col min="1" max="1" width="2.88671875" style="33" customWidth="1"/>
    <col min="2" max="2" width="3.6640625" style="33" customWidth="1"/>
    <col min="3" max="3" width="19.44140625" style="33" customWidth="1"/>
    <col min="4" max="4" width="8" style="33" customWidth="1"/>
    <col min="5" max="5" width="17.5546875" style="33" customWidth="1"/>
    <col min="6" max="6" width="8" style="33" customWidth="1"/>
    <col min="7" max="7" width="7.77734375" style="33" bestFit="1" customWidth="1"/>
    <col min="8" max="8" width="7.6640625" style="33" bestFit="1" customWidth="1"/>
    <col min="9" max="9" width="6.5546875" style="33" customWidth="1"/>
    <col min="10" max="10" width="7.109375" style="33" customWidth="1"/>
    <col min="11" max="11" width="27.6640625" style="33" customWidth="1"/>
    <col min="12" max="12" width="8" style="33" customWidth="1"/>
    <col min="13" max="13" width="7.44140625" style="33" bestFit="1" customWidth="1"/>
    <col min="14" max="14" width="11.6640625" style="33" bestFit="1" customWidth="1"/>
    <col min="15" max="15" width="10.6640625" style="33" customWidth="1"/>
    <col min="16" max="16" width="13.5546875" style="33" customWidth="1"/>
    <col min="17" max="17" width="38.88671875" style="33" bestFit="1" customWidth="1"/>
    <col min="18" max="18" width="6.109375" style="33" customWidth="1"/>
    <col min="19" max="19" width="7.6640625" style="33" hidden="1" customWidth="1"/>
    <col min="20" max="20" width="17.33203125" style="33" bestFit="1" customWidth="1"/>
    <col min="21" max="21" width="12.5546875" style="33" bestFit="1" customWidth="1"/>
    <col min="22" max="22" width="12" style="33" bestFit="1" customWidth="1"/>
    <col min="23" max="23" width="17.6640625" style="33" bestFit="1" customWidth="1"/>
    <col min="24" max="24" width="12.5546875" style="33" bestFit="1" customWidth="1"/>
    <col min="25" max="25" width="12" style="33" bestFit="1" customWidth="1"/>
    <col min="26" max="16384" width="8.88671875" style="33"/>
  </cols>
  <sheetData>
    <row r="2" spans="2:21" ht="12" x14ac:dyDescent="0.25">
      <c r="B2" s="33" t="s">
        <v>5</v>
      </c>
      <c r="D2" s="34" t="s">
        <v>16</v>
      </c>
    </row>
    <row r="3" spans="2:21" x14ac:dyDescent="0.2">
      <c r="C3" s="35" t="s">
        <v>6</v>
      </c>
    </row>
    <row r="4" spans="2:21" x14ac:dyDescent="0.2">
      <c r="C4" s="35" t="s">
        <v>7</v>
      </c>
    </row>
    <row r="5" spans="2:21" ht="13.2" x14ac:dyDescent="0.25">
      <c r="L5" t="s">
        <v>0</v>
      </c>
    </row>
    <row r="6" spans="2:21" x14ac:dyDescent="0.2">
      <c r="C6" s="36" t="s">
        <v>1</v>
      </c>
      <c r="D6" s="36" t="s">
        <v>8</v>
      </c>
      <c r="E6" s="36" t="s">
        <v>4</v>
      </c>
      <c r="F6" s="36" t="s">
        <v>9</v>
      </c>
      <c r="G6" s="36" t="s">
        <v>10</v>
      </c>
      <c r="H6" s="36" t="s">
        <v>11</v>
      </c>
      <c r="I6" s="36" t="s">
        <v>12</v>
      </c>
      <c r="J6" s="36" t="s">
        <v>13</v>
      </c>
      <c r="K6" s="36" t="s">
        <v>42</v>
      </c>
      <c r="L6" s="36" t="s">
        <v>2</v>
      </c>
      <c r="M6" s="36" t="s">
        <v>14</v>
      </c>
      <c r="N6" s="36" t="s">
        <v>15</v>
      </c>
      <c r="O6" s="36" t="s">
        <v>28</v>
      </c>
      <c r="P6" s="36" t="s">
        <v>29</v>
      </c>
      <c r="Q6" s="36" t="s">
        <v>3</v>
      </c>
      <c r="R6" s="37"/>
    </row>
    <row r="7" spans="2:21" x14ac:dyDescent="0.2">
      <c r="C7" s="33" t="s">
        <v>104</v>
      </c>
      <c r="E7" s="33" t="s">
        <v>52</v>
      </c>
      <c r="G7" s="33" t="s">
        <v>41</v>
      </c>
      <c r="H7" s="33" t="str">
        <f t="shared" ref="H7" si="0">G$15</f>
        <v>TL</v>
      </c>
      <c r="J7" s="33">
        <v>2011</v>
      </c>
      <c r="K7" s="33" t="s">
        <v>39</v>
      </c>
      <c r="L7" s="33" t="s">
        <v>17</v>
      </c>
      <c r="M7" s="33">
        <v>1</v>
      </c>
      <c r="N7" s="38">
        <f>-(SUMIFS('initial results'!$I:$I,'initial results'!$A:$A,$T7)+SUMIFS('initial results'!$I:$I,'initial results'!$A:$A,$U7))/SUMIFS('initial results'!I:I,'initial results'!$H:$H,"TL")*0.98</f>
        <v>0</v>
      </c>
      <c r="O7" s="33">
        <v>0</v>
      </c>
      <c r="P7" s="33">
        <f>5</f>
        <v>5</v>
      </c>
      <c r="Q7" s="39" t="s">
        <v>23</v>
      </c>
      <c r="R7" s="39"/>
      <c r="S7" s="33">
        <v>19</v>
      </c>
      <c r="T7" s="33" t="s">
        <v>383</v>
      </c>
      <c r="U7" s="33" t="s">
        <v>384</v>
      </c>
    </row>
    <row r="8" spans="2:21" x14ac:dyDescent="0.2">
      <c r="C8" s="33" t="s">
        <v>104</v>
      </c>
      <c r="E8" s="33" t="s">
        <v>52</v>
      </c>
      <c r="G8" s="33" t="s">
        <v>41</v>
      </c>
      <c r="H8" s="33" t="str">
        <f t="shared" ref="H8:H15" si="1">G$15</f>
        <v>TL</v>
      </c>
      <c r="J8" s="33">
        <v>2015</v>
      </c>
      <c r="K8" s="33" t="s">
        <v>39</v>
      </c>
      <c r="L8" s="33" t="s">
        <v>17</v>
      </c>
      <c r="M8" s="33">
        <v>1</v>
      </c>
      <c r="N8" s="38">
        <f>N7*0.95</f>
        <v>0</v>
      </c>
      <c r="O8" s="33">
        <v>0</v>
      </c>
      <c r="P8" s="33">
        <f>5</f>
        <v>5</v>
      </c>
      <c r="Q8" s="39" t="s">
        <v>23</v>
      </c>
      <c r="R8" s="39"/>
      <c r="S8" s="33">
        <v>19</v>
      </c>
      <c r="T8" s="33" t="s">
        <v>383</v>
      </c>
      <c r="U8" s="33" t="s">
        <v>384</v>
      </c>
    </row>
    <row r="9" spans="2:21" x14ac:dyDescent="0.2">
      <c r="C9" s="33" t="s">
        <v>104</v>
      </c>
      <c r="E9" s="33" t="s">
        <v>52</v>
      </c>
      <c r="G9" s="33" t="s">
        <v>41</v>
      </c>
      <c r="H9" s="33" t="str">
        <f t="shared" si="1"/>
        <v>TL</v>
      </c>
      <c r="J9" s="33">
        <v>2020</v>
      </c>
      <c r="K9" s="33" t="s">
        <v>39</v>
      </c>
      <c r="L9" s="33" t="s">
        <v>17</v>
      </c>
      <c r="M9" s="33">
        <v>1</v>
      </c>
      <c r="N9" s="38">
        <f>N8*0.8</f>
        <v>0</v>
      </c>
      <c r="O9" s="33">
        <v>0</v>
      </c>
      <c r="P9" s="33">
        <f>5</f>
        <v>5</v>
      </c>
      <c r="Q9" s="39" t="s">
        <v>23</v>
      </c>
      <c r="S9" s="33">
        <f>S8+9</f>
        <v>28</v>
      </c>
      <c r="T9" s="33" t="s">
        <v>383</v>
      </c>
      <c r="U9" s="33" t="s">
        <v>384</v>
      </c>
    </row>
    <row r="10" spans="2:21" x14ac:dyDescent="0.2">
      <c r="C10" s="33" t="s">
        <v>104</v>
      </c>
      <c r="E10" s="33" t="s">
        <v>52</v>
      </c>
      <c r="G10" s="33" t="s">
        <v>41</v>
      </c>
      <c r="H10" s="33" t="str">
        <f t="shared" si="1"/>
        <v>TL</v>
      </c>
      <c r="J10" s="33">
        <v>2030</v>
      </c>
      <c r="K10" s="33" t="s">
        <v>39</v>
      </c>
      <c r="L10" s="33" t="s">
        <v>17</v>
      </c>
      <c r="M10" s="33">
        <v>1</v>
      </c>
      <c r="N10" s="38">
        <f>N9*0.8</f>
        <v>0</v>
      </c>
      <c r="O10" s="33">
        <v>0</v>
      </c>
      <c r="P10" s="33">
        <f>5</f>
        <v>5</v>
      </c>
      <c r="Q10" s="39" t="s">
        <v>23</v>
      </c>
      <c r="S10" s="33">
        <f>S9+9</f>
        <v>37</v>
      </c>
      <c r="T10" s="33" t="s">
        <v>383</v>
      </c>
      <c r="U10" s="33" t="s">
        <v>384</v>
      </c>
    </row>
    <row r="11" spans="2:21" x14ac:dyDescent="0.2">
      <c r="C11" s="33" t="s">
        <v>104</v>
      </c>
      <c r="E11" s="33" t="s">
        <v>52</v>
      </c>
      <c r="G11" s="33" t="s">
        <v>41</v>
      </c>
      <c r="H11" s="33" t="str">
        <f t="shared" si="1"/>
        <v>TL</v>
      </c>
      <c r="J11" s="33">
        <v>2040</v>
      </c>
      <c r="K11" s="33" t="s">
        <v>39</v>
      </c>
      <c r="L11" s="33" t="s">
        <v>17</v>
      </c>
      <c r="M11" s="33">
        <v>1</v>
      </c>
      <c r="N11" s="38">
        <f t="shared" ref="N11:N12" si="2">N10</f>
        <v>0</v>
      </c>
      <c r="O11" s="33">
        <v>0</v>
      </c>
      <c r="P11" s="33">
        <f>5</f>
        <v>5</v>
      </c>
      <c r="Q11" s="39" t="s">
        <v>23</v>
      </c>
      <c r="S11" s="33">
        <f>S10+9</f>
        <v>46</v>
      </c>
      <c r="T11" s="33" t="s">
        <v>383</v>
      </c>
      <c r="U11" s="33" t="s">
        <v>384</v>
      </c>
    </row>
    <row r="12" spans="2:21" x14ac:dyDescent="0.2">
      <c r="C12" s="33" t="s">
        <v>104</v>
      </c>
      <c r="E12" s="33" t="s">
        <v>52</v>
      </c>
      <c r="G12" s="33" t="s">
        <v>41</v>
      </c>
      <c r="H12" s="33" t="str">
        <f t="shared" si="1"/>
        <v>TL</v>
      </c>
      <c r="J12" s="33">
        <v>2050</v>
      </c>
      <c r="K12" s="33" t="s">
        <v>39</v>
      </c>
      <c r="L12" s="33" t="s">
        <v>17</v>
      </c>
      <c r="M12" s="33">
        <v>1</v>
      </c>
      <c r="N12" s="38">
        <f t="shared" si="2"/>
        <v>0</v>
      </c>
      <c r="O12" s="33">
        <v>0</v>
      </c>
      <c r="P12" s="33">
        <f>5</f>
        <v>5</v>
      </c>
      <c r="Q12" s="39" t="s">
        <v>23</v>
      </c>
      <c r="S12" s="33">
        <f>S11+9</f>
        <v>55</v>
      </c>
      <c r="T12" s="33" t="s">
        <v>383</v>
      </c>
      <c r="U12" s="33" t="s">
        <v>384</v>
      </c>
    </row>
    <row r="13" spans="2:21" x14ac:dyDescent="0.2">
      <c r="C13" s="33" t="s">
        <v>104</v>
      </c>
      <c r="E13" s="33" t="s">
        <v>52</v>
      </c>
      <c r="G13" s="33" t="s">
        <v>41</v>
      </c>
      <c r="H13" s="33" t="str">
        <f t="shared" si="1"/>
        <v>TL</v>
      </c>
      <c r="J13" s="33">
        <v>2055</v>
      </c>
      <c r="K13" s="33" t="s">
        <v>39</v>
      </c>
      <c r="L13" s="33" t="s">
        <v>17</v>
      </c>
      <c r="M13" s="33">
        <v>1</v>
      </c>
      <c r="N13" s="38">
        <f>N12</f>
        <v>0</v>
      </c>
      <c r="O13" s="33">
        <v>0</v>
      </c>
      <c r="P13" s="33">
        <f>5</f>
        <v>5</v>
      </c>
      <c r="Q13" s="39" t="s">
        <v>23</v>
      </c>
      <c r="T13" s="33" t="s">
        <v>383</v>
      </c>
      <c r="U13" s="33" t="s">
        <v>384</v>
      </c>
    </row>
    <row r="14" spans="2:21" x14ac:dyDescent="0.2">
      <c r="C14" s="33" t="s">
        <v>40</v>
      </c>
      <c r="E14" s="33" t="s">
        <v>382</v>
      </c>
      <c r="G14" s="33" t="s">
        <v>41</v>
      </c>
      <c r="H14" s="33" t="str">
        <f t="shared" si="1"/>
        <v>TL</v>
      </c>
      <c r="J14" s="33">
        <v>2011</v>
      </c>
      <c r="K14" s="33" t="s">
        <v>39</v>
      </c>
      <c r="L14" s="33" t="s">
        <v>17</v>
      </c>
      <c r="M14" s="33">
        <v>1</v>
      </c>
      <c r="N14" s="38">
        <f>-(SUMIFS('initial results'!$I:$I,'initial results'!$A:$A,$T14)+SUMIFS('initial results'!$I:$I,'initial results'!$A:$A,$U14))/SUMIFS('initial results'!I:I,'initial results'!$H:$H,"TL")*0.98</f>
        <v>-6.6719547986083894E-3</v>
      </c>
      <c r="O14" s="33">
        <v>0</v>
      </c>
      <c r="P14" s="33">
        <f>5</f>
        <v>5</v>
      </c>
      <c r="Q14" s="39" t="s">
        <v>19</v>
      </c>
      <c r="R14" s="39"/>
      <c r="S14" s="33">
        <v>19</v>
      </c>
      <c r="T14" s="33" t="s">
        <v>385</v>
      </c>
      <c r="U14" s="33" t="s">
        <v>386</v>
      </c>
    </row>
    <row r="15" spans="2:21" x14ac:dyDescent="0.2">
      <c r="C15" s="33" t="s">
        <v>40</v>
      </c>
      <c r="E15" s="33" t="s">
        <v>382</v>
      </c>
      <c r="G15" s="33" t="s">
        <v>41</v>
      </c>
      <c r="H15" s="33" t="str">
        <f t="shared" si="1"/>
        <v>TL</v>
      </c>
      <c r="J15" s="33">
        <v>2015</v>
      </c>
      <c r="K15" s="33" t="s">
        <v>39</v>
      </c>
      <c r="L15" s="33" t="s">
        <v>17</v>
      </c>
      <c r="M15" s="33">
        <v>1</v>
      </c>
      <c r="N15" s="38">
        <f>N14*0.92</f>
        <v>-6.1381984147197187E-3</v>
      </c>
      <c r="O15" s="33">
        <v>0</v>
      </c>
      <c r="P15" s="33">
        <f>5</f>
        <v>5</v>
      </c>
      <c r="Q15" s="39" t="s">
        <v>19</v>
      </c>
      <c r="R15" s="39"/>
      <c r="S15" s="33">
        <v>19</v>
      </c>
      <c r="T15" s="33" t="s">
        <v>385</v>
      </c>
      <c r="U15" s="33" t="s">
        <v>386</v>
      </c>
    </row>
    <row r="16" spans="2:21" x14ac:dyDescent="0.2">
      <c r="C16" s="33" t="s">
        <v>40</v>
      </c>
      <c r="E16" s="33" t="s">
        <v>382</v>
      </c>
      <c r="G16" s="33" t="s">
        <v>41</v>
      </c>
      <c r="H16" s="33" t="str">
        <f t="shared" ref="H16:H32" si="3">G$15</f>
        <v>TL</v>
      </c>
      <c r="J16" s="33">
        <v>2020</v>
      </c>
      <c r="K16" s="33" t="s">
        <v>39</v>
      </c>
      <c r="L16" s="33" t="s">
        <v>17</v>
      </c>
      <c r="M16" s="33">
        <v>1</v>
      </c>
      <c r="N16" s="38">
        <f>N15*0.9</f>
        <v>-5.5243785732477469E-3</v>
      </c>
      <c r="O16" s="33">
        <v>0</v>
      </c>
      <c r="P16" s="33">
        <f>5</f>
        <v>5</v>
      </c>
      <c r="Q16" s="39" t="s">
        <v>19</v>
      </c>
      <c r="R16" s="39"/>
      <c r="S16" s="33">
        <f>S15+9</f>
        <v>28</v>
      </c>
      <c r="T16" s="33" t="s">
        <v>385</v>
      </c>
      <c r="U16" s="33" t="s">
        <v>386</v>
      </c>
    </row>
    <row r="17" spans="3:21" x14ac:dyDescent="0.2">
      <c r="C17" s="33" t="s">
        <v>40</v>
      </c>
      <c r="E17" s="33" t="s">
        <v>382</v>
      </c>
      <c r="G17" s="33" t="s">
        <v>41</v>
      </c>
      <c r="H17" s="33" t="str">
        <f t="shared" si="3"/>
        <v>TL</v>
      </c>
      <c r="J17" s="33">
        <v>2030</v>
      </c>
      <c r="K17" s="33" t="s">
        <v>39</v>
      </c>
      <c r="L17" s="33" t="s">
        <v>17</v>
      </c>
      <c r="M17" s="33">
        <v>1</v>
      </c>
      <c r="N17" s="38">
        <f>N16</f>
        <v>-5.5243785732477469E-3</v>
      </c>
      <c r="O17" s="33">
        <v>0</v>
      </c>
      <c r="P17" s="33">
        <f>5</f>
        <v>5</v>
      </c>
      <c r="Q17" s="39" t="s">
        <v>19</v>
      </c>
      <c r="R17" s="39"/>
      <c r="S17" s="33">
        <f>S16+9</f>
        <v>37</v>
      </c>
      <c r="T17" s="33" t="s">
        <v>385</v>
      </c>
      <c r="U17" s="33" t="s">
        <v>386</v>
      </c>
    </row>
    <row r="18" spans="3:21" x14ac:dyDescent="0.2">
      <c r="C18" s="33" t="s">
        <v>40</v>
      </c>
      <c r="E18" s="33" t="s">
        <v>382</v>
      </c>
      <c r="G18" s="33" t="s">
        <v>41</v>
      </c>
      <c r="H18" s="33" t="str">
        <f t="shared" si="3"/>
        <v>TL</v>
      </c>
      <c r="J18" s="33">
        <v>2040</v>
      </c>
      <c r="K18" s="33" t="s">
        <v>39</v>
      </c>
      <c r="L18" s="33" t="s">
        <v>17</v>
      </c>
      <c r="M18" s="33">
        <v>1</v>
      </c>
      <c r="N18" s="38">
        <f t="shared" ref="N18:N19" si="4">N17</f>
        <v>-5.5243785732477469E-3</v>
      </c>
      <c r="O18" s="33">
        <v>0</v>
      </c>
      <c r="P18" s="33">
        <f>5</f>
        <v>5</v>
      </c>
      <c r="Q18" s="39" t="s">
        <v>19</v>
      </c>
      <c r="R18" s="39"/>
      <c r="S18" s="33">
        <f>S17+9</f>
        <v>46</v>
      </c>
      <c r="T18" s="33" t="s">
        <v>385</v>
      </c>
      <c r="U18" s="33" t="s">
        <v>386</v>
      </c>
    </row>
    <row r="19" spans="3:21" x14ac:dyDescent="0.2">
      <c r="C19" s="33" t="s">
        <v>40</v>
      </c>
      <c r="E19" s="33" t="s">
        <v>382</v>
      </c>
      <c r="G19" s="33" t="s">
        <v>41</v>
      </c>
      <c r="H19" s="33" t="str">
        <f t="shared" si="3"/>
        <v>TL</v>
      </c>
      <c r="J19" s="33">
        <v>2050</v>
      </c>
      <c r="K19" s="33" t="s">
        <v>39</v>
      </c>
      <c r="L19" s="33" t="s">
        <v>17</v>
      </c>
      <c r="M19" s="33">
        <v>1</v>
      </c>
      <c r="N19" s="38">
        <f t="shared" si="4"/>
        <v>-5.5243785732477469E-3</v>
      </c>
      <c r="O19" s="33">
        <v>0</v>
      </c>
      <c r="P19" s="33">
        <f>5</f>
        <v>5</v>
      </c>
      <c r="Q19" s="39" t="s">
        <v>19</v>
      </c>
      <c r="R19" s="39"/>
      <c r="S19" s="33">
        <f>S18+9</f>
        <v>55</v>
      </c>
      <c r="T19" s="33" t="s">
        <v>385</v>
      </c>
      <c r="U19" s="33" t="s">
        <v>386</v>
      </c>
    </row>
    <row r="20" spans="3:21" x14ac:dyDescent="0.2">
      <c r="C20" s="33" t="s">
        <v>40</v>
      </c>
      <c r="E20" s="33" t="s">
        <v>382</v>
      </c>
      <c r="G20" s="33" t="s">
        <v>41</v>
      </c>
      <c r="H20" s="33" t="str">
        <f t="shared" si="3"/>
        <v>TL</v>
      </c>
      <c r="J20" s="33">
        <v>2055</v>
      </c>
      <c r="K20" s="33" t="s">
        <v>39</v>
      </c>
      <c r="L20" s="33" t="s">
        <v>17</v>
      </c>
      <c r="M20" s="33">
        <v>1</v>
      </c>
      <c r="N20" s="38">
        <f>N19</f>
        <v>-5.5243785732477469E-3</v>
      </c>
      <c r="O20" s="33">
        <v>0</v>
      </c>
      <c r="P20" s="33">
        <f>5</f>
        <v>5</v>
      </c>
      <c r="Q20" s="39" t="s">
        <v>19</v>
      </c>
      <c r="T20" s="33" t="s">
        <v>385</v>
      </c>
      <c r="U20" s="33" t="s">
        <v>386</v>
      </c>
    </row>
    <row r="21" spans="3:21" x14ac:dyDescent="0.2">
      <c r="C21" s="33" t="s">
        <v>105</v>
      </c>
      <c r="E21" s="33" t="s">
        <v>50</v>
      </c>
      <c r="G21" s="33" t="s">
        <v>41</v>
      </c>
      <c r="H21" s="33" t="str">
        <f t="shared" ref="H21" si="5">G$15</f>
        <v>TL</v>
      </c>
      <c r="J21" s="33">
        <v>2011</v>
      </c>
      <c r="K21" s="33" t="s">
        <v>39</v>
      </c>
      <c r="L21" s="33" t="s">
        <v>17</v>
      </c>
      <c r="M21" s="33">
        <v>1</v>
      </c>
      <c r="N21" s="38">
        <f>-(SUMIFS('initial results'!$I:$I,'initial results'!$A:$A,$T21)+SUMIFS('initial results'!$I:$I,'initial results'!$A:$A,$U21))/SUMIFS('initial results'!I:I,'initial results'!$H:$H,"TL")*0.98</f>
        <v>-6.8671620003506835E-3</v>
      </c>
      <c r="O21" s="33">
        <v>0</v>
      </c>
      <c r="P21" s="33">
        <f>5</f>
        <v>5</v>
      </c>
      <c r="Q21" s="39" t="s">
        <v>20</v>
      </c>
      <c r="R21" s="39"/>
      <c r="S21" s="33">
        <v>19</v>
      </c>
      <c r="T21" s="33" t="s">
        <v>387</v>
      </c>
      <c r="U21" s="33" t="s">
        <v>388</v>
      </c>
    </row>
    <row r="22" spans="3:21" x14ac:dyDescent="0.2">
      <c r="C22" s="33" t="s">
        <v>105</v>
      </c>
      <c r="E22" s="33" t="s">
        <v>50</v>
      </c>
      <c r="G22" s="33" t="s">
        <v>41</v>
      </c>
      <c r="H22" s="33" t="str">
        <f t="shared" si="3"/>
        <v>TL</v>
      </c>
      <c r="J22" s="33">
        <v>2015</v>
      </c>
      <c r="K22" s="33" t="s">
        <v>39</v>
      </c>
      <c r="L22" s="33" t="s">
        <v>17</v>
      </c>
      <c r="M22" s="33">
        <v>1</v>
      </c>
      <c r="N22" s="38">
        <f>N21*0.98</f>
        <v>-6.7298187603436694E-3</v>
      </c>
      <c r="O22" s="33">
        <v>0</v>
      </c>
      <c r="P22" s="33">
        <f>5</f>
        <v>5</v>
      </c>
      <c r="Q22" s="39" t="s">
        <v>20</v>
      </c>
      <c r="R22" s="39"/>
      <c r="S22" s="33">
        <v>19</v>
      </c>
      <c r="T22" s="33" t="s">
        <v>387</v>
      </c>
      <c r="U22" s="33" t="s">
        <v>388</v>
      </c>
    </row>
    <row r="23" spans="3:21" x14ac:dyDescent="0.2">
      <c r="C23" s="33" t="s">
        <v>105</v>
      </c>
      <c r="E23" s="33" t="s">
        <v>50</v>
      </c>
      <c r="G23" s="33" t="s">
        <v>41</v>
      </c>
      <c r="H23" s="33" t="str">
        <f t="shared" si="3"/>
        <v>TL</v>
      </c>
      <c r="J23" s="33">
        <v>2020</v>
      </c>
      <c r="K23" s="33" t="s">
        <v>39</v>
      </c>
      <c r="L23" s="33" t="s">
        <v>17</v>
      </c>
      <c r="M23" s="33">
        <v>1</v>
      </c>
      <c r="N23" s="38">
        <f>N22</f>
        <v>-6.7298187603436694E-3</v>
      </c>
      <c r="O23" s="33">
        <v>0</v>
      </c>
      <c r="P23" s="33">
        <f>5</f>
        <v>5</v>
      </c>
      <c r="Q23" s="39" t="s">
        <v>20</v>
      </c>
      <c r="S23" s="33">
        <f>S22+9</f>
        <v>28</v>
      </c>
      <c r="T23" s="33" t="s">
        <v>387</v>
      </c>
      <c r="U23" s="33" t="s">
        <v>388</v>
      </c>
    </row>
    <row r="24" spans="3:21" x14ac:dyDescent="0.2">
      <c r="C24" s="33" t="s">
        <v>105</v>
      </c>
      <c r="E24" s="33" t="s">
        <v>50</v>
      </c>
      <c r="G24" s="33" t="s">
        <v>41</v>
      </c>
      <c r="H24" s="33" t="str">
        <f t="shared" si="3"/>
        <v>TL</v>
      </c>
      <c r="J24" s="33">
        <v>2030</v>
      </c>
      <c r="K24" s="33" t="s">
        <v>39</v>
      </c>
      <c r="L24" s="33" t="s">
        <v>17</v>
      </c>
      <c r="M24" s="33">
        <v>1</v>
      </c>
      <c r="N24" s="38">
        <f>N23</f>
        <v>-6.7298187603436694E-3</v>
      </c>
      <c r="O24" s="33">
        <v>0</v>
      </c>
      <c r="P24" s="33">
        <f>5</f>
        <v>5</v>
      </c>
      <c r="Q24" s="39" t="s">
        <v>20</v>
      </c>
      <c r="S24" s="33">
        <f>S23+9</f>
        <v>37</v>
      </c>
      <c r="T24" s="33" t="s">
        <v>387</v>
      </c>
      <c r="U24" s="33" t="s">
        <v>388</v>
      </c>
    </row>
    <row r="25" spans="3:21" x14ac:dyDescent="0.2">
      <c r="C25" s="33" t="s">
        <v>105</v>
      </c>
      <c r="E25" s="33" t="s">
        <v>50</v>
      </c>
      <c r="G25" s="33" t="s">
        <v>41</v>
      </c>
      <c r="H25" s="33" t="str">
        <f t="shared" si="3"/>
        <v>TL</v>
      </c>
      <c r="J25" s="33">
        <v>2040</v>
      </c>
      <c r="K25" s="33" t="s">
        <v>39</v>
      </c>
      <c r="L25" s="33" t="s">
        <v>17</v>
      </c>
      <c r="M25" s="33">
        <v>1</v>
      </c>
      <c r="N25" s="38">
        <f t="shared" ref="N25:N26" si="6">N24</f>
        <v>-6.7298187603436694E-3</v>
      </c>
      <c r="O25" s="33">
        <v>0</v>
      </c>
      <c r="P25" s="33">
        <f>5</f>
        <v>5</v>
      </c>
      <c r="Q25" s="39" t="s">
        <v>20</v>
      </c>
      <c r="S25" s="33">
        <f>S24+9</f>
        <v>46</v>
      </c>
      <c r="T25" s="33" t="s">
        <v>387</v>
      </c>
      <c r="U25" s="33" t="s">
        <v>388</v>
      </c>
    </row>
    <row r="26" spans="3:21" x14ac:dyDescent="0.2">
      <c r="C26" s="33" t="s">
        <v>105</v>
      </c>
      <c r="E26" s="33" t="s">
        <v>50</v>
      </c>
      <c r="G26" s="33" t="s">
        <v>41</v>
      </c>
      <c r="H26" s="33" t="str">
        <f t="shared" si="3"/>
        <v>TL</v>
      </c>
      <c r="J26" s="33">
        <v>2050</v>
      </c>
      <c r="K26" s="33" t="s">
        <v>39</v>
      </c>
      <c r="L26" s="33" t="s">
        <v>17</v>
      </c>
      <c r="M26" s="33">
        <v>1</v>
      </c>
      <c r="N26" s="38">
        <f t="shared" si="6"/>
        <v>-6.7298187603436694E-3</v>
      </c>
      <c r="O26" s="33">
        <v>0</v>
      </c>
      <c r="P26" s="33">
        <f>5</f>
        <v>5</v>
      </c>
      <c r="Q26" s="39" t="s">
        <v>20</v>
      </c>
      <c r="S26" s="33">
        <f>S25+9</f>
        <v>55</v>
      </c>
      <c r="T26" s="33" t="s">
        <v>387</v>
      </c>
      <c r="U26" s="33" t="s">
        <v>388</v>
      </c>
    </row>
    <row r="27" spans="3:21" x14ac:dyDescent="0.2">
      <c r="C27" s="33" t="s">
        <v>105</v>
      </c>
      <c r="E27" s="33" t="s">
        <v>50</v>
      </c>
      <c r="G27" s="33" t="s">
        <v>41</v>
      </c>
      <c r="H27" s="33" t="str">
        <f t="shared" si="3"/>
        <v>TL</v>
      </c>
      <c r="J27" s="33">
        <v>2055</v>
      </c>
      <c r="K27" s="33" t="s">
        <v>39</v>
      </c>
      <c r="L27" s="33" t="s">
        <v>17</v>
      </c>
      <c r="M27" s="33">
        <v>1</v>
      </c>
      <c r="N27" s="38">
        <f>N26</f>
        <v>-6.7298187603436694E-3</v>
      </c>
      <c r="O27" s="33">
        <v>0</v>
      </c>
      <c r="P27" s="33">
        <f>5</f>
        <v>5</v>
      </c>
      <c r="Q27" s="39" t="s">
        <v>20</v>
      </c>
      <c r="S27" s="33">
        <f>S26+9</f>
        <v>64</v>
      </c>
      <c r="T27" s="33" t="s">
        <v>387</v>
      </c>
      <c r="U27" s="33" t="s">
        <v>388</v>
      </c>
    </row>
    <row r="28" spans="3:21" x14ac:dyDescent="0.2">
      <c r="C28" s="33" t="s">
        <v>289</v>
      </c>
      <c r="E28" s="33" t="s">
        <v>106</v>
      </c>
      <c r="G28" s="33" t="s">
        <v>41</v>
      </c>
      <c r="H28" s="33" t="str">
        <f t="shared" si="3"/>
        <v>TL</v>
      </c>
      <c r="J28" s="33">
        <v>2015</v>
      </c>
      <c r="K28" s="33" t="s">
        <v>39</v>
      </c>
      <c r="L28" s="33" t="s">
        <v>17</v>
      </c>
      <c r="M28" s="33">
        <v>1</v>
      </c>
      <c r="N28" s="38">
        <v>-0.03</v>
      </c>
      <c r="O28" s="33">
        <v>0</v>
      </c>
      <c r="P28" s="33">
        <f>5</f>
        <v>5</v>
      </c>
      <c r="Q28" s="39" t="s">
        <v>107</v>
      </c>
      <c r="S28" s="33">
        <v>20</v>
      </c>
      <c r="T28" s="33" t="s">
        <v>389</v>
      </c>
      <c r="U28" s="33" t="s">
        <v>390</v>
      </c>
    </row>
    <row r="29" spans="3:21" x14ac:dyDescent="0.2">
      <c r="C29" s="33" t="s">
        <v>289</v>
      </c>
      <c r="E29" s="33" t="s">
        <v>106</v>
      </c>
      <c r="G29" s="33" t="s">
        <v>41</v>
      </c>
      <c r="H29" s="33" t="str">
        <f t="shared" si="3"/>
        <v>TL</v>
      </c>
      <c r="J29" s="33">
        <v>2020</v>
      </c>
      <c r="K29" s="33" t="s">
        <v>39</v>
      </c>
      <c r="L29" s="33" t="s">
        <v>17</v>
      </c>
      <c r="M29" s="33">
        <v>1</v>
      </c>
      <c r="N29" s="38">
        <v>-0.05</v>
      </c>
      <c r="O29" s="33">
        <v>0</v>
      </c>
      <c r="P29" s="33">
        <f>5</f>
        <v>5</v>
      </c>
      <c r="Q29" s="39" t="s">
        <v>107</v>
      </c>
      <c r="S29" s="33">
        <f>S28+9</f>
        <v>29</v>
      </c>
      <c r="T29" s="33" t="s">
        <v>389</v>
      </c>
      <c r="U29" s="33" t="s">
        <v>390</v>
      </c>
    </row>
    <row r="30" spans="3:21" x14ac:dyDescent="0.2">
      <c r="C30" s="33" t="s">
        <v>289</v>
      </c>
      <c r="E30" s="33" t="s">
        <v>106</v>
      </c>
      <c r="G30" s="33" t="s">
        <v>41</v>
      </c>
      <c r="H30" s="33" t="str">
        <f t="shared" si="3"/>
        <v>TL</v>
      </c>
      <c r="J30" s="33">
        <v>2030</v>
      </c>
      <c r="K30" s="33" t="s">
        <v>39</v>
      </c>
      <c r="L30" s="33" t="s">
        <v>17</v>
      </c>
      <c r="M30" s="33">
        <v>1</v>
      </c>
      <c r="N30" s="38">
        <f>N29*1.05</f>
        <v>-5.2500000000000005E-2</v>
      </c>
      <c r="O30" s="33">
        <v>0</v>
      </c>
      <c r="P30" s="33">
        <f>5</f>
        <v>5</v>
      </c>
      <c r="Q30" s="39" t="s">
        <v>107</v>
      </c>
      <c r="S30" s="33">
        <f>S29+9</f>
        <v>38</v>
      </c>
      <c r="T30" s="33" t="s">
        <v>389</v>
      </c>
      <c r="U30" s="33" t="s">
        <v>390</v>
      </c>
    </row>
    <row r="31" spans="3:21" x14ac:dyDescent="0.2">
      <c r="C31" s="33" t="s">
        <v>289</v>
      </c>
      <c r="E31" s="33" t="s">
        <v>106</v>
      </c>
      <c r="G31" s="33" t="s">
        <v>41</v>
      </c>
      <c r="H31" s="33" t="str">
        <f t="shared" si="3"/>
        <v>TL</v>
      </c>
      <c r="J31" s="33">
        <v>2040</v>
      </c>
      <c r="K31" s="33" t="s">
        <v>39</v>
      </c>
      <c r="L31" s="33" t="s">
        <v>17</v>
      </c>
      <c r="M31" s="33">
        <v>1</v>
      </c>
      <c r="N31" s="38">
        <f>N30*1.08</f>
        <v>-5.6700000000000007E-2</v>
      </c>
      <c r="O31" s="33">
        <v>0</v>
      </c>
      <c r="P31" s="33">
        <f>5</f>
        <v>5</v>
      </c>
      <c r="Q31" s="39" t="s">
        <v>107</v>
      </c>
      <c r="S31" s="33">
        <f>S30+9</f>
        <v>47</v>
      </c>
      <c r="T31" s="33" t="s">
        <v>389</v>
      </c>
      <c r="U31" s="33" t="s">
        <v>390</v>
      </c>
    </row>
    <row r="32" spans="3:21" x14ac:dyDescent="0.2">
      <c r="C32" s="33" t="s">
        <v>289</v>
      </c>
      <c r="E32" s="33" t="s">
        <v>106</v>
      </c>
      <c r="G32" s="33" t="s">
        <v>41</v>
      </c>
      <c r="H32" s="33" t="str">
        <f t="shared" si="3"/>
        <v>TL</v>
      </c>
      <c r="J32" s="33">
        <v>2050</v>
      </c>
      <c r="K32" s="33" t="s">
        <v>39</v>
      </c>
      <c r="L32" s="33" t="s">
        <v>17</v>
      </c>
      <c r="M32" s="33">
        <v>1</v>
      </c>
      <c r="N32" s="38">
        <f t="shared" ref="N32" si="7">N31*1.1</f>
        <v>-6.2370000000000016E-2</v>
      </c>
      <c r="O32" s="33">
        <v>0</v>
      </c>
      <c r="P32" s="33">
        <f>5</f>
        <v>5</v>
      </c>
      <c r="Q32" s="39" t="s">
        <v>107</v>
      </c>
      <c r="S32" s="33">
        <f>S31+9</f>
        <v>56</v>
      </c>
      <c r="T32" s="33" t="s">
        <v>389</v>
      </c>
      <c r="U32" s="33" t="s">
        <v>390</v>
      </c>
    </row>
    <row r="33" spans="3:21" x14ac:dyDescent="0.2">
      <c r="C33" s="33" t="s">
        <v>289</v>
      </c>
      <c r="E33" s="33" t="s">
        <v>106</v>
      </c>
      <c r="G33" s="33" t="s">
        <v>41</v>
      </c>
      <c r="H33" s="33" t="str">
        <f t="shared" ref="H33:H68" si="8">G$15</f>
        <v>TL</v>
      </c>
      <c r="J33" s="33">
        <v>2055</v>
      </c>
      <c r="K33" s="33" t="s">
        <v>39</v>
      </c>
      <c r="L33" s="33" t="s">
        <v>17</v>
      </c>
      <c r="M33" s="33">
        <v>1</v>
      </c>
      <c r="N33" s="38">
        <f>N32</f>
        <v>-6.2370000000000016E-2</v>
      </c>
      <c r="O33" s="33">
        <v>0</v>
      </c>
      <c r="P33" s="33">
        <f>5</f>
        <v>5</v>
      </c>
      <c r="Q33" s="39" t="s">
        <v>107</v>
      </c>
      <c r="T33" s="33" t="s">
        <v>389</v>
      </c>
      <c r="U33" s="33" t="s">
        <v>390</v>
      </c>
    </row>
    <row r="34" spans="3:21" x14ac:dyDescent="0.2">
      <c r="C34" s="33" t="s">
        <v>290</v>
      </c>
      <c r="E34" s="33" t="s">
        <v>53</v>
      </c>
      <c r="G34" s="33" t="s">
        <v>41</v>
      </c>
      <c r="H34" s="33" t="str">
        <f t="shared" ref="H34:H40" si="9">G$15</f>
        <v>TL</v>
      </c>
      <c r="J34" s="33">
        <v>2011</v>
      </c>
      <c r="K34" s="33" t="s">
        <v>39</v>
      </c>
      <c r="L34" s="33" t="s">
        <v>17</v>
      </c>
      <c r="M34" s="33">
        <v>1</v>
      </c>
      <c r="N34" s="38">
        <f>-(SUMIFS('initial results'!$I:$I,'initial results'!$A:$A,$T34)+SUMIFS('initial results'!$I:$I,'initial results'!$A:$A,$U34))/SUMIFS('initial results'!I:I,'initial results'!$H:$H,"TL")*0.98</f>
        <v>-9.4762859085652205E-3</v>
      </c>
      <c r="O34" s="33">
        <v>0</v>
      </c>
      <c r="P34" s="33">
        <f>5</f>
        <v>5</v>
      </c>
      <c r="Q34" s="39" t="s">
        <v>24</v>
      </c>
      <c r="R34" s="39"/>
      <c r="S34" s="33">
        <v>19</v>
      </c>
      <c r="T34" s="33" t="s">
        <v>391</v>
      </c>
      <c r="U34" s="33" t="s">
        <v>392</v>
      </c>
    </row>
    <row r="35" spans="3:21" x14ac:dyDescent="0.2">
      <c r="C35" s="33" t="s">
        <v>290</v>
      </c>
      <c r="E35" s="33" t="s">
        <v>53</v>
      </c>
      <c r="G35" s="33" t="s">
        <v>41</v>
      </c>
      <c r="H35" s="33" t="str">
        <f t="shared" si="9"/>
        <v>TL</v>
      </c>
      <c r="J35" s="33">
        <v>2015</v>
      </c>
      <c r="K35" s="33" t="s">
        <v>39</v>
      </c>
      <c r="L35" s="33" t="s">
        <v>17</v>
      </c>
      <c r="M35" s="33">
        <v>1</v>
      </c>
      <c r="N35" s="38">
        <f>N34*0.95</f>
        <v>-9.0024716131369593E-3</v>
      </c>
      <c r="O35" s="33">
        <v>0</v>
      </c>
      <c r="P35" s="33">
        <f>5</f>
        <v>5</v>
      </c>
      <c r="Q35" s="39" t="s">
        <v>24</v>
      </c>
      <c r="R35" s="39"/>
      <c r="S35" s="33">
        <v>19</v>
      </c>
      <c r="T35" s="33" t="s">
        <v>391</v>
      </c>
      <c r="U35" s="33" t="s">
        <v>392</v>
      </c>
    </row>
    <row r="36" spans="3:21" x14ac:dyDescent="0.2">
      <c r="C36" s="33" t="s">
        <v>290</v>
      </c>
      <c r="E36" s="33" t="s">
        <v>53</v>
      </c>
      <c r="G36" s="33" t="s">
        <v>41</v>
      </c>
      <c r="H36" s="33" t="str">
        <f t="shared" si="9"/>
        <v>TL</v>
      </c>
      <c r="J36" s="33">
        <v>2020</v>
      </c>
      <c r="K36" s="33" t="s">
        <v>39</v>
      </c>
      <c r="L36" s="33" t="s">
        <v>17</v>
      </c>
      <c r="M36" s="33">
        <v>1</v>
      </c>
      <c r="N36" s="38">
        <f>N35*0.95</f>
        <v>-8.5523480324801102E-3</v>
      </c>
      <c r="O36" s="33">
        <v>0</v>
      </c>
      <c r="P36" s="33">
        <f>5</f>
        <v>5</v>
      </c>
      <c r="Q36" s="39" t="s">
        <v>24</v>
      </c>
      <c r="R36" s="39"/>
      <c r="S36" s="33">
        <f>S35+9</f>
        <v>28</v>
      </c>
      <c r="T36" s="33" t="s">
        <v>391</v>
      </c>
      <c r="U36" s="33" t="s">
        <v>392</v>
      </c>
    </row>
    <row r="37" spans="3:21" x14ac:dyDescent="0.2">
      <c r="C37" s="33" t="s">
        <v>290</v>
      </c>
      <c r="E37" s="33" t="s">
        <v>53</v>
      </c>
      <c r="G37" s="33" t="s">
        <v>41</v>
      </c>
      <c r="H37" s="33" t="str">
        <f t="shared" si="9"/>
        <v>TL</v>
      </c>
      <c r="J37" s="33">
        <v>2030</v>
      </c>
      <c r="K37" s="33" t="s">
        <v>39</v>
      </c>
      <c r="L37" s="33" t="s">
        <v>17</v>
      </c>
      <c r="M37" s="33">
        <v>1</v>
      </c>
      <c r="N37" s="38">
        <f>N36</f>
        <v>-8.5523480324801102E-3</v>
      </c>
      <c r="O37" s="33">
        <v>0</v>
      </c>
      <c r="P37" s="33">
        <f>5</f>
        <v>5</v>
      </c>
      <c r="Q37" s="39" t="s">
        <v>24</v>
      </c>
      <c r="R37" s="39"/>
      <c r="S37" s="33">
        <f>S36+9</f>
        <v>37</v>
      </c>
      <c r="T37" s="33" t="s">
        <v>391</v>
      </c>
      <c r="U37" s="33" t="s">
        <v>392</v>
      </c>
    </row>
    <row r="38" spans="3:21" x14ac:dyDescent="0.2">
      <c r="C38" s="33" t="s">
        <v>290</v>
      </c>
      <c r="E38" s="33" t="s">
        <v>53</v>
      </c>
      <c r="G38" s="33" t="s">
        <v>41</v>
      </c>
      <c r="H38" s="33" t="str">
        <f t="shared" si="9"/>
        <v>TL</v>
      </c>
      <c r="J38" s="33">
        <v>2040</v>
      </c>
      <c r="K38" s="33" t="s">
        <v>39</v>
      </c>
      <c r="L38" s="33" t="s">
        <v>17</v>
      </c>
      <c r="M38" s="33">
        <v>1</v>
      </c>
      <c r="N38" s="38">
        <f t="shared" ref="N38:N39" si="10">N37</f>
        <v>-8.5523480324801102E-3</v>
      </c>
      <c r="O38" s="33">
        <v>0</v>
      </c>
      <c r="P38" s="33">
        <f>5</f>
        <v>5</v>
      </c>
      <c r="Q38" s="39" t="s">
        <v>24</v>
      </c>
      <c r="R38" s="39"/>
      <c r="S38" s="33">
        <f>S37+9</f>
        <v>46</v>
      </c>
      <c r="T38" s="33" t="s">
        <v>391</v>
      </c>
      <c r="U38" s="33" t="s">
        <v>392</v>
      </c>
    </row>
    <row r="39" spans="3:21" x14ac:dyDescent="0.2">
      <c r="C39" s="33" t="s">
        <v>290</v>
      </c>
      <c r="E39" s="33" t="s">
        <v>53</v>
      </c>
      <c r="G39" s="33" t="s">
        <v>41</v>
      </c>
      <c r="H39" s="33" t="str">
        <f t="shared" si="9"/>
        <v>TL</v>
      </c>
      <c r="J39" s="33">
        <v>2050</v>
      </c>
      <c r="K39" s="33" t="s">
        <v>39</v>
      </c>
      <c r="L39" s="33" t="s">
        <v>17</v>
      </c>
      <c r="M39" s="33">
        <v>1</v>
      </c>
      <c r="N39" s="38">
        <f t="shared" si="10"/>
        <v>-8.5523480324801102E-3</v>
      </c>
      <c r="O39" s="33">
        <v>0</v>
      </c>
      <c r="P39" s="33">
        <f>5</f>
        <v>5</v>
      </c>
      <c r="Q39" s="39" t="s">
        <v>24</v>
      </c>
      <c r="R39" s="39"/>
      <c r="S39" s="33">
        <f>S38+9</f>
        <v>55</v>
      </c>
      <c r="T39" s="33" t="s">
        <v>391</v>
      </c>
      <c r="U39" s="33" t="s">
        <v>392</v>
      </c>
    </row>
    <row r="40" spans="3:21" x14ac:dyDescent="0.2">
      <c r="C40" s="33" t="s">
        <v>290</v>
      </c>
      <c r="E40" s="33" t="s">
        <v>53</v>
      </c>
      <c r="G40" s="33" t="s">
        <v>41</v>
      </c>
      <c r="H40" s="33" t="str">
        <f t="shared" si="9"/>
        <v>TL</v>
      </c>
      <c r="J40" s="33">
        <v>2055</v>
      </c>
      <c r="K40" s="33" t="s">
        <v>39</v>
      </c>
      <c r="L40" s="33" t="s">
        <v>17</v>
      </c>
      <c r="M40" s="33">
        <v>1</v>
      </c>
      <c r="N40" s="38">
        <f>N39</f>
        <v>-8.5523480324801102E-3</v>
      </c>
      <c r="O40" s="33">
        <v>0</v>
      </c>
      <c r="P40" s="33">
        <f>5</f>
        <v>5</v>
      </c>
      <c r="Q40" s="39" t="s">
        <v>24</v>
      </c>
      <c r="T40" s="33" t="s">
        <v>391</v>
      </c>
      <c r="U40" s="33" t="s">
        <v>392</v>
      </c>
    </row>
    <row r="41" spans="3:21" x14ac:dyDescent="0.2">
      <c r="C41" s="33" t="s">
        <v>291</v>
      </c>
      <c r="E41" s="33" t="s">
        <v>108</v>
      </c>
      <c r="G41" s="33" t="s">
        <v>41</v>
      </c>
      <c r="H41" s="33" t="str">
        <f t="shared" ref="H41" si="11">G$15</f>
        <v>TL</v>
      </c>
      <c r="J41" s="33">
        <v>2011</v>
      </c>
      <c r="K41" s="33" t="s">
        <v>39</v>
      </c>
      <c r="L41" s="33" t="s">
        <v>17</v>
      </c>
      <c r="M41" s="33">
        <v>1</v>
      </c>
      <c r="N41" s="38">
        <f>-(SUMIFS('initial results'!$I:$I,'initial results'!$A:$A,$T41)+SUMIFS('initial results'!$I:$I,'initial results'!$A:$A,$U41))/SUMIFS('initial results'!I:I,'initial results'!$H:$H,"TL")*0.98</f>
        <v>-3.1327732452675443E-3</v>
      </c>
      <c r="O41" s="33">
        <v>0</v>
      </c>
      <c r="P41" s="33">
        <f>5</f>
        <v>5</v>
      </c>
      <c r="Q41" s="39" t="s">
        <v>22</v>
      </c>
      <c r="R41" s="39"/>
      <c r="S41" s="33">
        <v>19</v>
      </c>
      <c r="T41" s="33" t="s">
        <v>393</v>
      </c>
      <c r="U41" s="33" t="s">
        <v>394</v>
      </c>
    </row>
    <row r="42" spans="3:21" x14ac:dyDescent="0.2">
      <c r="C42" s="33" t="s">
        <v>291</v>
      </c>
      <c r="E42" s="33" t="s">
        <v>108</v>
      </c>
      <c r="G42" s="33" t="s">
        <v>41</v>
      </c>
      <c r="H42" s="33" t="str">
        <f t="shared" ref="H42:H48" si="12">G$15</f>
        <v>TL</v>
      </c>
      <c r="J42" s="33">
        <v>2015</v>
      </c>
      <c r="K42" s="33" t="s">
        <v>39</v>
      </c>
      <c r="L42" s="33" t="s">
        <v>17</v>
      </c>
      <c r="M42" s="33">
        <v>1</v>
      </c>
      <c r="N42" s="38">
        <f>N41*0.95</f>
        <v>-2.9761345830041667E-3</v>
      </c>
      <c r="O42" s="33">
        <v>0</v>
      </c>
      <c r="P42" s="33">
        <f>5</f>
        <v>5</v>
      </c>
      <c r="Q42" s="39" t="s">
        <v>22</v>
      </c>
      <c r="R42" s="39"/>
      <c r="S42" s="33">
        <v>19</v>
      </c>
      <c r="T42" s="33" t="s">
        <v>393</v>
      </c>
      <c r="U42" s="33" t="s">
        <v>394</v>
      </c>
    </row>
    <row r="43" spans="3:21" x14ac:dyDescent="0.2">
      <c r="C43" s="33" t="s">
        <v>291</v>
      </c>
      <c r="E43" s="33" t="s">
        <v>108</v>
      </c>
      <c r="G43" s="33" t="s">
        <v>41</v>
      </c>
      <c r="H43" s="33" t="str">
        <f t="shared" si="12"/>
        <v>TL</v>
      </c>
      <c r="J43" s="33">
        <v>2020</v>
      </c>
      <c r="K43" s="33" t="s">
        <v>39</v>
      </c>
      <c r="L43" s="33" t="s">
        <v>17</v>
      </c>
      <c r="M43" s="33">
        <v>1</v>
      </c>
      <c r="N43" s="38">
        <f>N42*0.95</f>
        <v>-2.8273278538539582E-3</v>
      </c>
      <c r="O43" s="33">
        <v>0</v>
      </c>
      <c r="P43" s="33">
        <f>5</f>
        <v>5</v>
      </c>
      <c r="Q43" s="39" t="s">
        <v>22</v>
      </c>
      <c r="S43" s="33">
        <f>S42+9</f>
        <v>28</v>
      </c>
      <c r="T43" s="33" t="s">
        <v>393</v>
      </c>
      <c r="U43" s="33" t="s">
        <v>394</v>
      </c>
    </row>
    <row r="44" spans="3:21" x14ac:dyDescent="0.2">
      <c r="C44" s="33" t="s">
        <v>291</v>
      </c>
      <c r="E44" s="33" t="s">
        <v>108</v>
      </c>
      <c r="G44" s="33" t="s">
        <v>41</v>
      </c>
      <c r="H44" s="33" t="str">
        <f t="shared" si="12"/>
        <v>TL</v>
      </c>
      <c r="J44" s="33">
        <v>2030</v>
      </c>
      <c r="K44" s="33" t="s">
        <v>39</v>
      </c>
      <c r="L44" s="33" t="s">
        <v>17</v>
      </c>
      <c r="M44" s="33">
        <v>1</v>
      </c>
      <c r="N44" s="38">
        <f>N43</f>
        <v>-2.8273278538539582E-3</v>
      </c>
      <c r="O44" s="33">
        <v>0</v>
      </c>
      <c r="P44" s="33">
        <f>5</f>
        <v>5</v>
      </c>
      <c r="Q44" s="39" t="s">
        <v>22</v>
      </c>
      <c r="S44" s="33">
        <f>S43+9</f>
        <v>37</v>
      </c>
      <c r="T44" s="33" t="s">
        <v>393</v>
      </c>
      <c r="U44" s="33" t="s">
        <v>394</v>
      </c>
    </row>
    <row r="45" spans="3:21" x14ac:dyDescent="0.2">
      <c r="C45" s="33" t="s">
        <v>291</v>
      </c>
      <c r="E45" s="33" t="s">
        <v>108</v>
      </c>
      <c r="G45" s="33" t="s">
        <v>41</v>
      </c>
      <c r="H45" s="33" t="str">
        <f t="shared" si="12"/>
        <v>TL</v>
      </c>
      <c r="J45" s="33">
        <v>2040</v>
      </c>
      <c r="K45" s="33" t="s">
        <v>39</v>
      </c>
      <c r="L45" s="33" t="s">
        <v>17</v>
      </c>
      <c r="M45" s="33">
        <v>1</v>
      </c>
      <c r="N45" s="38">
        <f t="shared" ref="N45:N46" si="13">N44</f>
        <v>-2.8273278538539582E-3</v>
      </c>
      <c r="O45" s="33">
        <v>0</v>
      </c>
      <c r="P45" s="33">
        <f>5</f>
        <v>5</v>
      </c>
      <c r="Q45" s="39" t="s">
        <v>22</v>
      </c>
      <c r="S45" s="33">
        <f>S44+9</f>
        <v>46</v>
      </c>
      <c r="T45" s="33" t="s">
        <v>393</v>
      </c>
      <c r="U45" s="33" t="s">
        <v>394</v>
      </c>
    </row>
    <row r="46" spans="3:21" x14ac:dyDescent="0.2">
      <c r="C46" s="33" t="s">
        <v>291</v>
      </c>
      <c r="E46" s="33" t="s">
        <v>108</v>
      </c>
      <c r="G46" s="33" t="s">
        <v>41</v>
      </c>
      <c r="H46" s="33" t="str">
        <f t="shared" si="12"/>
        <v>TL</v>
      </c>
      <c r="J46" s="33">
        <v>2050</v>
      </c>
      <c r="K46" s="33" t="s">
        <v>39</v>
      </c>
      <c r="L46" s="33" t="s">
        <v>17</v>
      </c>
      <c r="M46" s="33">
        <v>1</v>
      </c>
      <c r="N46" s="38">
        <f t="shared" si="13"/>
        <v>-2.8273278538539582E-3</v>
      </c>
      <c r="O46" s="33">
        <v>0</v>
      </c>
      <c r="P46" s="33">
        <f>5</f>
        <v>5</v>
      </c>
      <c r="Q46" s="39" t="s">
        <v>22</v>
      </c>
      <c r="S46" s="33">
        <f>S45+9</f>
        <v>55</v>
      </c>
      <c r="T46" s="33" t="s">
        <v>393</v>
      </c>
      <c r="U46" s="33" t="s">
        <v>394</v>
      </c>
    </row>
    <row r="47" spans="3:21" x14ac:dyDescent="0.2">
      <c r="C47" s="33" t="s">
        <v>291</v>
      </c>
      <c r="E47" s="33" t="s">
        <v>108</v>
      </c>
      <c r="G47" s="33" t="s">
        <v>41</v>
      </c>
      <c r="H47" s="33" t="str">
        <f t="shared" si="12"/>
        <v>TL</v>
      </c>
      <c r="J47" s="33">
        <v>2055</v>
      </c>
      <c r="K47" s="33" t="s">
        <v>39</v>
      </c>
      <c r="L47" s="33" t="s">
        <v>17</v>
      </c>
      <c r="M47" s="33">
        <v>1</v>
      </c>
      <c r="N47" s="38">
        <f>N46</f>
        <v>-2.8273278538539582E-3</v>
      </c>
      <c r="O47" s="33">
        <v>0</v>
      </c>
      <c r="P47" s="33">
        <f>5</f>
        <v>5</v>
      </c>
      <c r="Q47" s="39" t="s">
        <v>22</v>
      </c>
      <c r="T47" s="33" t="s">
        <v>393</v>
      </c>
      <c r="U47" s="33" t="s">
        <v>394</v>
      </c>
    </row>
    <row r="48" spans="3:21" x14ac:dyDescent="0.2">
      <c r="C48" s="33" t="s">
        <v>292</v>
      </c>
      <c r="E48" s="33" t="s">
        <v>54</v>
      </c>
      <c r="G48" s="33" t="s">
        <v>41</v>
      </c>
      <c r="H48" s="33" t="str">
        <f t="shared" si="12"/>
        <v>TL</v>
      </c>
      <c r="J48" s="33">
        <v>2011</v>
      </c>
      <c r="K48" s="33" t="s">
        <v>39</v>
      </c>
      <c r="L48" s="33" t="s">
        <v>17</v>
      </c>
      <c r="M48" s="33">
        <v>1</v>
      </c>
      <c r="N48" s="38">
        <f>-(SUMIFS('initial results'!$I:$I,'initial results'!$A:$A,$T48)+SUMIFS('initial results'!$I:$I,'initial results'!$A:$A,$U48))/SUMIFS('initial results'!I:I,'initial results'!$H:$H,"TL")*0.98</f>
        <v>-6.469772615795579E-3</v>
      </c>
      <c r="O48" s="33">
        <v>0</v>
      </c>
      <c r="P48" s="33">
        <f>5</f>
        <v>5</v>
      </c>
      <c r="Q48" s="39" t="s">
        <v>25</v>
      </c>
      <c r="R48" s="39"/>
      <c r="S48" s="33">
        <v>19</v>
      </c>
      <c r="T48" s="33" t="s">
        <v>395</v>
      </c>
      <c r="U48" s="33" t="s">
        <v>396</v>
      </c>
    </row>
    <row r="49" spans="3:21" x14ac:dyDescent="0.2">
      <c r="C49" s="33" t="s">
        <v>292</v>
      </c>
      <c r="E49" s="33" t="s">
        <v>54</v>
      </c>
      <c r="G49" s="33" t="s">
        <v>41</v>
      </c>
      <c r="H49" s="33" t="str">
        <f t="shared" ref="H49:H55" si="14">G$15</f>
        <v>TL</v>
      </c>
      <c r="J49" s="33">
        <v>2015</v>
      </c>
      <c r="K49" s="33" t="s">
        <v>39</v>
      </c>
      <c r="L49" s="33" t="s">
        <v>17</v>
      </c>
      <c r="M49" s="33">
        <v>1</v>
      </c>
      <c r="N49" s="38">
        <f>N48*0.9</f>
        <v>-5.8227953542160215E-3</v>
      </c>
      <c r="O49" s="33">
        <v>0</v>
      </c>
      <c r="P49" s="33">
        <f>5</f>
        <v>5</v>
      </c>
      <c r="Q49" s="39" t="s">
        <v>25</v>
      </c>
      <c r="R49" s="39"/>
      <c r="S49" s="33">
        <v>19</v>
      </c>
      <c r="T49" s="33" t="s">
        <v>395</v>
      </c>
      <c r="U49" s="33" t="s">
        <v>396</v>
      </c>
    </row>
    <row r="50" spans="3:21" x14ac:dyDescent="0.2">
      <c r="C50" s="33" t="s">
        <v>292</v>
      </c>
      <c r="E50" s="33" t="s">
        <v>54</v>
      </c>
      <c r="G50" s="33" t="s">
        <v>41</v>
      </c>
      <c r="H50" s="33" t="str">
        <f t="shared" si="14"/>
        <v>TL</v>
      </c>
      <c r="J50" s="33">
        <v>2020</v>
      </c>
      <c r="K50" s="33" t="s">
        <v>39</v>
      </c>
      <c r="L50" s="33" t="s">
        <v>17</v>
      </c>
      <c r="M50" s="33">
        <v>1</v>
      </c>
      <c r="N50" s="38">
        <f>N49*0.9</f>
        <v>-5.2405158187944197E-3</v>
      </c>
      <c r="O50" s="33">
        <v>0</v>
      </c>
      <c r="P50" s="33">
        <f>5</f>
        <v>5</v>
      </c>
      <c r="Q50" s="39" t="s">
        <v>25</v>
      </c>
      <c r="R50" s="39"/>
      <c r="S50" s="33">
        <f>S49+9</f>
        <v>28</v>
      </c>
      <c r="T50" s="33" t="s">
        <v>395</v>
      </c>
      <c r="U50" s="33" t="s">
        <v>396</v>
      </c>
    </row>
    <row r="51" spans="3:21" x14ac:dyDescent="0.2">
      <c r="C51" s="33" t="s">
        <v>292</v>
      </c>
      <c r="E51" s="33" t="s">
        <v>54</v>
      </c>
      <c r="G51" s="33" t="s">
        <v>41</v>
      </c>
      <c r="H51" s="33" t="str">
        <f t="shared" si="14"/>
        <v>TL</v>
      </c>
      <c r="J51" s="33">
        <v>2030</v>
      </c>
      <c r="K51" s="33" t="s">
        <v>39</v>
      </c>
      <c r="L51" s="33" t="s">
        <v>17</v>
      </c>
      <c r="M51" s="33">
        <v>1</v>
      </c>
      <c r="N51" s="38">
        <f>N50*0.9</f>
        <v>-4.7164642369149782E-3</v>
      </c>
      <c r="O51" s="33">
        <v>0</v>
      </c>
      <c r="P51" s="33">
        <f>5</f>
        <v>5</v>
      </c>
      <c r="Q51" s="39" t="s">
        <v>25</v>
      </c>
      <c r="R51" s="39"/>
      <c r="S51" s="33">
        <f>S50+9</f>
        <v>37</v>
      </c>
      <c r="T51" s="33" t="s">
        <v>395</v>
      </c>
      <c r="U51" s="33" t="s">
        <v>396</v>
      </c>
    </row>
    <row r="52" spans="3:21" x14ac:dyDescent="0.2">
      <c r="C52" s="33" t="s">
        <v>292</v>
      </c>
      <c r="E52" s="33" t="s">
        <v>54</v>
      </c>
      <c r="G52" s="33" t="s">
        <v>41</v>
      </c>
      <c r="H52" s="33" t="str">
        <f t="shared" si="14"/>
        <v>TL</v>
      </c>
      <c r="J52" s="33">
        <v>2040</v>
      </c>
      <c r="K52" s="33" t="s">
        <v>39</v>
      </c>
      <c r="L52" s="33" t="s">
        <v>17</v>
      </c>
      <c r="M52" s="33">
        <v>1</v>
      </c>
      <c r="N52" s="38">
        <f t="shared" ref="N52:N53" si="15">N51</f>
        <v>-4.7164642369149782E-3</v>
      </c>
      <c r="O52" s="33">
        <v>0</v>
      </c>
      <c r="P52" s="33">
        <f>5</f>
        <v>5</v>
      </c>
      <c r="Q52" s="39" t="s">
        <v>25</v>
      </c>
      <c r="R52" s="39"/>
      <c r="S52" s="33">
        <f>S51+9</f>
        <v>46</v>
      </c>
      <c r="T52" s="33" t="s">
        <v>395</v>
      </c>
      <c r="U52" s="33" t="s">
        <v>396</v>
      </c>
    </row>
    <row r="53" spans="3:21" x14ac:dyDescent="0.2">
      <c r="C53" s="33" t="s">
        <v>292</v>
      </c>
      <c r="E53" s="33" t="s">
        <v>54</v>
      </c>
      <c r="G53" s="33" t="s">
        <v>41</v>
      </c>
      <c r="H53" s="33" t="str">
        <f t="shared" si="14"/>
        <v>TL</v>
      </c>
      <c r="J53" s="33">
        <v>2050</v>
      </c>
      <c r="K53" s="33" t="s">
        <v>39</v>
      </c>
      <c r="L53" s="33" t="s">
        <v>17</v>
      </c>
      <c r="M53" s="33">
        <v>1</v>
      </c>
      <c r="N53" s="38">
        <f t="shared" si="15"/>
        <v>-4.7164642369149782E-3</v>
      </c>
      <c r="O53" s="33">
        <v>0</v>
      </c>
      <c r="P53" s="33">
        <f>5</f>
        <v>5</v>
      </c>
      <c r="Q53" s="39" t="s">
        <v>25</v>
      </c>
      <c r="R53" s="39"/>
      <c r="S53" s="33">
        <f>S52+9</f>
        <v>55</v>
      </c>
      <c r="T53" s="33" t="s">
        <v>395</v>
      </c>
      <c r="U53" s="33" t="s">
        <v>396</v>
      </c>
    </row>
    <row r="54" spans="3:21" x14ac:dyDescent="0.2">
      <c r="C54" s="33" t="s">
        <v>292</v>
      </c>
      <c r="E54" s="33" t="s">
        <v>54</v>
      </c>
      <c r="G54" s="33" t="s">
        <v>41</v>
      </c>
      <c r="H54" s="33" t="str">
        <f t="shared" si="14"/>
        <v>TL</v>
      </c>
      <c r="J54" s="33">
        <v>2055</v>
      </c>
      <c r="K54" s="33" t="s">
        <v>39</v>
      </c>
      <c r="L54" s="33" t="s">
        <v>17</v>
      </c>
      <c r="M54" s="33">
        <v>1</v>
      </c>
      <c r="N54" s="38">
        <f>N53</f>
        <v>-4.7164642369149782E-3</v>
      </c>
      <c r="O54" s="33">
        <v>0</v>
      </c>
      <c r="P54" s="33">
        <f>5</f>
        <v>5</v>
      </c>
      <c r="Q54" s="39" t="s">
        <v>25</v>
      </c>
      <c r="T54" s="33" t="s">
        <v>395</v>
      </c>
      <c r="U54" s="33" t="s">
        <v>396</v>
      </c>
    </row>
    <row r="55" spans="3:21" x14ac:dyDescent="0.2">
      <c r="C55" s="33" t="s">
        <v>293</v>
      </c>
      <c r="E55" s="33" t="s">
        <v>51</v>
      </c>
      <c r="G55" s="33" t="s">
        <v>41</v>
      </c>
      <c r="H55" s="33" t="str">
        <f t="shared" si="14"/>
        <v>TL</v>
      </c>
      <c r="J55" s="33">
        <v>2011</v>
      </c>
      <c r="K55" s="33" t="s">
        <v>39</v>
      </c>
      <c r="L55" s="33" t="s">
        <v>17</v>
      </c>
      <c r="M55" s="33">
        <v>1</v>
      </c>
      <c r="N55" s="38">
        <f>-(SUMIFS('initial results'!$I:$I,'initial results'!$A:$A,$T55)+SUMIFS('initial results'!$I:$I,'initial results'!$A:$A,$U55))/SUMIFS('initial results'!I:I,'initial results'!$H:$H,"TL")*0.98</f>
        <v>-1.4591760453362757E-3</v>
      </c>
      <c r="O55" s="33">
        <v>0</v>
      </c>
      <c r="P55" s="33">
        <f>5</f>
        <v>5</v>
      </c>
      <c r="Q55" s="39" t="s">
        <v>21</v>
      </c>
      <c r="R55" s="39"/>
      <c r="S55" s="33">
        <v>19</v>
      </c>
      <c r="T55" s="33" t="s">
        <v>397</v>
      </c>
      <c r="U55" s="33" t="s">
        <v>398</v>
      </c>
    </row>
    <row r="56" spans="3:21" x14ac:dyDescent="0.2">
      <c r="C56" s="33" t="s">
        <v>293</v>
      </c>
      <c r="E56" s="33" t="s">
        <v>51</v>
      </c>
      <c r="G56" s="33" t="s">
        <v>41</v>
      </c>
      <c r="H56" s="33" t="str">
        <f t="shared" si="8"/>
        <v>TL</v>
      </c>
      <c r="J56" s="33">
        <v>2015</v>
      </c>
      <c r="K56" s="33" t="s">
        <v>39</v>
      </c>
      <c r="L56" s="33" t="s">
        <v>17</v>
      </c>
      <c r="M56" s="33">
        <v>1</v>
      </c>
      <c r="N56" s="38">
        <f>N55*0.95</f>
        <v>-1.3862172430694618E-3</v>
      </c>
      <c r="O56" s="33">
        <v>0</v>
      </c>
      <c r="P56" s="33">
        <f>5</f>
        <v>5</v>
      </c>
      <c r="Q56" s="39" t="s">
        <v>21</v>
      </c>
      <c r="R56" s="39"/>
      <c r="S56" s="33">
        <v>19</v>
      </c>
      <c r="T56" s="33" t="s">
        <v>397</v>
      </c>
      <c r="U56" s="33" t="s">
        <v>398</v>
      </c>
    </row>
    <row r="57" spans="3:21" x14ac:dyDescent="0.2">
      <c r="C57" s="33" t="s">
        <v>293</v>
      </c>
      <c r="E57" s="33" t="s">
        <v>51</v>
      </c>
      <c r="G57" s="33" t="s">
        <v>41</v>
      </c>
      <c r="H57" s="33" t="str">
        <f t="shared" si="8"/>
        <v>TL</v>
      </c>
      <c r="J57" s="33">
        <v>2020</v>
      </c>
      <c r="K57" s="33" t="s">
        <v>39</v>
      </c>
      <c r="L57" s="33" t="s">
        <v>17</v>
      </c>
      <c r="M57" s="33">
        <v>1</v>
      </c>
      <c r="N57" s="38">
        <f>N56*0.9</f>
        <v>-1.2475955187625156E-3</v>
      </c>
      <c r="O57" s="33">
        <v>0</v>
      </c>
      <c r="P57" s="33">
        <f>5</f>
        <v>5</v>
      </c>
      <c r="Q57" s="39" t="s">
        <v>21</v>
      </c>
      <c r="S57" s="33">
        <f>S56+9</f>
        <v>28</v>
      </c>
      <c r="T57" s="33" t="s">
        <v>397</v>
      </c>
      <c r="U57" s="33" t="s">
        <v>398</v>
      </c>
    </row>
    <row r="58" spans="3:21" x14ac:dyDescent="0.2">
      <c r="C58" s="33" t="s">
        <v>293</v>
      </c>
      <c r="E58" s="33" t="s">
        <v>51</v>
      </c>
      <c r="G58" s="33" t="s">
        <v>41</v>
      </c>
      <c r="H58" s="33" t="str">
        <f t="shared" si="8"/>
        <v>TL</v>
      </c>
      <c r="J58" s="33">
        <v>2030</v>
      </c>
      <c r="K58" s="33" t="s">
        <v>39</v>
      </c>
      <c r="L58" s="33" t="s">
        <v>17</v>
      </c>
      <c r="M58" s="33">
        <v>1</v>
      </c>
      <c r="N58" s="38">
        <f>N57*0.9</f>
        <v>-1.122835966886264E-3</v>
      </c>
      <c r="O58" s="33">
        <v>0</v>
      </c>
      <c r="P58" s="33">
        <f>5</f>
        <v>5</v>
      </c>
      <c r="Q58" s="39" t="s">
        <v>21</v>
      </c>
      <c r="S58" s="33">
        <f>S57+9</f>
        <v>37</v>
      </c>
      <c r="T58" s="33" t="s">
        <v>397</v>
      </c>
      <c r="U58" s="33" t="s">
        <v>398</v>
      </c>
    </row>
    <row r="59" spans="3:21" x14ac:dyDescent="0.2">
      <c r="C59" s="33" t="s">
        <v>293</v>
      </c>
      <c r="E59" s="33" t="s">
        <v>51</v>
      </c>
      <c r="G59" s="33" t="s">
        <v>41</v>
      </c>
      <c r="H59" s="33" t="str">
        <f t="shared" si="8"/>
        <v>TL</v>
      </c>
      <c r="J59" s="33">
        <v>2040</v>
      </c>
      <c r="K59" s="33" t="s">
        <v>39</v>
      </c>
      <c r="L59" s="33" t="s">
        <v>17</v>
      </c>
      <c r="M59" s="33">
        <v>1</v>
      </c>
      <c r="N59" s="38">
        <f t="shared" ref="N59:N60" si="16">N58</f>
        <v>-1.122835966886264E-3</v>
      </c>
      <c r="O59" s="33">
        <v>0</v>
      </c>
      <c r="P59" s="33">
        <f>5</f>
        <v>5</v>
      </c>
      <c r="Q59" s="39" t="s">
        <v>21</v>
      </c>
      <c r="S59" s="33">
        <f>S58+9</f>
        <v>46</v>
      </c>
      <c r="T59" s="33" t="s">
        <v>397</v>
      </c>
      <c r="U59" s="33" t="s">
        <v>398</v>
      </c>
    </row>
    <row r="60" spans="3:21" x14ac:dyDescent="0.2">
      <c r="C60" s="33" t="s">
        <v>293</v>
      </c>
      <c r="E60" s="33" t="s">
        <v>51</v>
      </c>
      <c r="G60" s="33" t="s">
        <v>41</v>
      </c>
      <c r="H60" s="33" t="str">
        <f t="shared" si="8"/>
        <v>TL</v>
      </c>
      <c r="J60" s="33">
        <v>2050</v>
      </c>
      <c r="K60" s="33" t="s">
        <v>39</v>
      </c>
      <c r="L60" s="33" t="s">
        <v>17</v>
      </c>
      <c r="M60" s="33">
        <v>1</v>
      </c>
      <c r="N60" s="38">
        <f t="shared" si="16"/>
        <v>-1.122835966886264E-3</v>
      </c>
      <c r="O60" s="33">
        <v>0</v>
      </c>
      <c r="P60" s="33">
        <f>5</f>
        <v>5</v>
      </c>
      <c r="Q60" s="39" t="s">
        <v>21</v>
      </c>
      <c r="S60" s="33">
        <f>S59+9</f>
        <v>55</v>
      </c>
      <c r="T60" s="33" t="s">
        <v>397</v>
      </c>
      <c r="U60" s="33" t="s">
        <v>398</v>
      </c>
    </row>
    <row r="61" spans="3:21" x14ac:dyDescent="0.2">
      <c r="C61" s="33" t="s">
        <v>293</v>
      </c>
      <c r="E61" s="33" t="s">
        <v>51</v>
      </c>
      <c r="G61" s="33" t="s">
        <v>41</v>
      </c>
      <c r="H61" s="33" t="str">
        <f t="shared" si="8"/>
        <v>TL</v>
      </c>
      <c r="J61" s="33">
        <v>2055</v>
      </c>
      <c r="K61" s="33" t="s">
        <v>39</v>
      </c>
      <c r="L61" s="33" t="s">
        <v>17</v>
      </c>
      <c r="M61" s="33">
        <v>1</v>
      </c>
      <c r="N61" s="38">
        <f>N60</f>
        <v>-1.122835966886264E-3</v>
      </c>
      <c r="O61" s="33">
        <v>0</v>
      </c>
      <c r="P61" s="33">
        <f>5</f>
        <v>5</v>
      </c>
      <c r="Q61" s="39" t="s">
        <v>21</v>
      </c>
      <c r="T61" s="33" t="s">
        <v>397</v>
      </c>
      <c r="U61" s="33" t="s">
        <v>398</v>
      </c>
    </row>
    <row r="62" spans="3:21" x14ac:dyDescent="0.2">
      <c r="C62" s="33" t="s">
        <v>294</v>
      </c>
      <c r="E62" s="33" t="s">
        <v>109</v>
      </c>
      <c r="G62" s="33" t="s">
        <v>41</v>
      </c>
      <c r="H62" s="33" t="str">
        <f t="shared" ref="H62" si="17">G$15</f>
        <v>TL</v>
      </c>
      <c r="J62" s="33">
        <v>2011</v>
      </c>
      <c r="K62" s="33" t="s">
        <v>39</v>
      </c>
      <c r="L62" s="33" t="s">
        <v>17</v>
      </c>
      <c r="M62" s="33">
        <v>1</v>
      </c>
      <c r="N62" s="38">
        <f>-(SUMIFS('initial results'!$I:$I,'initial results'!$A:$A,$T62)+SUMIFS('initial results'!$I:$I,'initial results'!$A:$A,$U62))/SUMIFS('initial results'!I:I,'initial results'!$H:$H,"TL")*0.98</f>
        <v>-1.6134260516151765E-2</v>
      </c>
      <c r="O62" s="33">
        <v>0</v>
      </c>
      <c r="P62" s="33">
        <f>5</f>
        <v>5</v>
      </c>
      <c r="Q62" s="39" t="s">
        <v>110</v>
      </c>
      <c r="S62" s="33">
        <v>20</v>
      </c>
      <c r="T62" s="33" t="s">
        <v>399</v>
      </c>
      <c r="U62" s="33" t="s">
        <v>400</v>
      </c>
    </row>
    <row r="63" spans="3:21" x14ac:dyDescent="0.2">
      <c r="C63" s="33" t="s">
        <v>294</v>
      </c>
      <c r="E63" s="33" t="s">
        <v>109</v>
      </c>
      <c r="G63" s="33" t="s">
        <v>41</v>
      </c>
      <c r="H63" s="33" t="str">
        <f t="shared" si="8"/>
        <v>TL</v>
      </c>
      <c r="J63" s="33">
        <v>2015</v>
      </c>
      <c r="K63" s="33" t="s">
        <v>39</v>
      </c>
      <c r="L63" s="33" t="s">
        <v>17</v>
      </c>
      <c r="M63" s="33">
        <v>1</v>
      </c>
      <c r="N63" s="38">
        <f>N62</f>
        <v>-1.6134260516151765E-2</v>
      </c>
      <c r="O63" s="33">
        <v>0</v>
      </c>
      <c r="P63" s="33">
        <f>5</f>
        <v>5</v>
      </c>
      <c r="Q63" s="39" t="s">
        <v>110</v>
      </c>
      <c r="S63" s="33">
        <v>20</v>
      </c>
      <c r="T63" s="33" t="s">
        <v>399</v>
      </c>
      <c r="U63" s="33" t="s">
        <v>400</v>
      </c>
    </row>
    <row r="64" spans="3:21" x14ac:dyDescent="0.2">
      <c r="C64" s="33" t="s">
        <v>294</v>
      </c>
      <c r="E64" s="33" t="s">
        <v>109</v>
      </c>
      <c r="G64" s="33" t="s">
        <v>41</v>
      </c>
      <c r="H64" s="33" t="str">
        <f t="shared" si="8"/>
        <v>TL</v>
      </c>
      <c r="J64" s="33">
        <v>2020</v>
      </c>
      <c r="K64" s="33" t="s">
        <v>39</v>
      </c>
      <c r="L64" s="33" t="s">
        <v>17</v>
      </c>
      <c r="M64" s="33">
        <v>1</v>
      </c>
      <c r="N64" s="38">
        <f t="shared" ref="N64:N68" si="18">N63</f>
        <v>-1.6134260516151765E-2</v>
      </c>
      <c r="O64" s="33">
        <v>0</v>
      </c>
      <c r="P64" s="33">
        <f>5</f>
        <v>5</v>
      </c>
      <c r="Q64" s="39" t="s">
        <v>110</v>
      </c>
      <c r="S64" s="33">
        <f>S63+9</f>
        <v>29</v>
      </c>
      <c r="T64" s="33" t="s">
        <v>399</v>
      </c>
      <c r="U64" s="33" t="s">
        <v>400</v>
      </c>
    </row>
    <row r="65" spans="3:21" x14ac:dyDescent="0.2">
      <c r="C65" s="33" t="s">
        <v>294</v>
      </c>
      <c r="E65" s="33" t="s">
        <v>109</v>
      </c>
      <c r="G65" s="33" t="s">
        <v>41</v>
      </c>
      <c r="H65" s="33" t="str">
        <f t="shared" si="8"/>
        <v>TL</v>
      </c>
      <c r="J65" s="33">
        <v>2030</v>
      </c>
      <c r="K65" s="33" t="s">
        <v>39</v>
      </c>
      <c r="L65" s="33" t="s">
        <v>17</v>
      </c>
      <c r="M65" s="33">
        <v>1</v>
      </c>
      <c r="N65" s="38">
        <f t="shared" si="18"/>
        <v>-1.6134260516151765E-2</v>
      </c>
      <c r="O65" s="33">
        <v>0</v>
      </c>
      <c r="P65" s="33">
        <f>5</f>
        <v>5</v>
      </c>
      <c r="Q65" s="39" t="s">
        <v>110</v>
      </c>
      <c r="S65" s="33">
        <f>S64+9</f>
        <v>38</v>
      </c>
      <c r="T65" s="33" t="s">
        <v>399</v>
      </c>
      <c r="U65" s="33" t="s">
        <v>400</v>
      </c>
    </row>
    <row r="66" spans="3:21" x14ac:dyDescent="0.2">
      <c r="C66" s="33" t="s">
        <v>294</v>
      </c>
      <c r="E66" s="33" t="s">
        <v>109</v>
      </c>
      <c r="G66" s="33" t="s">
        <v>41</v>
      </c>
      <c r="H66" s="33" t="str">
        <f t="shared" si="8"/>
        <v>TL</v>
      </c>
      <c r="J66" s="33">
        <v>2040</v>
      </c>
      <c r="K66" s="33" t="s">
        <v>39</v>
      </c>
      <c r="L66" s="33" t="s">
        <v>17</v>
      </c>
      <c r="M66" s="33">
        <v>1</v>
      </c>
      <c r="N66" s="38">
        <f t="shared" si="18"/>
        <v>-1.6134260516151765E-2</v>
      </c>
      <c r="O66" s="33">
        <v>0</v>
      </c>
      <c r="P66" s="33">
        <f>5</f>
        <v>5</v>
      </c>
      <c r="Q66" s="39" t="s">
        <v>110</v>
      </c>
      <c r="S66" s="33">
        <f>S65+9</f>
        <v>47</v>
      </c>
      <c r="T66" s="33" t="s">
        <v>399</v>
      </c>
      <c r="U66" s="33" t="s">
        <v>400</v>
      </c>
    </row>
    <row r="67" spans="3:21" x14ac:dyDescent="0.2">
      <c r="C67" s="33" t="s">
        <v>294</v>
      </c>
      <c r="E67" s="33" t="s">
        <v>109</v>
      </c>
      <c r="G67" s="33" t="s">
        <v>41</v>
      </c>
      <c r="H67" s="33" t="str">
        <f t="shared" si="8"/>
        <v>TL</v>
      </c>
      <c r="J67" s="33">
        <v>2050</v>
      </c>
      <c r="K67" s="33" t="s">
        <v>39</v>
      </c>
      <c r="L67" s="33" t="s">
        <v>17</v>
      </c>
      <c r="M67" s="33">
        <v>1</v>
      </c>
      <c r="N67" s="38">
        <f t="shared" si="18"/>
        <v>-1.6134260516151765E-2</v>
      </c>
      <c r="O67" s="33">
        <v>0</v>
      </c>
      <c r="P67" s="33">
        <f>5</f>
        <v>5</v>
      </c>
      <c r="Q67" s="39" t="s">
        <v>110</v>
      </c>
      <c r="S67" s="33">
        <f>S66+9</f>
        <v>56</v>
      </c>
      <c r="T67" s="33" t="s">
        <v>399</v>
      </c>
      <c r="U67" s="33" t="s">
        <v>400</v>
      </c>
    </row>
    <row r="68" spans="3:21" x14ac:dyDescent="0.2">
      <c r="C68" s="33" t="s">
        <v>294</v>
      </c>
      <c r="E68" s="33" t="s">
        <v>109</v>
      </c>
      <c r="G68" s="33" t="s">
        <v>41</v>
      </c>
      <c r="H68" s="33" t="str">
        <f t="shared" si="8"/>
        <v>TL</v>
      </c>
      <c r="J68" s="33">
        <v>2055</v>
      </c>
      <c r="K68" s="33" t="s">
        <v>39</v>
      </c>
      <c r="L68" s="33" t="s">
        <v>17</v>
      </c>
      <c r="M68" s="33">
        <v>1</v>
      </c>
      <c r="N68" s="38">
        <f t="shared" si="18"/>
        <v>-1.6134260516151765E-2</v>
      </c>
      <c r="O68" s="33">
        <v>0</v>
      </c>
      <c r="P68" s="33">
        <f>5</f>
        <v>5</v>
      </c>
      <c r="Q68" s="39" t="s">
        <v>110</v>
      </c>
      <c r="T68" s="33" t="s">
        <v>399</v>
      </c>
      <c r="U68" s="33" t="s">
        <v>400</v>
      </c>
    </row>
    <row r="69" spans="3:21" x14ac:dyDescent="0.2">
      <c r="N69" s="38"/>
      <c r="Q69" s="39"/>
    </row>
    <row r="70" spans="3:21" x14ac:dyDescent="0.2">
      <c r="M70" s="33">
        <v>2011</v>
      </c>
      <c r="N70" s="38">
        <f>N7+N14+N21+N34+N41+N48+N55+N62</f>
        <v>-5.0211385130075455E-2</v>
      </c>
      <c r="Q70" s="39"/>
    </row>
    <row r="71" spans="3:21" x14ac:dyDescent="0.2">
      <c r="M71" s="33">
        <v>2015</v>
      </c>
      <c r="N71" s="38">
        <f>N8+N15+N22+N35+N42+N49+N56+N63+N28</f>
        <v>-7.8189896484641752E-2</v>
      </c>
      <c r="Q71" s="39"/>
    </row>
    <row r="72" spans="3:21" x14ac:dyDescent="0.2">
      <c r="M72" s="33">
        <v>2020</v>
      </c>
      <c r="N72" s="38">
        <f t="shared" ref="N72:N75" si="19">N9+N16+N23+N36+N43+N50+N57+N64+N29</f>
        <v>-9.6256245073634186E-2</v>
      </c>
      <c r="Q72" s="39"/>
    </row>
    <row r="73" spans="3:21" x14ac:dyDescent="0.2">
      <c r="M73" s="33">
        <v>2030</v>
      </c>
      <c r="N73" s="38">
        <f t="shared" si="19"/>
        <v>-9.8107433939878502E-2</v>
      </c>
      <c r="Q73" s="39"/>
    </row>
    <row r="74" spans="3:21" x14ac:dyDescent="0.2">
      <c r="M74" s="33">
        <v>2040</v>
      </c>
      <c r="N74" s="38">
        <f t="shared" si="19"/>
        <v>-0.1023074339398785</v>
      </c>
      <c r="Q74" s="39"/>
    </row>
    <row r="75" spans="3:21" x14ac:dyDescent="0.2">
      <c r="M75" s="33">
        <v>2050</v>
      </c>
      <c r="N75" s="38">
        <f t="shared" si="19"/>
        <v>-0.10797743393987851</v>
      </c>
      <c r="Q75" s="39"/>
    </row>
    <row r="76" spans="3:21" x14ac:dyDescent="0.2">
      <c r="M76" s="33">
        <v>2055</v>
      </c>
      <c r="N76" s="38">
        <f>N13+N20+N27+N40+N47+N54+N61+N68+N33</f>
        <v>-0.10797743393987851</v>
      </c>
      <c r="Q76" s="39"/>
    </row>
    <row r="77" spans="3:21" x14ac:dyDescent="0.2">
      <c r="N77" s="38"/>
      <c r="Q77" s="39"/>
    </row>
    <row r="78" spans="3:21" x14ac:dyDescent="0.2">
      <c r="N78" s="38"/>
      <c r="Q78" s="39"/>
    </row>
    <row r="79" spans="3:21" x14ac:dyDescent="0.2">
      <c r="N79" s="38"/>
      <c r="Q79" s="39"/>
    </row>
    <row r="80" spans="3:21" x14ac:dyDescent="0.2">
      <c r="N80" s="38"/>
      <c r="Q80" s="39"/>
    </row>
    <row r="81" spans="14:17" x14ac:dyDescent="0.2">
      <c r="N81" s="38"/>
      <c r="Q81" s="39"/>
    </row>
    <row r="82" spans="14:17" x14ac:dyDescent="0.2">
      <c r="N82" s="38"/>
      <c r="Q82" s="39"/>
    </row>
    <row r="83" spans="14:17" x14ac:dyDescent="0.2">
      <c r="N83" s="38"/>
      <c r="Q83" s="39"/>
    </row>
    <row r="84" spans="14:17" x14ac:dyDescent="0.2">
      <c r="N84" s="38"/>
      <c r="Q84" s="39"/>
    </row>
    <row r="85" spans="14:17" x14ac:dyDescent="0.2">
      <c r="N85" s="38"/>
      <c r="Q85" s="39"/>
    </row>
    <row r="86" spans="14:17" x14ac:dyDescent="0.2">
      <c r="N86" s="38"/>
      <c r="Q86" s="39"/>
    </row>
    <row r="87" spans="14:17" x14ac:dyDescent="0.2">
      <c r="N87" s="38"/>
      <c r="Q87" s="39"/>
    </row>
    <row r="88" spans="14:17" x14ac:dyDescent="0.2">
      <c r="N88" s="38"/>
      <c r="Q88" s="39"/>
    </row>
    <row r="89" spans="14:17" x14ac:dyDescent="0.2">
      <c r="N89" s="38"/>
      <c r="Q89" s="39"/>
    </row>
    <row r="90" spans="14:17" x14ac:dyDescent="0.2">
      <c r="N90" s="38"/>
      <c r="Q90" s="39"/>
    </row>
    <row r="91" spans="14:17" x14ac:dyDescent="0.2">
      <c r="N91" s="38"/>
      <c r="Q91" s="39"/>
    </row>
    <row r="92" spans="14:17" x14ac:dyDescent="0.2">
      <c r="N92" s="38"/>
      <c r="Q92" s="39"/>
    </row>
    <row r="93" spans="14:17" x14ac:dyDescent="0.2">
      <c r="N93" s="38"/>
      <c r="Q93" s="39"/>
    </row>
    <row r="94" spans="14:17" x14ac:dyDescent="0.2">
      <c r="N94" s="38"/>
      <c r="Q94" s="39"/>
    </row>
    <row r="95" spans="14:17" x14ac:dyDescent="0.2">
      <c r="N95" s="38"/>
      <c r="Q95" s="39"/>
    </row>
    <row r="96" spans="14:17" x14ac:dyDescent="0.2">
      <c r="N96" s="38"/>
      <c r="Q96" s="39"/>
    </row>
    <row r="97" spans="14:17" x14ac:dyDescent="0.2">
      <c r="N97" s="38"/>
      <c r="Q97" s="39"/>
    </row>
    <row r="98" spans="14:17" x14ac:dyDescent="0.2">
      <c r="N98" s="38"/>
      <c r="Q98" s="39"/>
    </row>
    <row r="99" spans="14:17" x14ac:dyDescent="0.2">
      <c r="N99" s="38"/>
      <c r="Q99" s="39"/>
    </row>
    <row r="100" spans="14:17" x14ac:dyDescent="0.2">
      <c r="N100" s="38"/>
      <c r="Q100" s="39"/>
    </row>
    <row r="101" spans="14:17" x14ac:dyDescent="0.2">
      <c r="N101" s="38"/>
      <c r="Q101" s="39"/>
    </row>
    <row r="102" spans="14:17" x14ac:dyDescent="0.2">
      <c r="N102" s="38"/>
      <c r="Q102" s="39"/>
    </row>
    <row r="103" spans="14:17" x14ac:dyDescent="0.2">
      <c r="N103" s="38"/>
      <c r="Q103" s="39"/>
    </row>
    <row r="104" spans="14:17" x14ac:dyDescent="0.2">
      <c r="N104" s="38"/>
      <c r="Q104" s="39"/>
    </row>
    <row r="105" spans="14:17" x14ac:dyDescent="0.2">
      <c r="N105" s="38"/>
      <c r="Q105" s="39"/>
    </row>
    <row r="106" spans="14:17" x14ac:dyDescent="0.2">
      <c r="N106" s="38"/>
      <c r="Q106" s="39"/>
    </row>
    <row r="107" spans="14:17" x14ac:dyDescent="0.2">
      <c r="N107" s="38"/>
      <c r="Q107" s="39"/>
    </row>
    <row r="108" spans="14:17" x14ac:dyDescent="0.2">
      <c r="N108" s="38"/>
      <c r="Q108" s="39"/>
    </row>
    <row r="109" spans="14:17" x14ac:dyDescent="0.2">
      <c r="N109" s="38"/>
      <c r="Q109" s="39"/>
    </row>
    <row r="110" spans="14:17" x14ac:dyDescent="0.2">
      <c r="N110" s="38"/>
      <c r="Q110" s="39"/>
    </row>
    <row r="111" spans="14:17" x14ac:dyDescent="0.2">
      <c r="N111" s="38"/>
    </row>
    <row r="112" spans="14:17" x14ac:dyDescent="0.2">
      <c r="N112" s="38"/>
    </row>
    <row r="113" spans="14:14" x14ac:dyDescent="0.2">
      <c r="N113" s="38"/>
    </row>
    <row r="114" spans="14:14" x14ac:dyDescent="0.2">
      <c r="N114" s="38"/>
    </row>
    <row r="115" spans="14:14" x14ac:dyDescent="0.2">
      <c r="N115" s="38"/>
    </row>
    <row r="116" spans="14:14" x14ac:dyDescent="0.2">
      <c r="N116" s="38"/>
    </row>
    <row r="117" spans="14:14" x14ac:dyDescent="0.2">
      <c r="N117" s="38"/>
    </row>
    <row r="118" spans="14:14" x14ac:dyDescent="0.2">
      <c r="N118" s="38"/>
    </row>
    <row r="119" spans="14:14" x14ac:dyDescent="0.2">
      <c r="N119" s="38"/>
    </row>
    <row r="120" spans="14:14" x14ac:dyDescent="0.2">
      <c r="N120" s="38"/>
    </row>
    <row r="121" spans="14:14" x14ac:dyDescent="0.2">
      <c r="N121" s="38"/>
    </row>
    <row r="122" spans="14:14" x14ac:dyDescent="0.2">
      <c r="N122" s="38"/>
    </row>
    <row r="123" spans="14:14" x14ac:dyDescent="0.2">
      <c r="N123" s="38"/>
    </row>
    <row r="124" spans="14:14" x14ac:dyDescent="0.2">
      <c r="N124" s="38"/>
    </row>
  </sheetData>
  <phoneticPr fontId="6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2:R324"/>
  <sheetViews>
    <sheetView tabSelected="1" topLeftCell="A198" workbookViewId="0">
      <selection activeCell="M220" sqref="M220"/>
    </sheetView>
  </sheetViews>
  <sheetFormatPr defaultRowHeight="13.2" x14ac:dyDescent="0.25"/>
  <cols>
    <col min="1" max="1" width="2.88671875" customWidth="1"/>
    <col min="2" max="2" width="3.6640625" customWidth="1"/>
    <col min="3" max="3" width="19.44140625" customWidth="1"/>
    <col min="5" max="5" width="30.5546875" bestFit="1" customWidth="1"/>
    <col min="6" max="6" width="8" customWidth="1"/>
    <col min="7" max="8" width="8.21875" bestFit="1" customWidth="1"/>
    <col min="9" max="9" width="6.5546875" customWidth="1"/>
    <col min="10" max="10" width="7.109375" customWidth="1"/>
    <col min="11" max="11" width="8" customWidth="1"/>
    <col min="12" max="12" width="8.44140625" bestFit="1" customWidth="1"/>
    <col min="13" max="13" width="13.5546875" bestFit="1" customWidth="1"/>
    <col min="14" max="14" width="10.6640625" customWidth="1"/>
    <col min="15" max="15" width="13.5546875" customWidth="1"/>
    <col min="16" max="16" width="17" bestFit="1" customWidth="1"/>
    <col min="17" max="17" width="14.21875" customWidth="1"/>
  </cols>
  <sheetData>
    <row r="2" spans="2:17" ht="14.4" x14ac:dyDescent="0.3">
      <c r="B2" t="s">
        <v>5</v>
      </c>
      <c r="D2" s="1" t="s">
        <v>16</v>
      </c>
    </row>
    <row r="3" spans="2:17" x14ac:dyDescent="0.25">
      <c r="C3" s="6" t="s">
        <v>6</v>
      </c>
    </row>
    <row r="4" spans="2:17" x14ac:dyDescent="0.25">
      <c r="C4" s="6" t="s">
        <v>7</v>
      </c>
    </row>
    <row r="5" spans="2:17" x14ac:dyDescent="0.25">
      <c r="K5" t="s">
        <v>0</v>
      </c>
    </row>
    <row r="6" spans="2:17" x14ac:dyDescent="0.25">
      <c r="C6" s="7" t="s">
        <v>1</v>
      </c>
      <c r="D6" s="7" t="s">
        <v>8</v>
      </c>
      <c r="E6" s="7" t="s">
        <v>4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2</v>
      </c>
      <c r="L6" s="7" t="s">
        <v>14</v>
      </c>
      <c r="M6" s="7" t="s">
        <v>15</v>
      </c>
      <c r="N6" s="7" t="s">
        <v>28</v>
      </c>
      <c r="O6" s="7" t="s">
        <v>29</v>
      </c>
      <c r="P6" s="7" t="s">
        <v>3</v>
      </c>
    </row>
    <row r="7" spans="2:17" x14ac:dyDescent="0.25">
      <c r="C7" s="5" t="s">
        <v>218</v>
      </c>
      <c r="D7" s="5"/>
      <c r="E7" s="51" t="s">
        <v>215</v>
      </c>
      <c r="F7" s="5"/>
      <c r="G7" s="5" t="s">
        <v>41</v>
      </c>
      <c r="H7" s="5" t="s">
        <v>41</v>
      </c>
      <c r="J7" s="5">
        <v>2011</v>
      </c>
      <c r="K7" s="5" t="s">
        <v>17</v>
      </c>
      <c r="L7" s="5">
        <v>1</v>
      </c>
      <c r="M7" s="38">
        <f>-'initial results'!O9*0.98</f>
        <v>-0.23790873525746586</v>
      </c>
      <c r="N7" s="5">
        <v>0</v>
      </c>
      <c r="O7" s="5">
        <v>5</v>
      </c>
      <c r="P7" s="52" t="str">
        <f>_xlfn.CONCAT(RIGHT(C7,7)," share")</f>
        <v>TLCCONV share</v>
      </c>
      <c r="Q7" s="62"/>
    </row>
    <row r="8" spans="2:17" x14ac:dyDescent="0.25">
      <c r="C8" s="5" t="s">
        <v>218</v>
      </c>
      <c r="D8" s="5"/>
      <c r="E8" s="51" t="s">
        <v>215</v>
      </c>
      <c r="F8" s="5"/>
      <c r="G8" s="5" t="s">
        <v>41</v>
      </c>
      <c r="H8" s="5" t="s">
        <v>41</v>
      </c>
      <c r="J8" s="5">
        <v>2015</v>
      </c>
      <c r="K8" s="5" t="s">
        <v>17</v>
      </c>
      <c r="L8" s="5">
        <v>1</v>
      </c>
      <c r="M8" s="38">
        <f>M7*0.9</f>
        <v>-0.21411786173171929</v>
      </c>
      <c r="N8" s="5">
        <v>0</v>
      </c>
      <c r="O8" s="5">
        <v>5</v>
      </c>
      <c r="P8" s="52" t="str">
        <f t="shared" ref="P8:P45" si="0">_xlfn.CONCAT(RIGHT(C8,7)," share")</f>
        <v>TLCCONV share</v>
      </c>
      <c r="Q8" s="62"/>
    </row>
    <row r="9" spans="2:17" x14ac:dyDescent="0.25">
      <c r="C9" s="5" t="s">
        <v>218</v>
      </c>
      <c r="D9" s="5"/>
      <c r="E9" s="51" t="s">
        <v>215</v>
      </c>
      <c r="F9" s="5"/>
      <c r="G9" s="5" t="s">
        <v>41</v>
      </c>
      <c r="H9" s="5" t="s">
        <v>41</v>
      </c>
      <c r="J9" s="5">
        <v>2020</v>
      </c>
      <c r="K9" s="5" t="s">
        <v>17</v>
      </c>
      <c r="L9" s="5">
        <v>1</v>
      </c>
      <c r="M9" s="38">
        <f>M7*0.85</f>
        <v>-0.20222242496884599</v>
      </c>
      <c r="N9" s="5">
        <v>0</v>
      </c>
      <c r="O9" s="5">
        <v>5</v>
      </c>
      <c r="P9" s="52" t="str">
        <f t="shared" si="0"/>
        <v>TLCCONV share</v>
      </c>
      <c r="Q9" s="62"/>
    </row>
    <row r="10" spans="2:17" x14ac:dyDescent="0.25">
      <c r="C10" s="5" t="s">
        <v>218</v>
      </c>
      <c r="D10" s="5"/>
      <c r="E10" s="51" t="s">
        <v>215</v>
      </c>
      <c r="F10" s="5"/>
      <c r="G10" s="5" t="s">
        <v>41</v>
      </c>
      <c r="H10" s="5" t="s">
        <v>41</v>
      </c>
      <c r="J10" s="5">
        <v>2025</v>
      </c>
      <c r="K10" s="5" t="s">
        <v>17</v>
      </c>
      <c r="L10" s="5">
        <v>1</v>
      </c>
      <c r="M10" s="38">
        <f>M7*0.6</f>
        <v>-0.14274524115447951</v>
      </c>
      <c r="N10" s="5">
        <v>0</v>
      </c>
      <c r="O10" s="5">
        <v>5</v>
      </c>
      <c r="P10" s="52" t="str">
        <f t="shared" ref="P10" si="1">_xlfn.CONCAT(RIGHT(C10,7)," share")</f>
        <v>TLCCONV share</v>
      </c>
      <c r="Q10" s="62"/>
    </row>
    <row r="11" spans="2:17" x14ac:dyDescent="0.25">
      <c r="C11" s="5" t="s">
        <v>218</v>
      </c>
      <c r="D11" s="5"/>
      <c r="E11" s="51" t="s">
        <v>215</v>
      </c>
      <c r="F11" s="5"/>
      <c r="G11" s="5" t="s">
        <v>41</v>
      </c>
      <c r="H11" s="5" t="s">
        <v>41</v>
      </c>
      <c r="J11" s="5">
        <v>2030</v>
      </c>
      <c r="K11" s="5" t="s">
        <v>17</v>
      </c>
      <c r="L11" s="5">
        <v>1</v>
      </c>
      <c r="M11" s="38">
        <v>0</v>
      </c>
      <c r="N11" s="5">
        <v>0</v>
      </c>
      <c r="O11" s="5">
        <v>5</v>
      </c>
      <c r="P11" s="52" t="str">
        <f t="shared" ref="P11" si="2">_xlfn.CONCAT(RIGHT(C11,7)," share")</f>
        <v>TLCCONV share</v>
      </c>
      <c r="Q11" s="62"/>
    </row>
    <row r="12" spans="2:17" x14ac:dyDescent="0.25">
      <c r="C12" s="5" t="s">
        <v>219</v>
      </c>
      <c r="D12" s="5"/>
      <c r="E12" s="51" t="s">
        <v>216</v>
      </c>
      <c r="F12" s="5"/>
      <c r="G12" s="5" t="s">
        <v>41</v>
      </c>
      <c r="H12" s="5" t="s">
        <v>41</v>
      </c>
      <c r="J12" s="5">
        <v>2011</v>
      </c>
      <c r="K12" s="5" t="s">
        <v>17</v>
      </c>
      <c r="L12" s="5">
        <v>1</v>
      </c>
      <c r="M12" s="38">
        <f>-'initial results'!O17*0.98</f>
        <v>-0.24610833233551163</v>
      </c>
      <c r="N12" s="5">
        <v>0</v>
      </c>
      <c r="O12" s="5">
        <v>5</v>
      </c>
      <c r="P12" s="52" t="str">
        <f t="shared" si="0"/>
        <v>TLFCONV share</v>
      </c>
    </row>
    <row r="13" spans="2:17" x14ac:dyDescent="0.25">
      <c r="C13" s="5" t="s">
        <v>219</v>
      </c>
      <c r="D13" s="5"/>
      <c r="E13" s="51" t="s">
        <v>216</v>
      </c>
      <c r="F13" s="5"/>
      <c r="G13" s="5" t="s">
        <v>41</v>
      </c>
      <c r="H13" s="5" t="s">
        <v>41</v>
      </c>
      <c r="J13" s="5">
        <v>2015</v>
      </c>
      <c r="K13" s="5" t="s">
        <v>17</v>
      </c>
      <c r="L13" s="5">
        <v>1</v>
      </c>
      <c r="M13" s="38">
        <f>M12*0.95</f>
        <v>-0.23380291571873604</v>
      </c>
      <c r="N13" s="5">
        <v>0</v>
      </c>
      <c r="O13" s="5">
        <v>5</v>
      </c>
      <c r="P13" s="52" t="str">
        <f t="shared" si="0"/>
        <v>TLFCONV share</v>
      </c>
    </row>
    <row r="14" spans="2:17" x14ac:dyDescent="0.25">
      <c r="C14" s="5" t="s">
        <v>219</v>
      </c>
      <c r="D14" s="5"/>
      <c r="E14" s="51" t="s">
        <v>216</v>
      </c>
      <c r="F14" s="5"/>
      <c r="G14" s="5" t="s">
        <v>41</v>
      </c>
      <c r="H14" s="5" t="s">
        <v>41</v>
      </c>
      <c r="J14" s="5">
        <v>2020</v>
      </c>
      <c r="K14" s="5" t="s">
        <v>17</v>
      </c>
      <c r="L14" s="5">
        <v>1</v>
      </c>
      <c r="M14" s="38">
        <f>M12*0.85</f>
        <v>-0.20919208248518489</v>
      </c>
      <c r="N14" s="5">
        <v>0</v>
      </c>
      <c r="O14" s="5">
        <v>5</v>
      </c>
      <c r="P14" s="52" t="str">
        <f t="shared" si="0"/>
        <v>TLFCONV share</v>
      </c>
      <c r="Q14" s="62"/>
    </row>
    <row r="15" spans="2:17" x14ac:dyDescent="0.25">
      <c r="C15" s="5" t="s">
        <v>219</v>
      </c>
      <c r="D15" s="5"/>
      <c r="E15" s="51" t="s">
        <v>216</v>
      </c>
      <c r="F15" s="5"/>
      <c r="G15" s="5" t="s">
        <v>41</v>
      </c>
      <c r="H15" s="5" t="s">
        <v>41</v>
      </c>
      <c r="J15" s="5">
        <v>2025</v>
      </c>
      <c r="K15" s="5" t="s">
        <v>17</v>
      </c>
      <c r="L15" s="5">
        <v>1</v>
      </c>
      <c r="M15" s="38">
        <f>M12*0.75</f>
        <v>-0.18458124925163372</v>
      </c>
      <c r="N15" s="5">
        <v>0</v>
      </c>
      <c r="O15" s="5">
        <v>5</v>
      </c>
      <c r="P15" s="52" t="str">
        <f t="shared" si="0"/>
        <v>TLFCONV share</v>
      </c>
      <c r="Q15" s="62"/>
    </row>
    <row r="16" spans="2:17" x14ac:dyDescent="0.25">
      <c r="C16" s="5" t="s">
        <v>219</v>
      </c>
      <c r="D16" s="5"/>
      <c r="E16" s="51" t="s">
        <v>216</v>
      </c>
      <c r="F16" s="5"/>
      <c r="G16" s="5" t="s">
        <v>41</v>
      </c>
      <c r="H16" s="5" t="s">
        <v>41</v>
      </c>
      <c r="J16" s="5">
        <v>2030</v>
      </c>
      <c r="K16" s="5" t="s">
        <v>17</v>
      </c>
      <c r="L16" s="5">
        <v>1</v>
      </c>
      <c r="M16" s="38">
        <v>0</v>
      </c>
      <c r="N16" s="5">
        <v>0</v>
      </c>
      <c r="O16" s="5">
        <v>5</v>
      </c>
      <c r="P16" s="52" t="str">
        <f t="shared" ref="P16" si="3">_xlfn.CONCAT(RIGHT(C16,7)," share")</f>
        <v>TLFCONV share</v>
      </c>
      <c r="Q16" s="62"/>
    </row>
    <row r="17" spans="3:17" x14ac:dyDescent="0.25">
      <c r="C17" s="5" t="s">
        <v>220</v>
      </c>
      <c r="D17" s="5"/>
      <c r="E17" s="51" t="s">
        <v>217</v>
      </c>
      <c r="F17" s="5"/>
      <c r="G17" s="5" t="s">
        <v>41</v>
      </c>
      <c r="H17" s="5" t="s">
        <v>41</v>
      </c>
      <c r="J17" s="5">
        <v>2011</v>
      </c>
      <c r="K17" s="5" t="s">
        <v>17</v>
      </c>
      <c r="L17" s="5">
        <v>1</v>
      </c>
      <c r="M17" s="38">
        <f>-'initial results'!O22*0.9</f>
        <v>-2.0510100109256815E-2</v>
      </c>
      <c r="N17" s="5">
        <v>0</v>
      </c>
      <c r="O17" s="5">
        <v>5</v>
      </c>
      <c r="P17" s="52" t="str">
        <f>_xlfn.CONCAT(RIGHT(C17,8)," share")</f>
        <v>TLLSCONV share</v>
      </c>
      <c r="Q17" s="62"/>
    </row>
    <row r="18" spans="3:17" x14ac:dyDescent="0.25">
      <c r="C18" s="5" t="s">
        <v>220</v>
      </c>
      <c r="D18" s="5"/>
      <c r="E18" s="51" t="s">
        <v>217</v>
      </c>
      <c r="F18" s="5"/>
      <c r="G18" s="5" t="s">
        <v>41</v>
      </c>
      <c r="H18" s="5" t="s">
        <v>41</v>
      </c>
      <c r="J18" s="5">
        <v>2015</v>
      </c>
      <c r="K18" s="5" t="s">
        <v>17</v>
      </c>
      <c r="L18" s="5">
        <v>1</v>
      </c>
      <c r="M18" s="38">
        <f>M17*0.95</f>
        <v>-1.9484595103793974E-2</v>
      </c>
      <c r="N18" s="5">
        <v>0</v>
      </c>
      <c r="O18" s="5">
        <v>5</v>
      </c>
      <c r="P18" s="52" t="str">
        <f t="shared" ref="P18:P25" si="4">_xlfn.CONCAT(RIGHT(C18,8)," share")</f>
        <v>TLLSCONV share</v>
      </c>
    </row>
    <row r="19" spans="3:17" x14ac:dyDescent="0.25">
      <c r="C19" s="5" t="s">
        <v>220</v>
      </c>
      <c r="D19" s="5"/>
      <c r="E19" s="51" t="s">
        <v>217</v>
      </c>
      <c r="F19" s="5"/>
      <c r="G19" s="5" t="s">
        <v>41</v>
      </c>
      <c r="H19" s="5" t="s">
        <v>41</v>
      </c>
      <c r="J19" s="5">
        <v>2020</v>
      </c>
      <c r="K19" s="5" t="s">
        <v>17</v>
      </c>
      <c r="L19" s="5">
        <v>1</v>
      </c>
      <c r="M19" s="38">
        <f>M17*0.85</f>
        <v>-1.7433585092868291E-2</v>
      </c>
      <c r="N19" s="5">
        <v>0</v>
      </c>
      <c r="O19" s="5">
        <v>5</v>
      </c>
      <c r="P19" s="52" t="str">
        <f t="shared" si="4"/>
        <v>TLLSCONV share</v>
      </c>
    </row>
    <row r="20" spans="3:17" x14ac:dyDescent="0.25">
      <c r="C20" s="5" t="s">
        <v>220</v>
      </c>
      <c r="D20" s="5"/>
      <c r="E20" s="51" t="s">
        <v>217</v>
      </c>
      <c r="F20" s="5"/>
      <c r="G20" s="5" t="s">
        <v>41</v>
      </c>
      <c r="H20" s="5" t="s">
        <v>41</v>
      </c>
      <c r="J20" s="5">
        <v>2025</v>
      </c>
      <c r="K20" s="5" t="s">
        <v>17</v>
      </c>
      <c r="L20" s="5">
        <v>1</v>
      </c>
      <c r="M20" s="38">
        <f>M17*0.75</f>
        <v>-1.5382575081942611E-2</v>
      </c>
      <c r="N20" s="5">
        <v>0</v>
      </c>
      <c r="O20" s="5">
        <v>5</v>
      </c>
      <c r="P20" s="52" t="str">
        <f t="shared" si="4"/>
        <v>TLLSCONV share</v>
      </c>
    </row>
    <row r="21" spans="3:17" x14ac:dyDescent="0.25">
      <c r="C21" s="5" t="s">
        <v>220</v>
      </c>
      <c r="D21" s="5"/>
      <c r="E21" s="51" t="s">
        <v>217</v>
      </c>
      <c r="F21" s="5"/>
      <c r="G21" s="5" t="s">
        <v>41</v>
      </c>
      <c r="H21" s="5" t="s">
        <v>41</v>
      </c>
      <c r="J21" s="5">
        <v>2030</v>
      </c>
      <c r="K21" s="5" t="s">
        <v>17</v>
      </c>
      <c r="L21" s="5">
        <v>1</v>
      </c>
      <c r="M21" s="38">
        <v>0</v>
      </c>
      <c r="N21" s="5">
        <v>0</v>
      </c>
      <c r="O21" s="5">
        <v>5</v>
      </c>
      <c r="P21" s="52" t="str">
        <f t="shared" ref="P21" si="5">_xlfn.CONCAT(RIGHT(C21,8)," share")</f>
        <v>TLLSCONV share</v>
      </c>
    </row>
    <row r="22" spans="3:17" x14ac:dyDescent="0.25">
      <c r="C22" s="5" t="s">
        <v>221</v>
      </c>
      <c r="D22" s="5"/>
      <c r="E22" s="51" t="s">
        <v>226</v>
      </c>
      <c r="F22" s="5"/>
      <c r="G22" s="5" t="s">
        <v>41</v>
      </c>
      <c r="H22" s="5" t="s">
        <v>41</v>
      </c>
      <c r="J22" s="5">
        <v>2011</v>
      </c>
      <c r="K22" s="5" t="s">
        <v>17</v>
      </c>
      <c r="L22" s="5">
        <v>1</v>
      </c>
      <c r="M22" s="38">
        <f>-'initial results'!O26*0.9</f>
        <v>-6.6052306815808197E-3</v>
      </c>
      <c r="N22" s="5">
        <v>0</v>
      </c>
      <c r="O22" s="5">
        <v>5</v>
      </c>
      <c r="P22" s="52" t="str">
        <f t="shared" si="4"/>
        <v>TLMCCONV share</v>
      </c>
    </row>
    <row r="23" spans="3:17" x14ac:dyDescent="0.25">
      <c r="C23" s="5" t="s">
        <v>221</v>
      </c>
      <c r="D23" s="5"/>
      <c r="E23" s="51" t="s">
        <v>226</v>
      </c>
      <c r="F23" s="5"/>
      <c r="G23" s="5" t="s">
        <v>41</v>
      </c>
      <c r="H23" s="5" t="s">
        <v>41</v>
      </c>
      <c r="J23" s="5">
        <v>2015</v>
      </c>
      <c r="K23" s="5" t="s">
        <v>17</v>
      </c>
      <c r="L23" s="5">
        <v>1</v>
      </c>
      <c r="M23" s="38">
        <f>M22*0.95</f>
        <v>-6.2749691475017782E-3</v>
      </c>
      <c r="N23" s="5">
        <v>0</v>
      </c>
      <c r="O23" s="5">
        <v>5</v>
      </c>
      <c r="P23" s="52" t="str">
        <f t="shared" si="4"/>
        <v>TLMCCONV share</v>
      </c>
    </row>
    <row r="24" spans="3:17" x14ac:dyDescent="0.25">
      <c r="C24" s="5" t="s">
        <v>221</v>
      </c>
      <c r="D24" s="5"/>
      <c r="E24" s="51" t="s">
        <v>226</v>
      </c>
      <c r="F24" s="5"/>
      <c r="G24" s="5" t="s">
        <v>41</v>
      </c>
      <c r="H24" s="5" t="s">
        <v>41</v>
      </c>
      <c r="J24" s="5">
        <v>2020</v>
      </c>
      <c r="K24" s="5" t="s">
        <v>17</v>
      </c>
      <c r="L24" s="5">
        <v>1</v>
      </c>
      <c r="M24" s="38">
        <f>M22*0.85</f>
        <v>-5.6144460793436969E-3</v>
      </c>
      <c r="N24" s="5">
        <v>0</v>
      </c>
      <c r="O24" s="5">
        <v>5</v>
      </c>
      <c r="P24" s="52" t="str">
        <f t="shared" si="4"/>
        <v>TLMCCONV share</v>
      </c>
    </row>
    <row r="25" spans="3:17" x14ac:dyDescent="0.25">
      <c r="C25" s="5" t="s">
        <v>221</v>
      </c>
      <c r="D25" s="5"/>
      <c r="E25" s="51" t="s">
        <v>226</v>
      </c>
      <c r="F25" s="5"/>
      <c r="G25" s="5" t="s">
        <v>41</v>
      </c>
      <c r="H25" s="5" t="s">
        <v>41</v>
      </c>
      <c r="J25" s="5">
        <v>2025</v>
      </c>
      <c r="K25" s="5" t="s">
        <v>17</v>
      </c>
      <c r="L25" s="5">
        <v>1</v>
      </c>
      <c r="M25" s="38">
        <f>M22*0.75</f>
        <v>-4.9539230111856148E-3</v>
      </c>
      <c r="N25" s="5">
        <v>0</v>
      </c>
      <c r="O25" s="5">
        <v>5</v>
      </c>
      <c r="P25" s="52" t="str">
        <f t="shared" si="4"/>
        <v>TLMCCONV share</v>
      </c>
    </row>
    <row r="26" spans="3:17" x14ac:dyDescent="0.25">
      <c r="C26" s="5" t="s">
        <v>221</v>
      </c>
      <c r="D26" s="5"/>
      <c r="E26" s="51" t="s">
        <v>226</v>
      </c>
      <c r="F26" s="5"/>
      <c r="G26" s="5" t="s">
        <v>41</v>
      </c>
      <c r="H26" s="5" t="s">
        <v>41</v>
      </c>
      <c r="J26" s="5">
        <v>2030</v>
      </c>
      <c r="K26" s="5" t="s">
        <v>17</v>
      </c>
      <c r="L26" s="5">
        <v>1</v>
      </c>
      <c r="M26" s="38">
        <v>0</v>
      </c>
      <c r="N26" s="5">
        <v>0</v>
      </c>
      <c r="O26" s="5">
        <v>5</v>
      </c>
      <c r="P26" s="52" t="str">
        <f t="shared" ref="P26" si="6">_xlfn.CONCAT(RIGHT(C26,8)," share")</f>
        <v>TLMCCONV share</v>
      </c>
    </row>
    <row r="27" spans="3:17" x14ac:dyDescent="0.25">
      <c r="C27" s="5" t="s">
        <v>222</v>
      </c>
      <c r="D27" s="5"/>
      <c r="E27" s="51" t="s">
        <v>227</v>
      </c>
      <c r="F27" s="5"/>
      <c r="G27" s="5" t="s">
        <v>41</v>
      </c>
      <c r="H27" s="5" t="s">
        <v>41</v>
      </c>
      <c r="J27" s="5">
        <v>2011</v>
      </c>
      <c r="K27" s="5" t="s">
        <v>17</v>
      </c>
      <c r="L27" s="5">
        <v>1</v>
      </c>
      <c r="M27" s="38">
        <f>-'initial results'!O29*0.98</f>
        <v>-0.10979341382945373</v>
      </c>
      <c r="N27" s="5">
        <v>0</v>
      </c>
      <c r="O27" s="5">
        <v>5</v>
      </c>
      <c r="P27" s="52" t="str">
        <f t="shared" si="0"/>
        <v>TLPCONV share</v>
      </c>
    </row>
    <row r="28" spans="3:17" x14ac:dyDescent="0.25">
      <c r="C28" s="5" t="s">
        <v>222</v>
      </c>
      <c r="D28" s="5"/>
      <c r="E28" s="51" t="s">
        <v>227</v>
      </c>
      <c r="F28" s="5"/>
      <c r="G28" s="5" t="s">
        <v>41</v>
      </c>
      <c r="H28" s="5" t="s">
        <v>41</v>
      </c>
      <c r="J28" s="5">
        <v>2015</v>
      </c>
      <c r="K28" s="5" t="s">
        <v>17</v>
      </c>
      <c r="L28" s="5">
        <v>1</v>
      </c>
      <c r="M28" s="38">
        <f>M27*0.95</f>
        <v>-0.10430374313798105</v>
      </c>
      <c r="N28" s="5">
        <v>0</v>
      </c>
      <c r="O28" s="5">
        <v>5</v>
      </c>
      <c r="P28" s="52" t="str">
        <f t="shared" si="0"/>
        <v>TLPCONV share</v>
      </c>
    </row>
    <row r="29" spans="3:17" x14ac:dyDescent="0.25">
      <c r="C29" s="5" t="s">
        <v>222</v>
      </c>
      <c r="D29" s="5"/>
      <c r="E29" s="51" t="s">
        <v>227</v>
      </c>
      <c r="F29" s="5"/>
      <c r="G29" s="5" t="s">
        <v>41</v>
      </c>
      <c r="H29" s="5" t="s">
        <v>41</v>
      </c>
      <c r="J29" s="5">
        <v>2020</v>
      </c>
      <c r="K29" s="5" t="s">
        <v>17</v>
      </c>
      <c r="L29" s="5">
        <v>1</v>
      </c>
      <c r="M29" s="38">
        <f>M27*0.85</f>
        <v>-9.3324401755035674E-2</v>
      </c>
      <c r="N29" s="5">
        <v>0</v>
      </c>
      <c r="O29" s="5">
        <v>5</v>
      </c>
      <c r="P29" s="52" t="str">
        <f t="shared" si="0"/>
        <v>TLPCONV share</v>
      </c>
    </row>
    <row r="30" spans="3:17" x14ac:dyDescent="0.25">
      <c r="C30" s="5" t="s">
        <v>222</v>
      </c>
      <c r="D30" s="5"/>
      <c r="E30" s="51" t="s">
        <v>227</v>
      </c>
      <c r="F30" s="5"/>
      <c r="G30" s="5" t="s">
        <v>41</v>
      </c>
      <c r="H30" s="5" t="s">
        <v>41</v>
      </c>
      <c r="J30" s="5">
        <v>2025</v>
      </c>
      <c r="K30" s="5" t="s">
        <v>17</v>
      </c>
      <c r="L30" s="5">
        <v>1</v>
      </c>
      <c r="M30" s="38">
        <f>M27*0.75</f>
        <v>-8.2345060372090301E-2</v>
      </c>
      <c r="N30" s="5">
        <v>0</v>
      </c>
      <c r="O30" s="5">
        <v>5</v>
      </c>
      <c r="P30" s="52" t="str">
        <f t="shared" si="0"/>
        <v>TLPCONV share</v>
      </c>
    </row>
    <row r="31" spans="3:17" x14ac:dyDescent="0.25">
      <c r="C31" s="5" t="s">
        <v>222</v>
      </c>
      <c r="D31" s="5"/>
      <c r="E31" s="51" t="s">
        <v>227</v>
      </c>
      <c r="F31" s="5"/>
      <c r="G31" s="5" t="s">
        <v>41</v>
      </c>
      <c r="H31" s="5" t="s">
        <v>41</v>
      </c>
      <c r="J31" s="5">
        <v>2030</v>
      </c>
      <c r="K31" s="5" t="s">
        <v>17</v>
      </c>
      <c r="L31" s="5">
        <v>1</v>
      </c>
      <c r="M31" s="38">
        <v>0</v>
      </c>
      <c r="N31" s="5">
        <v>0</v>
      </c>
      <c r="O31" s="5">
        <v>5</v>
      </c>
      <c r="P31" s="52" t="str">
        <f t="shared" ref="P31" si="7">_xlfn.CONCAT(RIGHT(C31,7)," share")</f>
        <v>TLPCONV share</v>
      </c>
    </row>
    <row r="32" spans="3:17" x14ac:dyDescent="0.25">
      <c r="C32" s="5" t="s">
        <v>223</v>
      </c>
      <c r="D32" s="5"/>
      <c r="E32" s="51" t="s">
        <v>228</v>
      </c>
      <c r="F32" s="5"/>
      <c r="G32" s="5" t="s">
        <v>41</v>
      </c>
      <c r="H32" s="5" t="s">
        <v>41</v>
      </c>
      <c r="J32" s="5">
        <v>2011</v>
      </c>
      <c r="K32" s="5" t="s">
        <v>17</v>
      </c>
      <c r="L32" s="5">
        <v>1</v>
      </c>
      <c r="M32" s="38">
        <f>-'initial results'!O34*0.98</f>
        <v>-9.0191850480449809E-2</v>
      </c>
      <c r="N32" s="5">
        <v>0</v>
      </c>
      <c r="O32" s="5">
        <v>5</v>
      </c>
      <c r="P32" s="52" t="str">
        <f>_xlfn.CONCAT(RIGHT(C32,8)," share")</f>
        <v>TLSSCONV share</v>
      </c>
    </row>
    <row r="33" spans="3:16" x14ac:dyDescent="0.25">
      <c r="C33" s="5" t="s">
        <v>223</v>
      </c>
      <c r="D33" s="5"/>
      <c r="E33" s="51" t="s">
        <v>228</v>
      </c>
      <c r="F33" s="5"/>
      <c r="G33" s="5" t="s">
        <v>41</v>
      </c>
      <c r="H33" s="5" t="s">
        <v>41</v>
      </c>
      <c r="J33" s="5">
        <v>2015</v>
      </c>
      <c r="K33" s="5" t="s">
        <v>17</v>
      </c>
      <c r="L33" s="5">
        <v>1</v>
      </c>
      <c r="M33" s="38">
        <f>M32*0.95</f>
        <v>-8.568225795642731E-2</v>
      </c>
      <c r="N33" s="5">
        <v>0</v>
      </c>
      <c r="O33" s="5">
        <v>5</v>
      </c>
      <c r="P33" s="52" t="str">
        <f t="shared" ref="P33:P35" si="8">_xlfn.CONCAT(RIGHT(C33,8)," share")</f>
        <v>TLSSCONV share</v>
      </c>
    </row>
    <row r="34" spans="3:16" x14ac:dyDescent="0.25">
      <c r="C34" s="5" t="s">
        <v>223</v>
      </c>
      <c r="D34" s="5"/>
      <c r="E34" s="51" t="s">
        <v>228</v>
      </c>
      <c r="F34" s="5"/>
      <c r="G34" s="5" t="s">
        <v>41</v>
      </c>
      <c r="H34" s="5" t="s">
        <v>41</v>
      </c>
      <c r="J34" s="5">
        <v>2020</v>
      </c>
      <c r="K34" s="5" t="s">
        <v>17</v>
      </c>
      <c r="L34" s="5">
        <v>1</v>
      </c>
      <c r="M34" s="38">
        <f>M32*0.85</f>
        <v>-7.666307290838234E-2</v>
      </c>
      <c r="N34" s="5">
        <v>0</v>
      </c>
      <c r="O34" s="5">
        <v>5</v>
      </c>
      <c r="P34" s="52" t="str">
        <f t="shared" si="8"/>
        <v>TLSSCONV share</v>
      </c>
    </row>
    <row r="35" spans="3:16" x14ac:dyDescent="0.25">
      <c r="C35" s="5" t="s">
        <v>223</v>
      </c>
      <c r="D35" s="5"/>
      <c r="E35" s="51" t="s">
        <v>228</v>
      </c>
      <c r="F35" s="5"/>
      <c r="G35" s="5" t="s">
        <v>41</v>
      </c>
      <c r="H35" s="5" t="s">
        <v>41</v>
      </c>
      <c r="J35" s="5">
        <v>2025</v>
      </c>
      <c r="K35" s="5" t="s">
        <v>17</v>
      </c>
      <c r="L35" s="5">
        <v>1</v>
      </c>
      <c r="M35" s="38">
        <f>M32*0.75</f>
        <v>-6.7643887860337357E-2</v>
      </c>
      <c r="N35" s="5">
        <v>0</v>
      </c>
      <c r="O35" s="5">
        <v>5</v>
      </c>
      <c r="P35" s="52" t="str">
        <f t="shared" si="8"/>
        <v>TLSSCONV share</v>
      </c>
    </row>
    <row r="36" spans="3:16" x14ac:dyDescent="0.25">
      <c r="C36" s="5" t="s">
        <v>223</v>
      </c>
      <c r="D36" s="5"/>
      <c r="E36" s="51" t="s">
        <v>228</v>
      </c>
      <c r="F36" s="5"/>
      <c r="G36" s="5" t="s">
        <v>41</v>
      </c>
      <c r="H36" s="5" t="s">
        <v>41</v>
      </c>
      <c r="J36" s="5">
        <v>2030</v>
      </c>
      <c r="K36" s="5" t="s">
        <v>17</v>
      </c>
      <c r="L36" s="5">
        <v>1</v>
      </c>
      <c r="M36" s="38">
        <v>0</v>
      </c>
      <c r="N36" s="5">
        <v>0</v>
      </c>
      <c r="O36" s="5">
        <v>5</v>
      </c>
      <c r="P36" s="52" t="str">
        <f t="shared" ref="P36" si="9">_xlfn.CONCAT(RIGHT(C36,8)," share")</f>
        <v>TLSSCONV share</v>
      </c>
    </row>
    <row r="37" spans="3:16" x14ac:dyDescent="0.25">
      <c r="C37" s="5" t="s">
        <v>224</v>
      </c>
      <c r="D37" s="5"/>
      <c r="E37" s="51" t="s">
        <v>229</v>
      </c>
      <c r="F37" s="5"/>
      <c r="G37" s="5" t="s">
        <v>41</v>
      </c>
      <c r="H37" s="5" t="s">
        <v>41</v>
      </c>
      <c r="J37" s="5">
        <v>2011</v>
      </c>
      <c r="K37" s="5" t="s">
        <v>17</v>
      </c>
      <c r="L37" s="5">
        <v>1</v>
      </c>
      <c r="M37" s="38">
        <f>-'initial results'!O38*0.98</f>
        <v>-0.16258371326032076</v>
      </c>
      <c r="N37" s="5">
        <v>0</v>
      </c>
      <c r="O37" s="5">
        <v>5</v>
      </c>
      <c r="P37" s="52" t="str">
        <f>_xlfn.CONCAT(RIGHT(C37,9)," share")</f>
        <v>TLTCOCONV share</v>
      </c>
    </row>
    <row r="38" spans="3:16" x14ac:dyDescent="0.25">
      <c r="C38" s="5" t="s">
        <v>224</v>
      </c>
      <c r="D38" s="5"/>
      <c r="E38" s="51" t="s">
        <v>229</v>
      </c>
      <c r="F38" s="5"/>
      <c r="G38" s="5" t="s">
        <v>41</v>
      </c>
      <c r="H38" s="5" t="s">
        <v>41</v>
      </c>
      <c r="J38" s="5">
        <v>2015</v>
      </c>
      <c r="K38" s="5" t="s">
        <v>17</v>
      </c>
      <c r="L38" s="5">
        <v>1</v>
      </c>
      <c r="M38" s="38">
        <f>M37*0.95</f>
        <v>-0.15445452759730471</v>
      </c>
      <c r="N38" s="5">
        <v>0</v>
      </c>
      <c r="O38" s="5">
        <v>5</v>
      </c>
      <c r="P38" s="52" t="str">
        <f t="shared" ref="P38:P40" si="10">_xlfn.CONCAT(RIGHT(C38,9)," share")</f>
        <v>TLTCOCONV share</v>
      </c>
    </row>
    <row r="39" spans="3:16" x14ac:dyDescent="0.25">
      <c r="C39" s="5" t="s">
        <v>224</v>
      </c>
      <c r="D39" s="5"/>
      <c r="E39" s="51" t="s">
        <v>229</v>
      </c>
      <c r="F39" s="5"/>
      <c r="G39" s="5" t="s">
        <v>41</v>
      </c>
      <c r="H39" s="5" t="s">
        <v>41</v>
      </c>
      <c r="J39" s="5">
        <v>2020</v>
      </c>
      <c r="K39" s="5" t="s">
        <v>17</v>
      </c>
      <c r="L39" s="5">
        <v>1</v>
      </c>
      <c r="M39" s="38">
        <f>M37*0.85</f>
        <v>-0.13819615627127263</v>
      </c>
      <c r="N39" s="5">
        <v>0</v>
      </c>
      <c r="O39" s="5">
        <v>5</v>
      </c>
      <c r="P39" s="52" t="str">
        <f t="shared" si="10"/>
        <v>TLTCOCONV share</v>
      </c>
    </row>
    <row r="40" spans="3:16" x14ac:dyDescent="0.25">
      <c r="C40" s="5" t="s">
        <v>224</v>
      </c>
      <c r="D40" s="5"/>
      <c r="E40" s="51" t="s">
        <v>229</v>
      </c>
      <c r="F40" s="5"/>
      <c r="G40" s="5" t="s">
        <v>41</v>
      </c>
      <c r="H40" s="5" t="s">
        <v>41</v>
      </c>
      <c r="J40" s="5">
        <v>2025</v>
      </c>
      <c r="K40" s="5" t="s">
        <v>17</v>
      </c>
      <c r="L40" s="5">
        <v>1</v>
      </c>
      <c r="M40" s="38">
        <f>M37*0.75</f>
        <v>-0.12193778494524057</v>
      </c>
      <c r="N40" s="5">
        <v>0</v>
      </c>
      <c r="O40" s="5">
        <v>5</v>
      </c>
      <c r="P40" s="52" t="str">
        <f t="shared" si="10"/>
        <v>TLTCOCONV share</v>
      </c>
    </row>
    <row r="41" spans="3:16" x14ac:dyDescent="0.25">
      <c r="C41" s="5" t="s">
        <v>224</v>
      </c>
      <c r="D41" s="5"/>
      <c r="E41" s="51" t="s">
        <v>229</v>
      </c>
      <c r="F41" s="5"/>
      <c r="G41" s="5" t="s">
        <v>41</v>
      </c>
      <c r="H41" s="5" t="s">
        <v>41</v>
      </c>
      <c r="J41" s="5">
        <v>2030</v>
      </c>
      <c r="K41" s="5" t="s">
        <v>17</v>
      </c>
      <c r="L41" s="5">
        <v>1</v>
      </c>
      <c r="M41" s="38">
        <v>0</v>
      </c>
      <c r="N41" s="5">
        <v>0</v>
      </c>
      <c r="O41" s="5">
        <v>5</v>
      </c>
      <c r="P41" s="52" t="str">
        <f t="shared" ref="P41" si="11">_xlfn.CONCAT(RIGHT(C41,9)," share")</f>
        <v>TLTCOCONV share</v>
      </c>
    </row>
    <row r="42" spans="3:16" x14ac:dyDescent="0.25">
      <c r="C42" s="5" t="s">
        <v>225</v>
      </c>
      <c r="D42" s="5"/>
      <c r="E42" s="51" t="s">
        <v>230</v>
      </c>
      <c r="F42" s="5"/>
      <c r="G42" s="5" t="s">
        <v>41</v>
      </c>
      <c r="H42" s="5" t="s">
        <v>41</v>
      </c>
      <c r="J42" s="5">
        <v>2011</v>
      </c>
      <c r="K42" s="5" t="s">
        <v>17</v>
      </c>
      <c r="L42" s="5">
        <v>1</v>
      </c>
      <c r="M42" s="38">
        <f>-'initial results'!O44*0.98</f>
        <v>-4.1744791202573434E-2</v>
      </c>
      <c r="N42" s="5">
        <v>0</v>
      </c>
      <c r="O42" s="5">
        <v>5</v>
      </c>
      <c r="P42" s="52" t="str">
        <f t="shared" si="0"/>
        <v>TLVCONV share</v>
      </c>
    </row>
    <row r="43" spans="3:16" x14ac:dyDescent="0.25">
      <c r="C43" s="5" t="s">
        <v>225</v>
      </c>
      <c r="D43" s="5"/>
      <c r="E43" s="51" t="s">
        <v>230</v>
      </c>
      <c r="F43" s="5"/>
      <c r="G43" s="5" t="s">
        <v>41</v>
      </c>
      <c r="H43" s="5" t="s">
        <v>41</v>
      </c>
      <c r="J43" s="5">
        <v>2015</v>
      </c>
      <c r="K43" s="5" t="s">
        <v>17</v>
      </c>
      <c r="L43" s="5">
        <v>1</v>
      </c>
      <c r="M43" s="38">
        <f>M42*0.95</f>
        <v>-3.9657551642444763E-2</v>
      </c>
      <c r="N43" s="5">
        <v>0</v>
      </c>
      <c r="O43" s="5">
        <v>5</v>
      </c>
      <c r="P43" s="52" t="str">
        <f t="shared" si="0"/>
        <v>TLVCONV share</v>
      </c>
    </row>
    <row r="44" spans="3:16" x14ac:dyDescent="0.25">
      <c r="C44" s="5" t="s">
        <v>225</v>
      </c>
      <c r="D44" s="5"/>
      <c r="E44" s="51" t="s">
        <v>230</v>
      </c>
      <c r="F44" s="5"/>
      <c r="G44" s="5" t="s">
        <v>41</v>
      </c>
      <c r="H44" s="5" t="s">
        <v>41</v>
      </c>
      <c r="J44" s="5">
        <v>2020</v>
      </c>
      <c r="K44" s="5" t="s">
        <v>17</v>
      </c>
      <c r="L44" s="5">
        <v>1</v>
      </c>
      <c r="M44" s="38">
        <f>M42*0.85</f>
        <v>-3.5483072522187416E-2</v>
      </c>
      <c r="N44" s="5">
        <v>0</v>
      </c>
      <c r="O44" s="5">
        <v>5</v>
      </c>
      <c r="P44" s="52" t="str">
        <f t="shared" si="0"/>
        <v>TLVCONV share</v>
      </c>
    </row>
    <row r="45" spans="3:16" x14ac:dyDescent="0.25">
      <c r="C45" s="5" t="s">
        <v>225</v>
      </c>
      <c r="D45" s="5"/>
      <c r="E45" s="51" t="s">
        <v>230</v>
      </c>
      <c r="F45" s="5"/>
      <c r="G45" s="5" t="s">
        <v>41</v>
      </c>
      <c r="H45" s="5" t="s">
        <v>41</v>
      </c>
      <c r="J45" s="5">
        <v>2025</v>
      </c>
      <c r="K45" s="5" t="s">
        <v>17</v>
      </c>
      <c r="L45" s="5">
        <v>1</v>
      </c>
      <c r="M45" s="38">
        <f>M42*0.75</f>
        <v>-3.1308593401930075E-2</v>
      </c>
      <c r="N45" s="5">
        <v>0</v>
      </c>
      <c r="O45" s="5">
        <v>5</v>
      </c>
      <c r="P45" s="52" t="str">
        <f t="shared" si="0"/>
        <v>TLVCONV share</v>
      </c>
    </row>
    <row r="46" spans="3:16" x14ac:dyDescent="0.25">
      <c r="C46" s="5" t="s">
        <v>225</v>
      </c>
      <c r="D46" s="5"/>
      <c r="E46" s="51" t="s">
        <v>230</v>
      </c>
      <c r="F46" s="5"/>
      <c r="G46" s="5" t="s">
        <v>41</v>
      </c>
      <c r="H46" s="5" t="s">
        <v>41</v>
      </c>
      <c r="J46" s="5">
        <v>2030</v>
      </c>
      <c r="K46" s="5" t="s">
        <v>17</v>
      </c>
      <c r="L46" s="5">
        <v>1</v>
      </c>
      <c r="M46" s="38">
        <v>0</v>
      </c>
      <c r="N46" s="5">
        <v>0</v>
      </c>
      <c r="O46" s="5">
        <v>5</v>
      </c>
      <c r="P46" s="52" t="str">
        <f t="shared" ref="P46" si="12">_xlfn.CONCAT(RIGHT(C46,7)," share")</f>
        <v>TLVCONV share</v>
      </c>
    </row>
    <row r="47" spans="3:16" x14ac:dyDescent="0.25">
      <c r="C47" s="5" t="s">
        <v>238</v>
      </c>
      <c r="D47" s="5"/>
      <c r="E47" s="51" t="s">
        <v>231</v>
      </c>
      <c r="F47" s="5"/>
      <c r="G47" s="5" t="s">
        <v>41</v>
      </c>
      <c r="H47" s="5" t="s">
        <v>41</v>
      </c>
      <c r="J47" s="5">
        <v>2011</v>
      </c>
      <c r="K47" s="5" t="s">
        <v>17</v>
      </c>
      <c r="L47" s="5">
        <v>1</v>
      </c>
      <c r="M47" s="38">
        <f>-'initial results'!O10*0.98</f>
        <v>-1.6001960432577482E-3</v>
      </c>
      <c r="N47" s="5">
        <v>0</v>
      </c>
      <c r="O47" s="5">
        <v>5</v>
      </c>
      <c r="P47" s="52" t="str">
        <f>_xlfn.CONCAT(RIGHT(C47,6)," share")</f>
        <v>TLCDSL share</v>
      </c>
    </row>
    <row r="48" spans="3:16" x14ac:dyDescent="0.25">
      <c r="C48" s="5" t="s">
        <v>238</v>
      </c>
      <c r="D48" s="5"/>
      <c r="E48" s="51" t="s">
        <v>231</v>
      </c>
      <c r="F48" s="5"/>
      <c r="G48" s="5" t="s">
        <v>41</v>
      </c>
      <c r="H48" s="5" t="s">
        <v>41</v>
      </c>
      <c r="J48" s="5">
        <v>2015</v>
      </c>
      <c r="K48" s="5" t="s">
        <v>17</v>
      </c>
      <c r="L48" s="5">
        <v>1</v>
      </c>
      <c r="M48" s="38">
        <f>M47*0.95</f>
        <v>-1.5201862410948606E-3</v>
      </c>
      <c r="N48" s="5">
        <v>0</v>
      </c>
      <c r="O48" s="5">
        <v>5</v>
      </c>
      <c r="P48" s="52" t="str">
        <f t="shared" ref="P48:P80" si="13">_xlfn.CONCAT(RIGHT(C48,6)," share")</f>
        <v>TLCDSL share</v>
      </c>
    </row>
    <row r="49" spans="3:17" x14ac:dyDescent="0.25">
      <c r="C49" s="5" t="s">
        <v>238</v>
      </c>
      <c r="D49" s="5"/>
      <c r="E49" s="51" t="s">
        <v>231</v>
      </c>
      <c r="F49" s="5"/>
      <c r="G49" s="5" t="s">
        <v>41</v>
      </c>
      <c r="H49" s="5" t="s">
        <v>41</v>
      </c>
      <c r="J49" s="5">
        <v>2020</v>
      </c>
      <c r="K49" s="5" t="s">
        <v>17</v>
      </c>
      <c r="L49" s="5">
        <v>1</v>
      </c>
      <c r="M49" s="38">
        <f>M47*0.85</f>
        <v>-1.3601666367690859E-3</v>
      </c>
      <c r="N49" s="5">
        <v>0</v>
      </c>
      <c r="O49" s="5">
        <v>5</v>
      </c>
      <c r="P49" s="52" t="str">
        <f t="shared" si="13"/>
        <v>TLCDSL share</v>
      </c>
    </row>
    <row r="50" spans="3:17" x14ac:dyDescent="0.25">
      <c r="C50" s="5" t="s">
        <v>238</v>
      </c>
      <c r="D50" s="5"/>
      <c r="E50" s="51" t="s">
        <v>231</v>
      </c>
      <c r="F50" s="5"/>
      <c r="G50" s="5" t="s">
        <v>41</v>
      </c>
      <c r="H50" s="5" t="s">
        <v>41</v>
      </c>
      <c r="J50" s="5">
        <v>2025</v>
      </c>
      <c r="K50" s="5" t="s">
        <v>17</v>
      </c>
      <c r="L50" s="5">
        <v>1</v>
      </c>
      <c r="M50" s="38">
        <f>M47*0.75</f>
        <v>-1.2001470324433112E-3</v>
      </c>
      <c r="N50" s="5">
        <v>0</v>
      </c>
      <c r="O50" s="5">
        <v>5</v>
      </c>
      <c r="P50" s="52" t="str">
        <f t="shared" si="13"/>
        <v>TLCDSL share</v>
      </c>
    </row>
    <row r="51" spans="3:17" x14ac:dyDescent="0.25">
      <c r="C51" s="5" t="s">
        <v>238</v>
      </c>
      <c r="D51" s="5"/>
      <c r="E51" s="51" t="s">
        <v>231</v>
      </c>
      <c r="F51" s="5"/>
      <c r="G51" s="5" t="s">
        <v>41</v>
      </c>
      <c r="H51" s="5" t="s">
        <v>41</v>
      </c>
      <c r="J51" s="5">
        <v>2030</v>
      </c>
      <c r="K51" s="5" t="s">
        <v>17</v>
      </c>
      <c r="L51" s="5">
        <v>1</v>
      </c>
      <c r="M51" s="38">
        <v>0</v>
      </c>
      <c r="N51" s="5">
        <v>0</v>
      </c>
      <c r="O51" s="5">
        <v>5</v>
      </c>
      <c r="P51" s="52" t="str">
        <f t="shared" ref="P51" si="14">_xlfn.CONCAT(RIGHT(C51,6)," share")</f>
        <v>TLCDSL share</v>
      </c>
    </row>
    <row r="52" spans="3:17" x14ac:dyDescent="0.25">
      <c r="C52" s="5" t="s">
        <v>239</v>
      </c>
      <c r="D52" s="5"/>
      <c r="E52" s="51" t="s">
        <v>232</v>
      </c>
      <c r="F52" s="5"/>
      <c r="G52" s="5" t="s">
        <v>41</v>
      </c>
      <c r="H52" s="5" t="s">
        <v>41</v>
      </c>
      <c r="J52" s="5">
        <v>2011</v>
      </c>
      <c r="K52" s="5" t="s">
        <v>17</v>
      </c>
      <c r="L52" s="5">
        <v>1</v>
      </c>
      <c r="M52" s="38">
        <f>-'initial results'!O18*0.98</f>
        <v>-1.6553472876473115E-3</v>
      </c>
      <c r="N52" s="5">
        <v>0</v>
      </c>
      <c r="O52" s="5">
        <v>5</v>
      </c>
      <c r="P52" s="52" t="str">
        <f t="shared" si="13"/>
        <v>TLFDSL share</v>
      </c>
      <c r="Q52" s="54"/>
    </row>
    <row r="53" spans="3:17" x14ac:dyDescent="0.25">
      <c r="C53" s="5" t="s">
        <v>239</v>
      </c>
      <c r="D53" s="5"/>
      <c r="E53" s="51" t="s">
        <v>232</v>
      </c>
      <c r="F53" s="5"/>
      <c r="G53" s="5" t="s">
        <v>41</v>
      </c>
      <c r="H53" s="5" t="s">
        <v>41</v>
      </c>
      <c r="J53" s="5">
        <v>2015</v>
      </c>
      <c r="K53" s="5" t="s">
        <v>17</v>
      </c>
      <c r="L53" s="5">
        <v>1</v>
      </c>
      <c r="M53" s="38">
        <f>M52*0.95</f>
        <v>-1.5725799232649458E-3</v>
      </c>
      <c r="N53" s="5">
        <v>0</v>
      </c>
      <c r="O53" s="5">
        <v>5</v>
      </c>
      <c r="P53" s="52" t="str">
        <f t="shared" si="13"/>
        <v>TLFDSL share</v>
      </c>
      <c r="Q53" s="54"/>
    </row>
    <row r="54" spans="3:17" x14ac:dyDescent="0.25">
      <c r="C54" s="5" t="s">
        <v>239</v>
      </c>
      <c r="D54" s="5"/>
      <c r="E54" s="51" t="s">
        <v>232</v>
      </c>
      <c r="F54" s="5"/>
      <c r="G54" s="5" t="s">
        <v>41</v>
      </c>
      <c r="H54" s="5" t="s">
        <v>41</v>
      </c>
      <c r="J54" s="5">
        <v>2020</v>
      </c>
      <c r="K54" s="5" t="s">
        <v>17</v>
      </c>
      <c r="L54" s="5">
        <v>1</v>
      </c>
      <c r="M54" s="38">
        <f>M52*0.85</f>
        <v>-1.4070451945002148E-3</v>
      </c>
      <c r="N54" s="5">
        <v>0</v>
      </c>
      <c r="O54" s="5">
        <v>5</v>
      </c>
      <c r="P54" s="52" t="str">
        <f t="shared" si="13"/>
        <v>TLFDSL share</v>
      </c>
      <c r="Q54" s="54"/>
    </row>
    <row r="55" spans="3:17" x14ac:dyDescent="0.25">
      <c r="C55" s="5" t="s">
        <v>239</v>
      </c>
      <c r="D55" s="5"/>
      <c r="E55" s="51" t="s">
        <v>232</v>
      </c>
      <c r="F55" s="5"/>
      <c r="G55" s="5" t="s">
        <v>41</v>
      </c>
      <c r="H55" s="5" t="s">
        <v>41</v>
      </c>
      <c r="J55" s="5">
        <v>2025</v>
      </c>
      <c r="K55" s="5" t="s">
        <v>17</v>
      </c>
      <c r="L55" s="5">
        <v>1</v>
      </c>
      <c r="M55" s="38">
        <f>M52*0.75</f>
        <v>-1.2415104657354835E-3</v>
      </c>
      <c r="N55" s="5">
        <v>0</v>
      </c>
      <c r="O55" s="5">
        <v>5</v>
      </c>
      <c r="P55" s="52" t="str">
        <f t="shared" si="13"/>
        <v>TLFDSL share</v>
      </c>
      <c r="Q55" s="54"/>
    </row>
    <row r="56" spans="3:17" x14ac:dyDescent="0.25">
      <c r="C56" s="5" t="s">
        <v>239</v>
      </c>
      <c r="D56" s="5"/>
      <c r="E56" s="51" t="s">
        <v>232</v>
      </c>
      <c r="F56" s="5"/>
      <c r="G56" s="5" t="s">
        <v>41</v>
      </c>
      <c r="H56" s="5" t="s">
        <v>41</v>
      </c>
      <c r="J56" s="5">
        <v>2030</v>
      </c>
      <c r="K56" s="5" t="s">
        <v>17</v>
      </c>
      <c r="L56" s="5">
        <v>1</v>
      </c>
      <c r="M56" s="38">
        <v>0</v>
      </c>
      <c r="N56" s="5">
        <v>0</v>
      </c>
      <c r="O56" s="5">
        <v>5</v>
      </c>
      <c r="P56" s="52" t="str">
        <f t="shared" ref="P56" si="15">_xlfn.CONCAT(RIGHT(C56,6)," share")</f>
        <v>TLFDSL share</v>
      </c>
      <c r="Q56" s="54"/>
    </row>
    <row r="57" spans="3:17" x14ac:dyDescent="0.25">
      <c r="C57" s="5" t="s">
        <v>240</v>
      </c>
      <c r="D57" s="5"/>
      <c r="E57" s="51" t="s">
        <v>233</v>
      </c>
      <c r="F57" s="5"/>
      <c r="G57" s="5" t="s">
        <v>41</v>
      </c>
      <c r="H57" s="5" t="s">
        <v>41</v>
      </c>
      <c r="J57" s="5">
        <v>2011</v>
      </c>
      <c r="K57" s="5" t="s">
        <v>17</v>
      </c>
      <c r="L57" s="5">
        <v>1</v>
      </c>
      <c r="M57" s="38">
        <f>-'initial results'!O39*0.98</f>
        <v>-6.8663271734339601E-3</v>
      </c>
      <c r="N57" s="5">
        <v>0</v>
      </c>
      <c r="O57" s="5">
        <v>5</v>
      </c>
      <c r="P57" s="52" t="str">
        <f>_xlfn.CONCAT(RIGHT(C57,8)," share")</f>
        <v>TLTCODSL share</v>
      </c>
    </row>
    <row r="58" spans="3:17" x14ac:dyDescent="0.25">
      <c r="C58" s="5" t="s">
        <v>240</v>
      </c>
      <c r="D58" s="5"/>
      <c r="E58" s="51" t="s">
        <v>233</v>
      </c>
      <c r="F58" s="5"/>
      <c r="G58" s="5" t="s">
        <v>41</v>
      </c>
      <c r="H58" s="5" t="s">
        <v>41</v>
      </c>
      <c r="J58" s="5">
        <v>2015</v>
      </c>
      <c r="K58" s="5" t="s">
        <v>17</v>
      </c>
      <c r="L58" s="5">
        <v>1</v>
      </c>
      <c r="M58" s="38">
        <f>M57*0.95</f>
        <v>-6.5230108147622621E-3</v>
      </c>
      <c r="N58" s="5">
        <v>0</v>
      </c>
      <c r="O58" s="5">
        <v>5</v>
      </c>
      <c r="P58" s="52" t="str">
        <f t="shared" ref="P58:P60" si="16">_xlfn.CONCAT(RIGHT(C58,8)," share")</f>
        <v>TLTCODSL share</v>
      </c>
    </row>
    <row r="59" spans="3:17" x14ac:dyDescent="0.25">
      <c r="C59" s="5" t="s">
        <v>240</v>
      </c>
      <c r="D59" s="5"/>
      <c r="E59" s="51" t="s">
        <v>233</v>
      </c>
      <c r="F59" s="5"/>
      <c r="G59" s="5" t="s">
        <v>41</v>
      </c>
      <c r="H59" s="5" t="s">
        <v>41</v>
      </c>
      <c r="J59" s="5">
        <v>2020</v>
      </c>
      <c r="K59" s="5" t="s">
        <v>17</v>
      </c>
      <c r="L59" s="5">
        <v>1</v>
      </c>
      <c r="M59" s="38">
        <f>M57*0.85</f>
        <v>-5.8363780974188661E-3</v>
      </c>
      <c r="N59" s="5">
        <v>0</v>
      </c>
      <c r="O59" s="5">
        <v>5</v>
      </c>
      <c r="P59" s="52" t="str">
        <f t="shared" si="16"/>
        <v>TLTCODSL share</v>
      </c>
    </row>
    <row r="60" spans="3:17" x14ac:dyDescent="0.25">
      <c r="C60" s="5" t="s">
        <v>240</v>
      </c>
      <c r="D60" s="5"/>
      <c r="E60" s="51" t="s">
        <v>233</v>
      </c>
      <c r="F60" s="5"/>
      <c r="G60" s="5" t="s">
        <v>41</v>
      </c>
      <c r="H60" s="5" t="s">
        <v>41</v>
      </c>
      <c r="J60" s="5">
        <v>2025</v>
      </c>
      <c r="K60" s="5" t="s">
        <v>17</v>
      </c>
      <c r="L60" s="5">
        <v>1</v>
      </c>
      <c r="M60" s="38">
        <f>M57*0.75</f>
        <v>-5.1497453800754701E-3</v>
      </c>
      <c r="N60" s="5">
        <v>0</v>
      </c>
      <c r="O60" s="5">
        <v>5</v>
      </c>
      <c r="P60" s="52" t="str">
        <f t="shared" si="16"/>
        <v>TLTCODSL share</v>
      </c>
    </row>
    <row r="61" spans="3:17" x14ac:dyDescent="0.25">
      <c r="C61" s="5" t="s">
        <v>240</v>
      </c>
      <c r="D61" s="5"/>
      <c r="E61" s="51" t="s">
        <v>233</v>
      </c>
      <c r="F61" s="5"/>
      <c r="G61" s="5" t="s">
        <v>41</v>
      </c>
      <c r="H61" s="5" t="s">
        <v>41</v>
      </c>
      <c r="J61" s="5">
        <v>2030</v>
      </c>
      <c r="K61" s="5" t="s">
        <v>17</v>
      </c>
      <c r="L61" s="5">
        <v>1</v>
      </c>
      <c r="M61" s="38">
        <v>0</v>
      </c>
      <c r="N61" s="5">
        <v>0</v>
      </c>
      <c r="O61" s="5">
        <v>5</v>
      </c>
      <c r="P61" s="52" t="str">
        <f t="shared" ref="P61" si="17">_xlfn.CONCAT(RIGHT(C61,8)," share")</f>
        <v>TLTCODSL share</v>
      </c>
    </row>
    <row r="62" spans="3:17" x14ac:dyDescent="0.25">
      <c r="C62" s="5" t="s">
        <v>241</v>
      </c>
      <c r="D62" s="5"/>
      <c r="E62" s="51" t="s">
        <v>234</v>
      </c>
      <c r="F62" s="5"/>
      <c r="G62" s="5" t="s">
        <v>41</v>
      </c>
      <c r="H62" s="5" t="s">
        <v>41</v>
      </c>
      <c r="J62" s="5">
        <v>2011</v>
      </c>
      <c r="K62" s="5" t="s">
        <v>17</v>
      </c>
      <c r="L62" s="5">
        <v>1</v>
      </c>
      <c r="M62" s="38">
        <f>-'initial results'!O30*0.98</f>
        <v>-4.2245187386453064E-3</v>
      </c>
      <c r="N62" s="5">
        <v>0</v>
      </c>
      <c r="O62" s="5">
        <v>5</v>
      </c>
      <c r="P62" s="52" t="str">
        <f t="shared" si="13"/>
        <v>TLPDSL share</v>
      </c>
    </row>
    <row r="63" spans="3:17" x14ac:dyDescent="0.25">
      <c r="C63" s="5" t="s">
        <v>241</v>
      </c>
      <c r="D63" s="5"/>
      <c r="E63" s="51" t="s">
        <v>234</v>
      </c>
      <c r="F63" s="5"/>
      <c r="G63" s="5" t="s">
        <v>41</v>
      </c>
      <c r="H63" s="5" t="s">
        <v>41</v>
      </c>
      <c r="J63" s="5">
        <v>2015</v>
      </c>
      <c r="K63" s="5" t="s">
        <v>17</v>
      </c>
      <c r="L63" s="5">
        <v>1</v>
      </c>
      <c r="M63" s="38">
        <f>M62*0.95</f>
        <v>-4.0132928017130405E-3</v>
      </c>
      <c r="N63" s="5">
        <v>0</v>
      </c>
      <c r="O63" s="5">
        <v>5</v>
      </c>
      <c r="P63" s="52" t="str">
        <f t="shared" si="13"/>
        <v>TLPDSL share</v>
      </c>
    </row>
    <row r="64" spans="3:17" x14ac:dyDescent="0.25">
      <c r="C64" s="5" t="s">
        <v>241</v>
      </c>
      <c r="D64" s="5"/>
      <c r="E64" s="51" t="s">
        <v>234</v>
      </c>
      <c r="F64" s="5"/>
      <c r="G64" s="5" t="s">
        <v>41</v>
      </c>
      <c r="H64" s="5" t="s">
        <v>41</v>
      </c>
      <c r="J64" s="5">
        <v>2020</v>
      </c>
      <c r="K64" s="5" t="s">
        <v>17</v>
      </c>
      <c r="L64" s="5">
        <v>1</v>
      </c>
      <c r="M64" s="38">
        <f>M62*0.85</f>
        <v>-3.5908409278485104E-3</v>
      </c>
      <c r="N64" s="5">
        <v>0</v>
      </c>
      <c r="O64" s="5">
        <v>5</v>
      </c>
      <c r="P64" s="52" t="str">
        <f t="shared" si="13"/>
        <v>TLPDSL share</v>
      </c>
    </row>
    <row r="65" spans="3:16" x14ac:dyDescent="0.25">
      <c r="C65" s="5" t="s">
        <v>241</v>
      </c>
      <c r="D65" s="5"/>
      <c r="E65" s="51" t="s">
        <v>234</v>
      </c>
      <c r="F65" s="5"/>
      <c r="G65" s="5" t="s">
        <v>41</v>
      </c>
      <c r="H65" s="5" t="s">
        <v>41</v>
      </c>
      <c r="J65" s="5">
        <v>2025</v>
      </c>
      <c r="K65" s="5" t="s">
        <v>17</v>
      </c>
      <c r="L65" s="5">
        <v>1</v>
      </c>
      <c r="M65" s="38">
        <f>M62*0.75</f>
        <v>-3.1683890539839798E-3</v>
      </c>
      <c r="N65" s="5">
        <v>0</v>
      </c>
      <c r="O65" s="5">
        <v>5</v>
      </c>
      <c r="P65" s="52" t="str">
        <f t="shared" si="13"/>
        <v>TLPDSL share</v>
      </c>
    </row>
    <row r="66" spans="3:16" x14ac:dyDescent="0.25">
      <c r="C66" s="5" t="s">
        <v>241</v>
      </c>
      <c r="D66" s="5"/>
      <c r="E66" s="51" t="s">
        <v>234</v>
      </c>
      <c r="F66" s="5"/>
      <c r="G66" s="5" t="s">
        <v>41</v>
      </c>
      <c r="H66" s="5" t="s">
        <v>41</v>
      </c>
      <c r="J66" s="5">
        <v>2030</v>
      </c>
      <c r="K66" s="5" t="s">
        <v>17</v>
      </c>
      <c r="L66" s="5">
        <v>1</v>
      </c>
      <c r="M66" s="38">
        <v>0</v>
      </c>
      <c r="N66" s="5">
        <v>0</v>
      </c>
      <c r="O66" s="5">
        <v>5</v>
      </c>
      <c r="P66" s="52" t="str">
        <f t="shared" ref="P66" si="18">_xlfn.CONCAT(RIGHT(C66,6)," share")</f>
        <v>TLPDSL share</v>
      </c>
    </row>
    <row r="67" spans="3:16" x14ac:dyDescent="0.25">
      <c r="C67" s="5" t="s">
        <v>242</v>
      </c>
      <c r="D67" s="5"/>
      <c r="E67" s="51" t="s">
        <v>235</v>
      </c>
      <c r="F67" s="5"/>
      <c r="G67" s="5" t="s">
        <v>41</v>
      </c>
      <c r="H67" s="5" t="s">
        <v>41</v>
      </c>
      <c r="J67" s="5">
        <v>2011</v>
      </c>
      <c r="K67" s="5" t="s">
        <v>17</v>
      </c>
      <c r="L67" s="5">
        <v>1</v>
      </c>
      <c r="M67" s="38">
        <f>-'initial results'!O23*0.98</f>
        <v>-6.800933581306021E-4</v>
      </c>
      <c r="N67" s="5">
        <v>0</v>
      </c>
      <c r="O67" s="5">
        <v>5</v>
      </c>
      <c r="P67" s="52" t="str">
        <f>_xlfn.CONCAT(RIGHT(C67,7)," share")</f>
        <v>TLLSDSL share</v>
      </c>
    </row>
    <row r="68" spans="3:16" x14ac:dyDescent="0.25">
      <c r="C68" s="5" t="s">
        <v>242</v>
      </c>
      <c r="D68" s="5"/>
      <c r="E68" s="51" t="s">
        <v>235</v>
      </c>
      <c r="F68" s="5"/>
      <c r="G68" s="5" t="s">
        <v>41</v>
      </c>
      <c r="H68" s="5" t="s">
        <v>41</v>
      </c>
      <c r="J68" s="5">
        <v>2015</v>
      </c>
      <c r="K68" s="5" t="s">
        <v>17</v>
      </c>
      <c r="L68" s="5">
        <v>1</v>
      </c>
      <c r="M68" s="38">
        <f>M67*0.95</f>
        <v>-6.4608869022407197E-4</v>
      </c>
      <c r="N68" s="5">
        <v>0</v>
      </c>
      <c r="O68" s="5">
        <v>5</v>
      </c>
      <c r="P68" s="52" t="str">
        <f t="shared" ref="P68:P75" si="19">_xlfn.CONCAT(RIGHT(C68,7)," share")</f>
        <v>TLLSDSL share</v>
      </c>
    </row>
    <row r="69" spans="3:16" x14ac:dyDescent="0.25">
      <c r="C69" s="5" t="s">
        <v>242</v>
      </c>
      <c r="D69" s="5"/>
      <c r="E69" s="51" t="s">
        <v>235</v>
      </c>
      <c r="F69" s="5"/>
      <c r="G69" s="5" t="s">
        <v>41</v>
      </c>
      <c r="H69" s="5" t="s">
        <v>41</v>
      </c>
      <c r="J69" s="5">
        <v>2020</v>
      </c>
      <c r="K69" s="5" t="s">
        <v>17</v>
      </c>
      <c r="L69" s="5">
        <v>1</v>
      </c>
      <c r="M69" s="38">
        <f>M67*0.85</f>
        <v>-5.7807935441101172E-4</v>
      </c>
      <c r="N69" s="5">
        <v>0</v>
      </c>
      <c r="O69" s="5">
        <v>5</v>
      </c>
      <c r="P69" s="52" t="str">
        <f t="shared" si="19"/>
        <v>TLLSDSL share</v>
      </c>
    </row>
    <row r="70" spans="3:16" x14ac:dyDescent="0.25">
      <c r="C70" s="5" t="s">
        <v>242</v>
      </c>
      <c r="D70" s="5"/>
      <c r="E70" s="51" t="s">
        <v>235</v>
      </c>
      <c r="F70" s="5"/>
      <c r="G70" s="5" t="s">
        <v>41</v>
      </c>
      <c r="H70" s="5" t="s">
        <v>41</v>
      </c>
      <c r="J70" s="5">
        <v>2025</v>
      </c>
      <c r="K70" s="5" t="s">
        <v>17</v>
      </c>
      <c r="L70" s="5">
        <v>1</v>
      </c>
      <c r="M70" s="38">
        <f>M67*0.75</f>
        <v>-5.1007001859795158E-4</v>
      </c>
      <c r="N70" s="5">
        <v>0</v>
      </c>
      <c r="O70" s="5">
        <v>5</v>
      </c>
      <c r="P70" s="52" t="str">
        <f t="shared" si="19"/>
        <v>TLLSDSL share</v>
      </c>
    </row>
    <row r="71" spans="3:16" x14ac:dyDescent="0.25">
      <c r="C71" s="5" t="s">
        <v>242</v>
      </c>
      <c r="D71" s="5"/>
      <c r="E71" s="51" t="s">
        <v>235</v>
      </c>
      <c r="F71" s="5"/>
      <c r="G71" s="5" t="s">
        <v>41</v>
      </c>
      <c r="H71" s="5" t="s">
        <v>41</v>
      </c>
      <c r="J71" s="5">
        <v>2030</v>
      </c>
      <c r="K71" s="5" t="s">
        <v>17</v>
      </c>
      <c r="L71" s="5">
        <v>1</v>
      </c>
      <c r="M71" s="38">
        <v>0</v>
      </c>
      <c r="N71" s="5">
        <v>0</v>
      </c>
      <c r="O71" s="5">
        <v>5</v>
      </c>
      <c r="P71" s="52" t="str">
        <f t="shared" ref="P71" si="20">_xlfn.CONCAT(RIGHT(C71,7)," share")</f>
        <v>TLLSDSL share</v>
      </c>
    </row>
    <row r="72" spans="3:16" x14ac:dyDescent="0.25">
      <c r="C72" s="5" t="s">
        <v>243</v>
      </c>
      <c r="D72" s="5"/>
      <c r="E72" s="51" t="s">
        <v>236</v>
      </c>
      <c r="F72" s="5"/>
      <c r="G72" s="5" t="s">
        <v>41</v>
      </c>
      <c r="H72" s="5" t="s">
        <v>41</v>
      </c>
      <c r="J72" s="5">
        <v>2011</v>
      </c>
      <c r="K72" s="5" t="s">
        <v>17</v>
      </c>
      <c r="L72" s="5">
        <v>1</v>
      </c>
      <c r="M72" s="38">
        <f>-'initial results'!O35*0.98</f>
        <v>-2.7465308693735862E-3</v>
      </c>
      <c r="N72" s="5">
        <v>0</v>
      </c>
      <c r="O72" s="5">
        <v>5</v>
      </c>
      <c r="P72" s="52" t="str">
        <f t="shared" si="19"/>
        <v>TLSSDSL share</v>
      </c>
    </row>
    <row r="73" spans="3:16" x14ac:dyDescent="0.25">
      <c r="C73" s="5" t="s">
        <v>243</v>
      </c>
      <c r="D73" s="5"/>
      <c r="E73" s="51" t="s">
        <v>236</v>
      </c>
      <c r="F73" s="5"/>
      <c r="G73" s="5" t="s">
        <v>41</v>
      </c>
      <c r="H73" s="5" t="s">
        <v>41</v>
      </c>
      <c r="J73" s="5">
        <v>2015</v>
      </c>
      <c r="K73" s="5" t="s">
        <v>17</v>
      </c>
      <c r="L73" s="5">
        <v>1</v>
      </c>
      <c r="M73" s="38">
        <f>M72*0.95</f>
        <v>-2.6092043259049067E-3</v>
      </c>
      <c r="N73" s="5">
        <v>0</v>
      </c>
      <c r="O73" s="5">
        <v>5</v>
      </c>
      <c r="P73" s="52" t="str">
        <f t="shared" si="19"/>
        <v>TLSSDSL share</v>
      </c>
    </row>
    <row r="74" spans="3:16" x14ac:dyDescent="0.25">
      <c r="C74" s="5" t="s">
        <v>243</v>
      </c>
      <c r="D74" s="5"/>
      <c r="E74" s="51" t="s">
        <v>236</v>
      </c>
      <c r="F74" s="5"/>
      <c r="G74" s="5" t="s">
        <v>41</v>
      </c>
      <c r="H74" s="5" t="s">
        <v>41</v>
      </c>
      <c r="J74" s="5">
        <v>2020</v>
      </c>
      <c r="K74" s="5" t="s">
        <v>17</v>
      </c>
      <c r="L74" s="5">
        <v>1</v>
      </c>
      <c r="M74" s="38">
        <f>M72*0.85</f>
        <v>-2.3345512389675483E-3</v>
      </c>
      <c r="N74" s="5">
        <v>0</v>
      </c>
      <c r="O74" s="5">
        <v>5</v>
      </c>
      <c r="P74" s="52" t="str">
        <f t="shared" si="19"/>
        <v>TLSSDSL share</v>
      </c>
    </row>
    <row r="75" spans="3:16" x14ac:dyDescent="0.25">
      <c r="C75" s="5" t="s">
        <v>243</v>
      </c>
      <c r="D75" s="5"/>
      <c r="E75" s="51" t="s">
        <v>236</v>
      </c>
      <c r="F75" s="5"/>
      <c r="G75" s="5" t="s">
        <v>41</v>
      </c>
      <c r="H75" s="5" t="s">
        <v>41</v>
      </c>
      <c r="J75" s="5">
        <v>2025</v>
      </c>
      <c r="K75" s="5" t="s">
        <v>17</v>
      </c>
      <c r="L75" s="5">
        <v>1</v>
      </c>
      <c r="M75" s="38">
        <f>M72*0.75</f>
        <v>-2.0598981520301898E-3</v>
      </c>
      <c r="N75" s="5">
        <v>0</v>
      </c>
      <c r="O75" s="5">
        <v>5</v>
      </c>
      <c r="P75" s="52" t="str">
        <f t="shared" si="19"/>
        <v>TLSSDSL share</v>
      </c>
    </row>
    <row r="76" spans="3:16" x14ac:dyDescent="0.25">
      <c r="C76" s="5" t="s">
        <v>243</v>
      </c>
      <c r="D76" s="5"/>
      <c r="E76" s="51" t="s">
        <v>236</v>
      </c>
      <c r="F76" s="5"/>
      <c r="G76" s="5" t="s">
        <v>41</v>
      </c>
      <c r="H76" s="5" t="s">
        <v>41</v>
      </c>
      <c r="J76" s="5">
        <v>2030</v>
      </c>
      <c r="K76" s="5" t="s">
        <v>17</v>
      </c>
      <c r="L76" s="5">
        <v>1</v>
      </c>
      <c r="M76" s="38">
        <v>0</v>
      </c>
      <c r="N76" s="5">
        <v>0</v>
      </c>
      <c r="O76" s="5">
        <v>5</v>
      </c>
      <c r="P76" s="52" t="str">
        <f t="shared" ref="P76" si="21">_xlfn.CONCAT(RIGHT(C76,7)," share")</f>
        <v>TLSSDSL share</v>
      </c>
    </row>
    <row r="77" spans="3:16" x14ac:dyDescent="0.25">
      <c r="C77" s="5" t="s">
        <v>244</v>
      </c>
      <c r="D77" s="5"/>
      <c r="E77" s="51" t="s">
        <v>237</v>
      </c>
      <c r="F77" s="5"/>
      <c r="G77" s="5" t="s">
        <v>41</v>
      </c>
      <c r="H77" s="5" t="s">
        <v>41</v>
      </c>
      <c r="J77" s="5">
        <v>2011</v>
      </c>
      <c r="K77" s="5" t="s">
        <v>17</v>
      </c>
      <c r="L77" s="5">
        <v>1</v>
      </c>
      <c r="M77" s="38">
        <f>-'initial results'!O45*0.98</f>
        <v>-1.2712163800018216E-3</v>
      </c>
      <c r="N77" s="5">
        <v>0</v>
      </c>
      <c r="O77" s="5">
        <v>5</v>
      </c>
      <c r="P77" s="52" t="str">
        <f t="shared" si="13"/>
        <v>TLVDSL share</v>
      </c>
    </row>
    <row r="78" spans="3:16" x14ac:dyDescent="0.25">
      <c r="C78" s="5" t="s">
        <v>244</v>
      </c>
      <c r="D78" s="5"/>
      <c r="E78" s="51" t="s">
        <v>237</v>
      </c>
      <c r="F78" s="5"/>
      <c r="G78" s="5" t="s">
        <v>41</v>
      </c>
      <c r="H78" s="5" t="s">
        <v>41</v>
      </c>
      <c r="J78" s="5">
        <v>2015</v>
      </c>
      <c r="K78" s="5" t="s">
        <v>17</v>
      </c>
      <c r="L78" s="5">
        <v>1</v>
      </c>
      <c r="M78" s="38">
        <f>M77*0.95</f>
        <v>-1.2076555610017305E-3</v>
      </c>
      <c r="N78" s="5">
        <v>0</v>
      </c>
      <c r="O78" s="5">
        <v>5</v>
      </c>
      <c r="P78" s="52" t="str">
        <f t="shared" si="13"/>
        <v>TLVDSL share</v>
      </c>
    </row>
    <row r="79" spans="3:16" x14ac:dyDescent="0.25">
      <c r="C79" s="5" t="s">
        <v>244</v>
      </c>
      <c r="D79" s="5"/>
      <c r="E79" s="51" t="s">
        <v>237</v>
      </c>
      <c r="F79" s="5"/>
      <c r="G79" s="5" t="s">
        <v>41</v>
      </c>
      <c r="H79" s="5" t="s">
        <v>41</v>
      </c>
      <c r="J79" s="5">
        <v>2020</v>
      </c>
      <c r="K79" s="5" t="s">
        <v>17</v>
      </c>
      <c r="L79" s="5">
        <v>1</v>
      </c>
      <c r="M79" s="38">
        <f>M77*0.85</f>
        <v>-1.0805339230015483E-3</v>
      </c>
      <c r="N79" s="5">
        <v>0</v>
      </c>
      <c r="O79" s="5">
        <v>5</v>
      </c>
      <c r="P79" s="52" t="str">
        <f t="shared" si="13"/>
        <v>TLVDSL share</v>
      </c>
    </row>
    <row r="80" spans="3:16" x14ac:dyDescent="0.25">
      <c r="C80" s="5" t="s">
        <v>244</v>
      </c>
      <c r="D80" s="5"/>
      <c r="E80" s="51" t="s">
        <v>237</v>
      </c>
      <c r="F80" s="5"/>
      <c r="G80" s="5" t="s">
        <v>41</v>
      </c>
      <c r="H80" s="5" t="s">
        <v>41</v>
      </c>
      <c r="J80" s="5">
        <v>2025</v>
      </c>
      <c r="K80" s="5" t="s">
        <v>17</v>
      </c>
      <c r="L80" s="5">
        <v>1</v>
      </c>
      <c r="M80" s="38">
        <f>M77*0.75</f>
        <v>-9.534122850013662E-4</v>
      </c>
      <c r="N80" s="5">
        <v>0</v>
      </c>
      <c r="O80" s="5">
        <v>5</v>
      </c>
      <c r="P80" s="52" t="str">
        <f t="shared" si="13"/>
        <v>TLVDSL share</v>
      </c>
    </row>
    <row r="81" spans="3:16" x14ac:dyDescent="0.25">
      <c r="C81" s="5" t="s">
        <v>244</v>
      </c>
      <c r="D81" s="5"/>
      <c r="E81" s="51" t="s">
        <v>237</v>
      </c>
      <c r="F81" s="5"/>
      <c r="G81" s="5" t="s">
        <v>41</v>
      </c>
      <c r="H81" s="5" t="s">
        <v>41</v>
      </c>
      <c r="J81" s="5">
        <v>2030</v>
      </c>
      <c r="K81" s="5" t="s">
        <v>17</v>
      </c>
      <c r="L81" s="5">
        <v>1</v>
      </c>
      <c r="M81" s="38">
        <v>0</v>
      </c>
      <c r="N81" s="5">
        <v>0</v>
      </c>
      <c r="O81" s="5">
        <v>5</v>
      </c>
      <c r="P81" s="52" t="str">
        <f t="shared" ref="P81" si="22">_xlfn.CONCAT(RIGHT(C81,6)," share")</f>
        <v>TLVDSL share</v>
      </c>
    </row>
    <row r="82" spans="3:16" x14ac:dyDescent="0.25">
      <c r="C82" s="5" t="s">
        <v>252</v>
      </c>
      <c r="D82" s="5"/>
      <c r="E82" s="51" t="s">
        <v>288</v>
      </c>
      <c r="F82" s="5"/>
      <c r="G82" s="5" t="s">
        <v>41</v>
      </c>
      <c r="H82" s="5" t="s">
        <v>41</v>
      </c>
      <c r="J82" s="5">
        <v>2011</v>
      </c>
      <c r="K82" s="5" t="s">
        <v>17</v>
      </c>
      <c r="L82" s="5">
        <v>1</v>
      </c>
      <c r="M82" s="38">
        <f>-'initial results'!O12*0.98</f>
        <v>-4.4302818076622785E-3</v>
      </c>
      <c r="N82" s="5">
        <v>0</v>
      </c>
      <c r="O82" s="5">
        <v>5</v>
      </c>
      <c r="P82" s="52" t="str">
        <f>_xlfn.CONCAT(RIGHT(C82,7)," share")</f>
        <v>TLCETHX share</v>
      </c>
    </row>
    <row r="83" spans="3:16" x14ac:dyDescent="0.25">
      <c r="C83" s="5" t="s">
        <v>252</v>
      </c>
      <c r="D83" s="5"/>
      <c r="E83" s="51" t="s">
        <v>288</v>
      </c>
      <c r="F83" s="5"/>
      <c r="G83" s="5" t="s">
        <v>41</v>
      </c>
      <c r="H83" s="5" t="s">
        <v>41</v>
      </c>
      <c r="J83" s="5">
        <v>2015</v>
      </c>
      <c r="K83" s="5" t="s">
        <v>17</v>
      </c>
      <c r="L83" s="5">
        <v>1</v>
      </c>
      <c r="M83" s="38">
        <f>M82*0.95</f>
        <v>-4.2087677172791644E-3</v>
      </c>
      <c r="N83" s="5">
        <v>0</v>
      </c>
      <c r="O83" s="5">
        <v>5</v>
      </c>
      <c r="P83" s="52" t="str">
        <f t="shared" ref="P83:P115" si="23">_xlfn.CONCAT(RIGHT(C83,7)," share")</f>
        <v>TLCETHX share</v>
      </c>
    </row>
    <row r="84" spans="3:16" x14ac:dyDescent="0.25">
      <c r="C84" s="5" t="s">
        <v>252</v>
      </c>
      <c r="D84" s="5"/>
      <c r="E84" s="51" t="s">
        <v>288</v>
      </c>
      <c r="F84" s="5"/>
      <c r="G84" s="5" t="s">
        <v>41</v>
      </c>
      <c r="H84" s="5" t="s">
        <v>41</v>
      </c>
      <c r="J84" s="5">
        <v>2020</v>
      </c>
      <c r="K84" s="5" t="s">
        <v>17</v>
      </c>
      <c r="L84" s="5">
        <v>1</v>
      </c>
      <c r="M84" s="38">
        <f>M82*0.85</f>
        <v>-3.7657395365129367E-3</v>
      </c>
      <c r="N84" s="5">
        <v>0</v>
      </c>
      <c r="O84" s="5">
        <v>5</v>
      </c>
      <c r="P84" s="52" t="str">
        <f t="shared" si="23"/>
        <v>TLCETHX share</v>
      </c>
    </row>
    <row r="85" spans="3:16" x14ac:dyDescent="0.25">
      <c r="C85" s="5" t="s">
        <v>252</v>
      </c>
      <c r="D85" s="5"/>
      <c r="E85" s="51" t="s">
        <v>288</v>
      </c>
      <c r="F85" s="5"/>
      <c r="G85" s="5" t="s">
        <v>41</v>
      </c>
      <c r="H85" s="5" t="s">
        <v>41</v>
      </c>
      <c r="J85" s="5">
        <v>2025</v>
      </c>
      <c r="K85" s="5" t="s">
        <v>17</v>
      </c>
      <c r="L85" s="5">
        <v>1</v>
      </c>
      <c r="M85" s="38">
        <f>M82*0.75</f>
        <v>-3.3227113557467089E-3</v>
      </c>
      <c r="N85" s="5">
        <v>0</v>
      </c>
      <c r="O85" s="5">
        <v>5</v>
      </c>
      <c r="P85" s="52" t="str">
        <f t="shared" si="23"/>
        <v>TLCETHX share</v>
      </c>
    </row>
    <row r="86" spans="3:16" x14ac:dyDescent="0.25">
      <c r="C86" s="5" t="s">
        <v>252</v>
      </c>
      <c r="D86" s="5"/>
      <c r="E86" s="51" t="s">
        <v>288</v>
      </c>
      <c r="F86" s="5"/>
      <c r="G86" s="5" t="s">
        <v>41</v>
      </c>
      <c r="H86" s="5" t="s">
        <v>41</v>
      </c>
      <c r="J86" s="5">
        <v>2030</v>
      </c>
      <c r="K86" s="5" t="s">
        <v>17</v>
      </c>
      <c r="L86" s="5">
        <v>1</v>
      </c>
      <c r="M86" s="38">
        <v>0</v>
      </c>
      <c r="N86" s="5">
        <v>0</v>
      </c>
      <c r="O86" s="5">
        <v>5</v>
      </c>
      <c r="P86" s="52" t="str">
        <f t="shared" ref="P86" si="24">_xlfn.CONCAT(RIGHT(C86,7)," share")</f>
        <v>TLCETHX share</v>
      </c>
    </row>
    <row r="87" spans="3:16" x14ac:dyDescent="0.25">
      <c r="C87" s="5" t="s">
        <v>253</v>
      </c>
      <c r="D87" s="5"/>
      <c r="E87" s="51" t="s">
        <v>245</v>
      </c>
      <c r="F87" s="5"/>
      <c r="G87" s="5" t="s">
        <v>41</v>
      </c>
      <c r="H87" s="5" t="s">
        <v>41</v>
      </c>
      <c r="J87" s="5">
        <v>2011</v>
      </c>
      <c r="K87" s="5" t="s">
        <v>17</v>
      </c>
      <c r="L87" s="5">
        <v>1</v>
      </c>
      <c r="M87" s="38">
        <f>-'initial results'!O19*0.98</f>
        <v>-4.5829728205656626E-3</v>
      </c>
      <c r="N87" s="5">
        <v>0</v>
      </c>
      <c r="O87" s="5">
        <v>5</v>
      </c>
      <c r="P87" s="52" t="str">
        <f t="shared" si="23"/>
        <v>TLFETHX share</v>
      </c>
    </row>
    <row r="88" spans="3:16" x14ac:dyDescent="0.25">
      <c r="C88" s="5" t="s">
        <v>253</v>
      </c>
      <c r="D88" s="5"/>
      <c r="E88" s="51" t="s">
        <v>245</v>
      </c>
      <c r="F88" s="5"/>
      <c r="G88" s="5" t="s">
        <v>41</v>
      </c>
      <c r="H88" s="5" t="s">
        <v>41</v>
      </c>
      <c r="J88" s="5">
        <v>2015</v>
      </c>
      <c r="K88" s="5" t="s">
        <v>17</v>
      </c>
      <c r="L88" s="5">
        <v>1</v>
      </c>
      <c r="M88" s="38">
        <f>M87*0.95</f>
        <v>-4.3538241795373789E-3</v>
      </c>
      <c r="N88" s="5">
        <v>0</v>
      </c>
      <c r="O88" s="5">
        <v>5</v>
      </c>
      <c r="P88" s="52" t="str">
        <f t="shared" si="23"/>
        <v>TLFETHX share</v>
      </c>
    </row>
    <row r="89" spans="3:16" x14ac:dyDescent="0.25">
      <c r="C89" s="5" t="s">
        <v>253</v>
      </c>
      <c r="D89" s="5"/>
      <c r="E89" s="51" t="s">
        <v>245</v>
      </c>
      <c r="F89" s="5"/>
      <c r="G89" s="5" t="s">
        <v>41</v>
      </c>
      <c r="H89" s="5" t="s">
        <v>41</v>
      </c>
      <c r="J89" s="5">
        <v>2020</v>
      </c>
      <c r="K89" s="5" t="s">
        <v>17</v>
      </c>
      <c r="L89" s="5">
        <v>1</v>
      </c>
      <c r="M89" s="38">
        <f>M87*0.85</f>
        <v>-3.895526897480813E-3</v>
      </c>
      <c r="N89" s="5">
        <v>0</v>
      </c>
      <c r="O89" s="5">
        <v>5</v>
      </c>
      <c r="P89" s="52" t="str">
        <f t="shared" si="23"/>
        <v>TLFETHX share</v>
      </c>
    </row>
    <row r="90" spans="3:16" x14ac:dyDescent="0.25">
      <c r="C90" s="5" t="s">
        <v>253</v>
      </c>
      <c r="D90" s="5"/>
      <c r="E90" s="51" t="s">
        <v>245</v>
      </c>
      <c r="F90" s="5"/>
      <c r="G90" s="5" t="s">
        <v>41</v>
      </c>
      <c r="H90" s="5" t="s">
        <v>41</v>
      </c>
      <c r="J90" s="5">
        <v>2025</v>
      </c>
      <c r="K90" s="5" t="s">
        <v>17</v>
      </c>
      <c r="L90" s="5">
        <v>1</v>
      </c>
      <c r="M90" s="38">
        <f>M87*0.75</f>
        <v>-3.4372296154242471E-3</v>
      </c>
      <c r="N90" s="5">
        <v>0</v>
      </c>
      <c r="O90" s="5">
        <v>5</v>
      </c>
      <c r="P90" s="52" t="str">
        <f t="shared" si="23"/>
        <v>TLFETHX share</v>
      </c>
    </row>
    <row r="91" spans="3:16" x14ac:dyDescent="0.25">
      <c r="C91" s="5" t="s">
        <v>253</v>
      </c>
      <c r="D91" s="5"/>
      <c r="E91" s="51" t="s">
        <v>245</v>
      </c>
      <c r="F91" s="5"/>
      <c r="G91" s="5" t="s">
        <v>41</v>
      </c>
      <c r="H91" s="5" t="s">
        <v>41</v>
      </c>
      <c r="J91" s="5">
        <v>2030</v>
      </c>
      <c r="K91" s="5" t="s">
        <v>17</v>
      </c>
      <c r="L91" s="5">
        <v>1</v>
      </c>
      <c r="M91" s="38">
        <v>0</v>
      </c>
      <c r="N91" s="5">
        <v>0</v>
      </c>
      <c r="O91" s="5">
        <v>5</v>
      </c>
      <c r="P91" s="52" t="str">
        <f t="shared" ref="P91" si="25">_xlfn.CONCAT(RIGHT(C91,7)," share")</f>
        <v>TLFETHX share</v>
      </c>
    </row>
    <row r="92" spans="3:16" x14ac:dyDescent="0.25">
      <c r="C92" s="5" t="s">
        <v>254</v>
      </c>
      <c r="D92" s="5"/>
      <c r="E92" s="51" t="s">
        <v>246</v>
      </c>
      <c r="F92" s="5"/>
      <c r="G92" s="5" t="s">
        <v>41</v>
      </c>
      <c r="H92" s="5" t="s">
        <v>41</v>
      </c>
      <c r="J92" s="5">
        <v>2011</v>
      </c>
      <c r="K92" s="5" t="s">
        <v>17</v>
      </c>
      <c r="L92" s="5">
        <v>1</v>
      </c>
      <c r="M92" s="38">
        <f>-'initial results'!O24*0.98</f>
        <v>-7.7908268720567361E-4</v>
      </c>
      <c r="N92" s="5">
        <v>0</v>
      </c>
      <c r="O92" s="5">
        <v>5</v>
      </c>
      <c r="P92" s="52" t="str">
        <f>_xlfn.CONCAT(RIGHT(C92,8)," share")</f>
        <v>TLLSETHX share</v>
      </c>
    </row>
    <row r="93" spans="3:16" x14ac:dyDescent="0.25">
      <c r="C93" s="5" t="s">
        <v>254</v>
      </c>
      <c r="D93" s="5"/>
      <c r="E93" s="51" t="s">
        <v>246</v>
      </c>
      <c r="F93" s="5"/>
      <c r="G93" s="5" t="s">
        <v>41</v>
      </c>
      <c r="H93" s="5" t="s">
        <v>41</v>
      </c>
      <c r="J93" s="5">
        <v>2015</v>
      </c>
      <c r="K93" s="5" t="s">
        <v>17</v>
      </c>
      <c r="L93" s="5">
        <v>1</v>
      </c>
      <c r="M93" s="38">
        <f>M92*0.95</f>
        <v>-7.4012855284538985E-4</v>
      </c>
      <c r="N93" s="5">
        <v>0</v>
      </c>
      <c r="O93" s="5">
        <v>5</v>
      </c>
      <c r="P93" s="52" t="str">
        <f t="shared" ref="P93:P95" si="26">_xlfn.CONCAT(RIGHT(C93,8)," share")</f>
        <v>TLLSETHX share</v>
      </c>
    </row>
    <row r="94" spans="3:16" x14ac:dyDescent="0.25">
      <c r="C94" s="5" t="s">
        <v>254</v>
      </c>
      <c r="D94" s="5"/>
      <c r="E94" s="51" t="s">
        <v>246</v>
      </c>
      <c r="F94" s="5"/>
      <c r="G94" s="5" t="s">
        <v>41</v>
      </c>
      <c r="H94" s="5" t="s">
        <v>41</v>
      </c>
      <c r="J94" s="5">
        <v>2020</v>
      </c>
      <c r="K94" s="5" t="s">
        <v>17</v>
      </c>
      <c r="L94" s="5">
        <v>1</v>
      </c>
      <c r="M94" s="38">
        <f>M92*0.85</f>
        <v>-6.6222028412482256E-4</v>
      </c>
      <c r="N94" s="5">
        <v>0</v>
      </c>
      <c r="O94" s="5">
        <v>5</v>
      </c>
      <c r="P94" s="52" t="str">
        <f t="shared" si="26"/>
        <v>TLLSETHX share</v>
      </c>
    </row>
    <row r="95" spans="3:16" x14ac:dyDescent="0.25">
      <c r="C95" s="5" t="s">
        <v>254</v>
      </c>
      <c r="D95" s="5"/>
      <c r="E95" s="51" t="s">
        <v>246</v>
      </c>
      <c r="F95" s="5"/>
      <c r="G95" s="5" t="s">
        <v>41</v>
      </c>
      <c r="H95" s="5" t="s">
        <v>41</v>
      </c>
      <c r="J95" s="5">
        <v>2025</v>
      </c>
      <c r="K95" s="5" t="s">
        <v>17</v>
      </c>
      <c r="L95" s="5">
        <v>1</v>
      </c>
      <c r="M95" s="38">
        <f>M92*0.75</f>
        <v>-5.8431201540425515E-4</v>
      </c>
      <c r="N95" s="5">
        <v>0</v>
      </c>
      <c r="O95" s="5">
        <v>5</v>
      </c>
      <c r="P95" s="52" t="str">
        <f t="shared" si="26"/>
        <v>TLLSETHX share</v>
      </c>
    </row>
    <row r="96" spans="3:16" x14ac:dyDescent="0.25">
      <c r="C96" s="5" t="s">
        <v>254</v>
      </c>
      <c r="D96" s="5"/>
      <c r="E96" s="51" t="s">
        <v>246</v>
      </c>
      <c r="F96" s="5"/>
      <c r="G96" s="5" t="s">
        <v>41</v>
      </c>
      <c r="H96" s="5" t="s">
        <v>41</v>
      </c>
      <c r="J96" s="5">
        <v>2030</v>
      </c>
      <c r="K96" s="5" t="s">
        <v>17</v>
      </c>
      <c r="L96" s="5">
        <v>1</v>
      </c>
      <c r="M96" s="38">
        <v>0</v>
      </c>
      <c r="N96" s="5">
        <v>0</v>
      </c>
      <c r="O96" s="5">
        <v>5</v>
      </c>
      <c r="P96" s="52" t="str">
        <f t="shared" ref="P96" si="27">_xlfn.CONCAT(RIGHT(C96,8)," share")</f>
        <v>TLLSETHX share</v>
      </c>
    </row>
    <row r="97" spans="3:16" x14ac:dyDescent="0.25">
      <c r="C97" s="5" t="s">
        <v>255</v>
      </c>
      <c r="D97" s="5"/>
      <c r="E97" s="51" t="s">
        <v>247</v>
      </c>
      <c r="F97" s="5"/>
      <c r="G97" s="5" t="s">
        <v>41</v>
      </c>
      <c r="H97" s="5" t="s">
        <v>41</v>
      </c>
      <c r="J97" s="5">
        <v>2011</v>
      </c>
      <c r="K97" s="5" t="s">
        <v>17</v>
      </c>
      <c r="L97" s="5">
        <v>1</v>
      </c>
      <c r="M97" s="38">
        <f>-'initial results'!O31*0.98</f>
        <v>-4.840687483238063E-3</v>
      </c>
      <c r="N97" s="5">
        <v>0</v>
      </c>
      <c r="O97" s="5">
        <v>5</v>
      </c>
      <c r="P97" s="52" t="str">
        <f t="shared" si="23"/>
        <v>TLPETHX share</v>
      </c>
    </row>
    <row r="98" spans="3:16" x14ac:dyDescent="0.25">
      <c r="C98" s="5" t="s">
        <v>255</v>
      </c>
      <c r="D98" s="5"/>
      <c r="E98" s="51" t="s">
        <v>247</v>
      </c>
      <c r="F98" s="5"/>
      <c r="G98" s="5" t="s">
        <v>41</v>
      </c>
      <c r="H98" s="5" t="s">
        <v>41</v>
      </c>
      <c r="J98" s="5">
        <v>2015</v>
      </c>
      <c r="K98" s="5" t="s">
        <v>17</v>
      </c>
      <c r="L98" s="5">
        <v>1</v>
      </c>
      <c r="M98" s="38">
        <f>M97*0.95</f>
        <v>-4.5986531090761599E-3</v>
      </c>
      <c r="N98" s="5">
        <v>0</v>
      </c>
      <c r="O98" s="5">
        <v>5</v>
      </c>
      <c r="P98" s="52" t="str">
        <f t="shared" si="23"/>
        <v>TLPETHX share</v>
      </c>
    </row>
    <row r="99" spans="3:16" x14ac:dyDescent="0.25">
      <c r="C99" s="5" t="s">
        <v>255</v>
      </c>
      <c r="D99" s="5"/>
      <c r="E99" s="51" t="s">
        <v>247</v>
      </c>
      <c r="F99" s="5"/>
      <c r="G99" s="5" t="s">
        <v>41</v>
      </c>
      <c r="H99" s="5" t="s">
        <v>41</v>
      </c>
      <c r="J99" s="5">
        <v>2020</v>
      </c>
      <c r="K99" s="5" t="s">
        <v>17</v>
      </c>
      <c r="L99" s="5">
        <v>1</v>
      </c>
      <c r="M99" s="38">
        <f>M97*0.85</f>
        <v>-4.1145843607523535E-3</v>
      </c>
      <c r="N99" s="5">
        <v>0</v>
      </c>
      <c r="O99" s="5">
        <v>5</v>
      </c>
      <c r="P99" s="52" t="str">
        <f t="shared" si="23"/>
        <v>TLPETHX share</v>
      </c>
    </row>
    <row r="100" spans="3:16" x14ac:dyDescent="0.25">
      <c r="C100" s="5" t="s">
        <v>255</v>
      </c>
      <c r="D100" s="5"/>
      <c r="E100" s="51" t="s">
        <v>247</v>
      </c>
      <c r="F100" s="5"/>
      <c r="G100" s="5" t="s">
        <v>41</v>
      </c>
      <c r="H100" s="5" t="s">
        <v>41</v>
      </c>
      <c r="J100" s="5">
        <v>2025</v>
      </c>
      <c r="K100" s="5" t="s">
        <v>17</v>
      </c>
      <c r="L100" s="5">
        <v>1</v>
      </c>
      <c r="M100" s="38">
        <f>M97*0.75</f>
        <v>-3.6305156124285471E-3</v>
      </c>
      <c r="N100" s="5">
        <v>0</v>
      </c>
      <c r="O100" s="5">
        <v>5</v>
      </c>
      <c r="P100" s="52" t="str">
        <f t="shared" si="23"/>
        <v>TLPETHX share</v>
      </c>
    </row>
    <row r="101" spans="3:16" x14ac:dyDescent="0.25">
      <c r="C101" s="5" t="s">
        <v>255</v>
      </c>
      <c r="D101" s="5"/>
      <c r="E101" s="51" t="s">
        <v>247</v>
      </c>
      <c r="F101" s="5"/>
      <c r="G101" s="5" t="s">
        <v>41</v>
      </c>
      <c r="H101" s="5" t="s">
        <v>41</v>
      </c>
      <c r="J101" s="5">
        <v>2030</v>
      </c>
      <c r="K101" s="5" t="s">
        <v>17</v>
      </c>
      <c r="L101" s="5">
        <v>1</v>
      </c>
      <c r="M101" s="38">
        <v>0</v>
      </c>
      <c r="N101" s="5">
        <v>0</v>
      </c>
      <c r="O101" s="5">
        <v>5</v>
      </c>
      <c r="P101" s="52" t="str">
        <f t="shared" ref="P101" si="28">_xlfn.CONCAT(RIGHT(C101,7)," share")</f>
        <v>TLPETHX share</v>
      </c>
    </row>
    <row r="102" spans="3:16" x14ac:dyDescent="0.25">
      <c r="C102" s="5" t="s">
        <v>256</v>
      </c>
      <c r="D102" s="5"/>
      <c r="E102" s="51" t="s">
        <v>248</v>
      </c>
      <c r="F102" s="5"/>
      <c r="G102" s="5" t="s">
        <v>41</v>
      </c>
      <c r="H102" s="5" t="s">
        <v>41</v>
      </c>
      <c r="J102" s="5">
        <v>2011</v>
      </c>
      <c r="K102" s="5" t="s">
        <v>17</v>
      </c>
      <c r="L102" s="5">
        <v>1</v>
      </c>
      <c r="M102" s="38">
        <f>-'initial results'!O37*0.98</f>
        <v>-3.707173337087121E-3</v>
      </c>
      <c r="N102" s="5">
        <v>0</v>
      </c>
      <c r="O102" s="5">
        <v>5</v>
      </c>
      <c r="P102" s="52" t="str">
        <f>_xlfn.CONCAT(RIGHT(C102,8)," share")</f>
        <v>TLSSETHX share</v>
      </c>
    </row>
    <row r="103" spans="3:16" x14ac:dyDescent="0.25">
      <c r="C103" s="5" t="s">
        <v>256</v>
      </c>
      <c r="D103" s="5"/>
      <c r="E103" s="51" t="s">
        <v>248</v>
      </c>
      <c r="F103" s="5"/>
      <c r="G103" s="5" t="s">
        <v>41</v>
      </c>
      <c r="H103" s="5" t="s">
        <v>41</v>
      </c>
      <c r="J103" s="5">
        <v>2015</v>
      </c>
      <c r="K103" s="5" t="s">
        <v>17</v>
      </c>
      <c r="L103" s="5">
        <v>1</v>
      </c>
      <c r="M103" s="38">
        <f>M102*0.95</f>
        <v>-3.521814670232765E-3</v>
      </c>
      <c r="N103" s="5">
        <v>0</v>
      </c>
      <c r="O103" s="5">
        <v>5</v>
      </c>
      <c r="P103" s="52" t="str">
        <f t="shared" ref="P103:P105" si="29">_xlfn.CONCAT(RIGHT(C103,8)," share")</f>
        <v>TLSSETHX share</v>
      </c>
    </row>
    <row r="104" spans="3:16" x14ac:dyDescent="0.25">
      <c r="C104" s="5" t="s">
        <v>256</v>
      </c>
      <c r="D104" s="5"/>
      <c r="E104" s="51" t="s">
        <v>248</v>
      </c>
      <c r="F104" s="5"/>
      <c r="G104" s="5" t="s">
        <v>41</v>
      </c>
      <c r="H104" s="5" t="s">
        <v>41</v>
      </c>
      <c r="J104" s="5">
        <v>2020</v>
      </c>
      <c r="K104" s="5" t="s">
        <v>17</v>
      </c>
      <c r="L104" s="5">
        <v>1</v>
      </c>
      <c r="M104" s="38">
        <f>M102*0.85</f>
        <v>-3.1510973365240528E-3</v>
      </c>
      <c r="N104" s="5">
        <v>0</v>
      </c>
      <c r="O104" s="5">
        <v>5</v>
      </c>
      <c r="P104" s="52" t="str">
        <f t="shared" si="29"/>
        <v>TLSSETHX share</v>
      </c>
    </row>
    <row r="105" spans="3:16" x14ac:dyDescent="0.25">
      <c r="C105" s="5" t="s">
        <v>256</v>
      </c>
      <c r="D105" s="5"/>
      <c r="E105" s="51" t="s">
        <v>248</v>
      </c>
      <c r="F105" s="5"/>
      <c r="G105" s="5" t="s">
        <v>41</v>
      </c>
      <c r="H105" s="5" t="s">
        <v>41</v>
      </c>
      <c r="J105" s="5">
        <v>2025</v>
      </c>
      <c r="K105" s="5" t="s">
        <v>17</v>
      </c>
      <c r="L105" s="5">
        <v>1</v>
      </c>
      <c r="M105" s="38">
        <f>M102*0.75</f>
        <v>-2.7803800028153407E-3</v>
      </c>
      <c r="N105" s="5">
        <v>0</v>
      </c>
      <c r="O105" s="5">
        <v>5</v>
      </c>
      <c r="P105" s="52" t="str">
        <f t="shared" si="29"/>
        <v>TLSSETHX share</v>
      </c>
    </row>
    <row r="106" spans="3:16" x14ac:dyDescent="0.25">
      <c r="C106" s="5" t="s">
        <v>256</v>
      </c>
      <c r="D106" s="5"/>
      <c r="E106" s="51" t="s">
        <v>248</v>
      </c>
      <c r="F106" s="5"/>
      <c r="G106" s="5" t="s">
        <v>41</v>
      </c>
      <c r="H106" s="5" t="s">
        <v>41</v>
      </c>
      <c r="J106" s="5">
        <v>2030</v>
      </c>
      <c r="K106" s="5" t="s">
        <v>17</v>
      </c>
      <c r="L106" s="5">
        <v>1</v>
      </c>
      <c r="M106" s="38">
        <v>0</v>
      </c>
      <c r="N106" s="5">
        <v>0</v>
      </c>
      <c r="O106" s="5">
        <v>5</v>
      </c>
      <c r="P106" s="52" t="str">
        <f t="shared" ref="P106" si="30">_xlfn.CONCAT(RIGHT(C106,8)," share")</f>
        <v>TLSSETHX share</v>
      </c>
    </row>
    <row r="107" spans="3:16" x14ac:dyDescent="0.25">
      <c r="C107" s="5" t="s">
        <v>257</v>
      </c>
      <c r="D107" s="5"/>
      <c r="E107" s="51" t="s">
        <v>249</v>
      </c>
      <c r="F107" s="5"/>
      <c r="G107" s="5" t="s">
        <v>41</v>
      </c>
      <c r="H107" s="5" t="s">
        <v>41</v>
      </c>
      <c r="J107" s="5">
        <v>2011</v>
      </c>
      <c r="K107" s="5" t="s">
        <v>17</v>
      </c>
      <c r="L107" s="5">
        <v>1</v>
      </c>
      <c r="M107" s="38">
        <f>-'initial results'!O40*0.98</f>
        <v>-9.2679333427178046E-3</v>
      </c>
      <c r="N107" s="5">
        <v>0</v>
      </c>
      <c r="O107" s="5">
        <v>5</v>
      </c>
      <c r="P107" s="52" t="str">
        <f t="shared" si="23"/>
        <v>TCOETHX share</v>
      </c>
    </row>
    <row r="108" spans="3:16" x14ac:dyDescent="0.25">
      <c r="C108" s="5" t="s">
        <v>257</v>
      </c>
      <c r="D108" s="5"/>
      <c r="E108" s="51" t="s">
        <v>249</v>
      </c>
      <c r="F108" s="5"/>
      <c r="G108" s="5" t="s">
        <v>41</v>
      </c>
      <c r="H108" s="5" t="s">
        <v>41</v>
      </c>
      <c r="J108" s="5">
        <v>2015</v>
      </c>
      <c r="K108" s="5" t="s">
        <v>17</v>
      </c>
      <c r="L108" s="5">
        <v>1</v>
      </c>
      <c r="M108" s="38">
        <f>M107*0.95</f>
        <v>-8.8045366755819133E-3</v>
      </c>
      <c r="N108" s="5">
        <v>0</v>
      </c>
      <c r="O108" s="5">
        <v>5</v>
      </c>
      <c r="P108" s="52" t="str">
        <f t="shared" si="23"/>
        <v>TCOETHX share</v>
      </c>
    </row>
    <row r="109" spans="3:16" x14ac:dyDescent="0.25">
      <c r="C109" s="5" t="s">
        <v>257</v>
      </c>
      <c r="D109" s="5"/>
      <c r="E109" s="51" t="s">
        <v>249</v>
      </c>
      <c r="F109" s="5"/>
      <c r="G109" s="5" t="s">
        <v>41</v>
      </c>
      <c r="H109" s="5" t="s">
        <v>41</v>
      </c>
      <c r="J109" s="5">
        <v>2020</v>
      </c>
      <c r="K109" s="5" t="s">
        <v>17</v>
      </c>
      <c r="L109" s="5">
        <v>1</v>
      </c>
      <c r="M109" s="38">
        <f>M107*0.85</f>
        <v>-7.8777433413101342E-3</v>
      </c>
      <c r="N109" s="5">
        <v>0</v>
      </c>
      <c r="O109" s="5">
        <v>5</v>
      </c>
      <c r="P109" s="52" t="str">
        <f t="shared" si="23"/>
        <v>TCOETHX share</v>
      </c>
    </row>
    <row r="110" spans="3:16" x14ac:dyDescent="0.25">
      <c r="C110" s="5" t="s">
        <v>257</v>
      </c>
      <c r="D110" s="5"/>
      <c r="E110" s="51" t="s">
        <v>249</v>
      </c>
      <c r="F110" s="5"/>
      <c r="G110" s="5" t="s">
        <v>41</v>
      </c>
      <c r="H110" s="5" t="s">
        <v>41</v>
      </c>
      <c r="J110" s="5">
        <v>2025</v>
      </c>
      <c r="K110" s="5" t="s">
        <v>17</v>
      </c>
      <c r="L110" s="5">
        <v>1</v>
      </c>
      <c r="M110" s="38">
        <f>M107*0.75</f>
        <v>-6.9509500070383534E-3</v>
      </c>
      <c r="N110" s="5">
        <v>0</v>
      </c>
      <c r="O110" s="5">
        <v>5</v>
      </c>
      <c r="P110" s="52" t="str">
        <f t="shared" si="23"/>
        <v>TCOETHX share</v>
      </c>
    </row>
    <row r="111" spans="3:16" x14ac:dyDescent="0.25">
      <c r="C111" s="5" t="s">
        <v>257</v>
      </c>
      <c r="D111" s="5"/>
      <c r="E111" s="51" t="s">
        <v>249</v>
      </c>
      <c r="F111" s="5"/>
      <c r="G111" s="5" t="s">
        <v>41</v>
      </c>
      <c r="H111" s="5" t="s">
        <v>41</v>
      </c>
      <c r="J111" s="5">
        <v>2030</v>
      </c>
      <c r="K111" s="5" t="s">
        <v>17</v>
      </c>
      <c r="L111" s="5">
        <v>1</v>
      </c>
      <c r="M111" s="38">
        <v>0</v>
      </c>
      <c r="N111" s="5">
        <v>0</v>
      </c>
      <c r="O111" s="5">
        <v>5</v>
      </c>
      <c r="P111" s="52" t="str">
        <f t="shared" ref="P111" si="31">_xlfn.CONCAT(RIGHT(C111,7)," share")</f>
        <v>TCOETHX share</v>
      </c>
    </row>
    <row r="112" spans="3:16" x14ac:dyDescent="0.25">
      <c r="C112" s="5" t="s">
        <v>251</v>
      </c>
      <c r="D112" s="5"/>
      <c r="E112" s="51" t="s">
        <v>250</v>
      </c>
      <c r="F112" s="5"/>
      <c r="G112" s="5" t="s">
        <v>41</v>
      </c>
      <c r="H112" s="5" t="s">
        <v>41</v>
      </c>
      <c r="J112" s="5">
        <v>2011</v>
      </c>
      <c r="K112" s="5" t="s">
        <v>17</v>
      </c>
      <c r="L112" s="5">
        <v>1</v>
      </c>
      <c r="M112" s="38">
        <f>-'initial results'!O46*0.98</f>
        <v>-1.715844348287261E-3</v>
      </c>
      <c r="N112" s="5">
        <v>0</v>
      </c>
      <c r="O112" s="5">
        <v>5</v>
      </c>
      <c r="P112" s="52" t="str">
        <f t="shared" si="23"/>
        <v>TLVETHX share</v>
      </c>
    </row>
    <row r="113" spans="3:16" x14ac:dyDescent="0.25">
      <c r="C113" s="5" t="s">
        <v>251</v>
      </c>
      <c r="D113" s="5"/>
      <c r="E113" s="51" t="s">
        <v>250</v>
      </c>
      <c r="F113" s="5"/>
      <c r="G113" s="5" t="s">
        <v>41</v>
      </c>
      <c r="H113" s="5" t="s">
        <v>41</v>
      </c>
      <c r="J113" s="5">
        <v>2015</v>
      </c>
      <c r="K113" s="5" t="s">
        <v>17</v>
      </c>
      <c r="L113" s="5">
        <v>1</v>
      </c>
      <c r="M113" s="38">
        <f>M112*0.95</f>
        <v>-1.6300521308728979E-3</v>
      </c>
      <c r="N113" s="5">
        <v>0</v>
      </c>
      <c r="O113" s="5">
        <v>5</v>
      </c>
      <c r="P113" s="52" t="str">
        <f t="shared" si="23"/>
        <v>TLVETHX share</v>
      </c>
    </row>
    <row r="114" spans="3:16" x14ac:dyDescent="0.25">
      <c r="C114" s="5" t="s">
        <v>251</v>
      </c>
      <c r="D114" s="5"/>
      <c r="E114" s="51" t="s">
        <v>250</v>
      </c>
      <c r="F114" s="5"/>
      <c r="G114" s="5" t="s">
        <v>41</v>
      </c>
      <c r="H114" s="5" t="s">
        <v>41</v>
      </c>
      <c r="J114" s="5">
        <v>2020</v>
      </c>
      <c r="K114" s="5" t="s">
        <v>17</v>
      </c>
      <c r="L114" s="5">
        <v>1</v>
      </c>
      <c r="M114" s="38">
        <f>M112*0.85</f>
        <v>-1.4584676960441719E-3</v>
      </c>
      <c r="N114" s="5">
        <v>0</v>
      </c>
      <c r="O114" s="5">
        <v>5</v>
      </c>
      <c r="P114" s="52" t="str">
        <f t="shared" si="23"/>
        <v>TLVETHX share</v>
      </c>
    </row>
    <row r="115" spans="3:16" x14ac:dyDescent="0.25">
      <c r="C115" s="5" t="s">
        <v>251</v>
      </c>
      <c r="D115" s="5"/>
      <c r="E115" s="51" t="s">
        <v>250</v>
      </c>
      <c r="F115" s="5"/>
      <c r="G115" s="5" t="s">
        <v>41</v>
      </c>
      <c r="H115" s="5" t="s">
        <v>41</v>
      </c>
      <c r="J115" s="5">
        <v>2025</v>
      </c>
      <c r="K115" s="5" t="s">
        <v>17</v>
      </c>
      <c r="L115" s="5">
        <v>1</v>
      </c>
      <c r="M115" s="38">
        <f>M112*0.75</f>
        <v>-1.2868832612154457E-3</v>
      </c>
      <c r="N115" s="5">
        <v>0</v>
      </c>
      <c r="O115" s="5">
        <v>5</v>
      </c>
      <c r="P115" s="52" t="str">
        <f t="shared" si="23"/>
        <v>TLVETHX share</v>
      </c>
    </row>
    <row r="116" spans="3:16" x14ac:dyDescent="0.25">
      <c r="C116" s="5" t="s">
        <v>251</v>
      </c>
      <c r="D116" s="5"/>
      <c r="E116" s="51" t="s">
        <v>250</v>
      </c>
      <c r="F116" s="5"/>
      <c r="G116" s="5" t="s">
        <v>41</v>
      </c>
      <c r="H116" s="5" t="s">
        <v>41</v>
      </c>
      <c r="J116" s="5">
        <v>2030</v>
      </c>
      <c r="K116" s="5" t="s">
        <v>17</v>
      </c>
      <c r="L116" s="5">
        <v>1</v>
      </c>
      <c r="M116" s="38">
        <v>0</v>
      </c>
      <c r="N116" s="5">
        <v>0</v>
      </c>
      <c r="O116" s="5">
        <v>5</v>
      </c>
      <c r="P116" s="52" t="str">
        <f t="shared" ref="P116" si="32">_xlfn.CONCAT(RIGHT(C116,7)," share")</f>
        <v>TLVETHX share</v>
      </c>
    </row>
    <row r="117" spans="3:16" x14ac:dyDescent="0.25">
      <c r="C117" s="5" t="s">
        <v>260</v>
      </c>
      <c r="D117" s="5"/>
      <c r="E117" s="51" t="s">
        <v>258</v>
      </c>
      <c r="F117" s="5"/>
      <c r="G117" s="5" t="s">
        <v>41</v>
      </c>
      <c r="H117" s="5" t="s">
        <v>41</v>
      </c>
      <c r="J117" s="5">
        <v>2011</v>
      </c>
      <c r="K117" s="5" t="s">
        <v>17</v>
      </c>
      <c r="L117" s="5">
        <v>1</v>
      </c>
      <c r="M117" s="61">
        <f>-'initial results'!O11*0.98</f>
        <v>-3.3586195613216726E-5</v>
      </c>
      <c r="N117" s="5">
        <v>0</v>
      </c>
      <c r="O117" s="5">
        <v>5</v>
      </c>
      <c r="P117" s="52" t="str">
        <f>_xlfn.CONCAT(RIGHT(C117,6)," share")</f>
        <v>TLCELC share</v>
      </c>
    </row>
    <row r="118" spans="3:16" x14ac:dyDescent="0.25">
      <c r="C118" s="5" t="s">
        <v>260</v>
      </c>
      <c r="D118" s="5"/>
      <c r="E118" s="51" t="s">
        <v>258</v>
      </c>
      <c r="F118" s="5"/>
      <c r="G118" s="5" t="s">
        <v>41</v>
      </c>
      <c r="H118" s="5" t="s">
        <v>41</v>
      </c>
      <c r="J118" s="5">
        <v>2015</v>
      </c>
      <c r="K118" s="5" t="s">
        <v>17</v>
      </c>
      <c r="L118" s="5">
        <v>1</v>
      </c>
      <c r="M118" s="61">
        <f>M117</f>
        <v>-3.3586195613216726E-5</v>
      </c>
      <c r="N118" s="5">
        <v>0</v>
      </c>
      <c r="O118" s="5">
        <v>5</v>
      </c>
      <c r="P118" s="52" t="str">
        <f t="shared" ref="P118:P120" si="33">_xlfn.CONCAT(RIGHT(C118,6)," share")</f>
        <v>TLCELC share</v>
      </c>
    </row>
    <row r="119" spans="3:16" x14ac:dyDescent="0.25">
      <c r="C119" s="5" t="s">
        <v>260</v>
      </c>
      <c r="D119" s="5"/>
      <c r="E119" s="51" t="s">
        <v>258</v>
      </c>
      <c r="F119" s="5"/>
      <c r="G119" s="5" t="s">
        <v>41</v>
      </c>
      <c r="H119" s="5" t="s">
        <v>41</v>
      </c>
      <c r="J119" s="5">
        <v>2020</v>
      </c>
      <c r="K119" s="5" t="s">
        <v>17</v>
      </c>
      <c r="L119" s="5">
        <v>1</v>
      </c>
      <c r="M119" s="61">
        <f t="shared" ref="M119:M120" si="34">M118</f>
        <v>-3.3586195613216726E-5</v>
      </c>
      <c r="N119" s="5">
        <v>0</v>
      </c>
      <c r="O119" s="5">
        <v>5</v>
      </c>
      <c r="P119" s="52" t="str">
        <f t="shared" si="33"/>
        <v>TLCELC share</v>
      </c>
    </row>
    <row r="120" spans="3:16" x14ac:dyDescent="0.25">
      <c r="C120" s="5" t="s">
        <v>260</v>
      </c>
      <c r="D120" s="5"/>
      <c r="E120" s="51" t="s">
        <v>258</v>
      </c>
      <c r="F120" s="5"/>
      <c r="G120" s="5" t="s">
        <v>41</v>
      </c>
      <c r="H120" s="5" t="s">
        <v>41</v>
      </c>
      <c r="J120" s="5">
        <v>2025</v>
      </c>
      <c r="K120" s="5" t="s">
        <v>17</v>
      </c>
      <c r="L120" s="5">
        <v>1</v>
      </c>
      <c r="M120" s="61">
        <f t="shared" si="34"/>
        <v>-3.3586195613216726E-5</v>
      </c>
      <c r="N120" s="5">
        <v>0</v>
      </c>
      <c r="O120" s="5">
        <v>5</v>
      </c>
      <c r="P120" s="52" t="str">
        <f t="shared" si="33"/>
        <v>TLCELC share</v>
      </c>
    </row>
    <row r="121" spans="3:16" x14ac:dyDescent="0.25">
      <c r="C121" s="5" t="s">
        <v>260</v>
      </c>
      <c r="D121" s="5"/>
      <c r="E121" s="51" t="s">
        <v>258</v>
      </c>
      <c r="F121" s="5"/>
      <c r="G121" s="5" t="s">
        <v>41</v>
      </c>
      <c r="H121" s="5" t="s">
        <v>41</v>
      </c>
      <c r="J121" s="5">
        <v>2030</v>
      </c>
      <c r="K121" s="5" t="s">
        <v>17</v>
      </c>
      <c r="L121" s="5">
        <v>1</v>
      </c>
      <c r="M121" s="61">
        <v>0</v>
      </c>
      <c r="N121" s="5">
        <v>0</v>
      </c>
      <c r="O121" s="5">
        <v>5</v>
      </c>
      <c r="P121" s="52" t="str">
        <f t="shared" ref="P121" si="35">_xlfn.CONCAT(RIGHT(C121,6)," share")</f>
        <v>TLCELC share</v>
      </c>
    </row>
    <row r="122" spans="3:16" x14ac:dyDescent="0.25">
      <c r="C122" s="5" t="s">
        <v>261</v>
      </c>
      <c r="D122" s="5"/>
      <c r="E122" s="51" t="s">
        <v>259</v>
      </c>
      <c r="F122" s="5"/>
      <c r="G122" s="5" t="s">
        <v>41</v>
      </c>
      <c r="H122" s="5" t="s">
        <v>41</v>
      </c>
      <c r="J122" s="5">
        <v>2020</v>
      </c>
      <c r="K122" s="5" t="s">
        <v>17</v>
      </c>
      <c r="L122" s="5">
        <v>1</v>
      </c>
      <c r="M122" s="61">
        <f>-'initial results'!O36*0.98</f>
        <v>-1.6068409334872824E-5</v>
      </c>
      <c r="N122" s="5">
        <v>0</v>
      </c>
      <c r="O122" s="5">
        <v>5</v>
      </c>
      <c r="P122" s="52" t="str">
        <f t="shared" ref="P122:P123" si="36">_xlfn.CONCAT(RIGHT(C122,7)," share")</f>
        <v>TLSSELC share</v>
      </c>
    </row>
    <row r="123" spans="3:16" x14ac:dyDescent="0.25">
      <c r="C123" s="5" t="s">
        <v>261</v>
      </c>
      <c r="D123" s="5"/>
      <c r="E123" s="51" t="s">
        <v>259</v>
      </c>
      <c r="F123" s="5"/>
      <c r="G123" s="5" t="s">
        <v>41</v>
      </c>
      <c r="H123" s="5" t="s">
        <v>41</v>
      </c>
      <c r="J123" s="5">
        <v>2025</v>
      </c>
      <c r="K123" s="5" t="s">
        <v>17</v>
      </c>
      <c r="L123" s="5">
        <v>1</v>
      </c>
      <c r="M123" s="61">
        <f>M122</f>
        <v>-1.6068409334872824E-5</v>
      </c>
      <c r="N123" s="5">
        <v>0</v>
      </c>
      <c r="O123" s="5">
        <v>5</v>
      </c>
      <c r="P123" s="52" t="str">
        <f t="shared" si="36"/>
        <v>TLSSELC share</v>
      </c>
    </row>
    <row r="124" spans="3:16" x14ac:dyDescent="0.25">
      <c r="C124" s="5" t="s">
        <v>261</v>
      </c>
      <c r="D124" s="5"/>
      <c r="E124" s="51" t="s">
        <v>259</v>
      </c>
      <c r="F124" s="5"/>
      <c r="G124" s="5" t="s">
        <v>41</v>
      </c>
      <c r="H124" s="5" t="s">
        <v>41</v>
      </c>
      <c r="J124" s="5">
        <v>2030</v>
      </c>
      <c r="K124" s="5" t="s">
        <v>17</v>
      </c>
      <c r="L124" s="5">
        <v>1</v>
      </c>
      <c r="M124" s="61">
        <v>0</v>
      </c>
      <c r="N124" s="5">
        <v>0</v>
      </c>
      <c r="O124" s="5">
        <v>5</v>
      </c>
      <c r="P124" s="52" t="str">
        <f t="shared" ref="P124" si="37">_xlfn.CONCAT(RIGHT(C124,7)," share")</f>
        <v>TLSSELC share</v>
      </c>
    </row>
    <row r="125" spans="3:16" x14ac:dyDescent="0.25">
      <c r="C125" s="5" t="s">
        <v>266</v>
      </c>
      <c r="D125" s="5"/>
      <c r="E125" s="51" t="s">
        <v>264</v>
      </c>
      <c r="F125" s="5"/>
      <c r="G125" s="5" t="s">
        <v>41</v>
      </c>
      <c r="H125" s="5" t="s">
        <v>41</v>
      </c>
      <c r="J125" s="5">
        <v>2011</v>
      </c>
      <c r="K125" s="5" t="s">
        <v>17</v>
      </c>
      <c r="L125" s="5">
        <v>1</v>
      </c>
      <c r="M125" s="38">
        <f>-('initial results'!O8+'initial results'!O7)*0.98</f>
        <v>-6.0789075207514655E-4</v>
      </c>
      <c r="N125" s="5">
        <v>0</v>
      </c>
      <c r="O125" s="5">
        <v>5</v>
      </c>
      <c r="P125" s="52" t="str">
        <f>_xlfn.CONCAT(RIGHT(C125,6)," share")</f>
        <v>TLCCNG share</v>
      </c>
    </row>
    <row r="126" spans="3:16" x14ac:dyDescent="0.25">
      <c r="C126" s="5" t="s">
        <v>266</v>
      </c>
      <c r="D126" s="5"/>
      <c r="E126" s="51" t="s">
        <v>264</v>
      </c>
      <c r="F126" s="5"/>
      <c r="G126" s="5" t="s">
        <v>41</v>
      </c>
      <c r="H126" s="5" t="s">
        <v>41</v>
      </c>
      <c r="J126" s="5">
        <v>2015</v>
      </c>
      <c r="K126" s="5" t="s">
        <v>17</v>
      </c>
      <c r="L126" s="5">
        <v>1</v>
      </c>
      <c r="M126" s="38">
        <f>M125*0.95</f>
        <v>-5.7749621447138915E-4</v>
      </c>
      <c r="N126" s="5">
        <v>0</v>
      </c>
      <c r="O126" s="5">
        <v>5</v>
      </c>
      <c r="P126" s="52" t="str">
        <f t="shared" ref="P126:P143" si="38">_xlfn.CONCAT(RIGHT(C126,6)," share")</f>
        <v>TLCCNG share</v>
      </c>
    </row>
    <row r="127" spans="3:16" x14ac:dyDescent="0.25">
      <c r="C127" s="5" t="s">
        <v>266</v>
      </c>
      <c r="D127" s="5"/>
      <c r="E127" s="51" t="s">
        <v>264</v>
      </c>
      <c r="F127" s="5"/>
      <c r="G127" s="5" t="s">
        <v>41</v>
      </c>
      <c r="H127" s="5" t="s">
        <v>41</v>
      </c>
      <c r="J127" s="5">
        <v>2020</v>
      </c>
      <c r="K127" s="5" t="s">
        <v>17</v>
      </c>
      <c r="L127" s="5">
        <v>1</v>
      </c>
      <c r="M127" s="38">
        <f>M125*0.85</f>
        <v>-5.1670713926387456E-4</v>
      </c>
      <c r="N127" s="5">
        <v>0</v>
      </c>
      <c r="O127" s="5">
        <v>5</v>
      </c>
      <c r="P127" s="52" t="str">
        <f t="shared" si="38"/>
        <v>TLCCNG share</v>
      </c>
    </row>
    <row r="128" spans="3:16" x14ac:dyDescent="0.25">
      <c r="C128" s="5" t="s">
        <v>266</v>
      </c>
      <c r="D128" s="5"/>
      <c r="E128" s="51" t="s">
        <v>264</v>
      </c>
      <c r="F128" s="5"/>
      <c r="G128" s="5" t="s">
        <v>41</v>
      </c>
      <c r="H128" s="5" t="s">
        <v>41</v>
      </c>
      <c r="J128" s="5">
        <v>2025</v>
      </c>
      <c r="K128" s="5" t="s">
        <v>17</v>
      </c>
      <c r="L128" s="5">
        <v>1</v>
      </c>
      <c r="M128" s="38">
        <f>M125*0.75</f>
        <v>-4.5591806405635992E-4</v>
      </c>
      <c r="N128" s="5">
        <v>0</v>
      </c>
      <c r="O128" s="5">
        <v>5</v>
      </c>
      <c r="P128" s="52" t="str">
        <f t="shared" si="38"/>
        <v>TLCCNG share</v>
      </c>
    </row>
    <row r="129" spans="3:16" x14ac:dyDescent="0.25">
      <c r="C129" s="5" t="s">
        <v>266</v>
      </c>
      <c r="D129" s="5"/>
      <c r="E129" s="51" t="s">
        <v>264</v>
      </c>
      <c r="F129" s="5"/>
      <c r="G129" s="5" t="s">
        <v>41</v>
      </c>
      <c r="H129" s="5" t="s">
        <v>41</v>
      </c>
      <c r="J129" s="5">
        <v>2030</v>
      </c>
      <c r="K129" s="5" t="s">
        <v>17</v>
      </c>
      <c r="L129" s="5">
        <v>1</v>
      </c>
      <c r="M129" s="38">
        <v>0</v>
      </c>
      <c r="N129" s="5">
        <v>0</v>
      </c>
      <c r="O129" s="5">
        <v>5</v>
      </c>
      <c r="P129" s="52" t="str">
        <f t="shared" ref="P129" si="39">_xlfn.CONCAT(RIGHT(C129,6)," share")</f>
        <v>TLCCNG share</v>
      </c>
    </row>
    <row r="130" spans="3:16" x14ac:dyDescent="0.25">
      <c r="C130" s="5" t="s">
        <v>267</v>
      </c>
      <c r="D130" s="5"/>
      <c r="E130" s="51" t="s">
        <v>263</v>
      </c>
      <c r="F130" s="5"/>
      <c r="G130" s="5" t="s">
        <v>41</v>
      </c>
      <c r="H130" s="5" t="s">
        <v>41</v>
      </c>
      <c r="J130" s="5">
        <v>2011</v>
      </c>
      <c r="K130" s="5" t="s">
        <v>17</v>
      </c>
      <c r="L130" s="5">
        <v>1</v>
      </c>
      <c r="M130" s="38">
        <f>-('initial results'!O15+'initial results'!O16)*0.98</f>
        <v>-6.2884189213770919E-4</v>
      </c>
      <c r="N130" s="5">
        <v>0</v>
      </c>
      <c r="O130" s="5">
        <v>5</v>
      </c>
      <c r="P130" s="52" t="str">
        <f t="shared" si="38"/>
        <v>TLFCNG share</v>
      </c>
    </row>
    <row r="131" spans="3:16" x14ac:dyDescent="0.25">
      <c r="C131" s="5" t="s">
        <v>267</v>
      </c>
      <c r="D131" s="5"/>
      <c r="E131" s="51" t="s">
        <v>263</v>
      </c>
      <c r="F131" s="5"/>
      <c r="G131" s="5" t="s">
        <v>41</v>
      </c>
      <c r="H131" s="5" t="s">
        <v>41</v>
      </c>
      <c r="J131" s="5">
        <v>2015</v>
      </c>
      <c r="K131" s="5" t="s">
        <v>17</v>
      </c>
      <c r="L131" s="5">
        <v>1</v>
      </c>
      <c r="M131" s="38">
        <f>M130*0.95</f>
        <v>-5.9739979753082369E-4</v>
      </c>
      <c r="N131" s="5">
        <v>0</v>
      </c>
      <c r="O131" s="5">
        <v>5</v>
      </c>
      <c r="P131" s="52" t="str">
        <f t="shared" si="38"/>
        <v>TLFCNG share</v>
      </c>
    </row>
    <row r="132" spans="3:16" x14ac:dyDescent="0.25">
      <c r="C132" s="5" t="s">
        <v>267</v>
      </c>
      <c r="D132" s="5"/>
      <c r="E132" s="51" t="s">
        <v>263</v>
      </c>
      <c r="F132" s="5"/>
      <c r="G132" s="5" t="s">
        <v>41</v>
      </c>
      <c r="H132" s="5" t="s">
        <v>41</v>
      </c>
      <c r="J132" s="5">
        <v>2020</v>
      </c>
      <c r="K132" s="5" t="s">
        <v>17</v>
      </c>
      <c r="L132" s="5">
        <v>1</v>
      </c>
      <c r="M132" s="38">
        <f>M130*0.85</f>
        <v>-5.3451560831705282E-4</v>
      </c>
      <c r="N132" s="5">
        <v>0</v>
      </c>
      <c r="O132" s="5">
        <v>5</v>
      </c>
      <c r="P132" s="52" t="str">
        <f t="shared" si="38"/>
        <v>TLFCNG share</v>
      </c>
    </row>
    <row r="133" spans="3:16" x14ac:dyDescent="0.25">
      <c r="C133" s="5" t="s">
        <v>267</v>
      </c>
      <c r="D133" s="5"/>
      <c r="E133" s="51" t="s">
        <v>263</v>
      </c>
      <c r="F133" s="5"/>
      <c r="G133" s="5" t="s">
        <v>41</v>
      </c>
      <c r="H133" s="5" t="s">
        <v>41</v>
      </c>
      <c r="J133" s="5">
        <v>2025</v>
      </c>
      <c r="K133" s="5" t="s">
        <v>17</v>
      </c>
      <c r="L133" s="5">
        <v>1</v>
      </c>
      <c r="M133" s="38">
        <f>M130*0.75</f>
        <v>-4.7163141910328189E-4</v>
      </c>
      <c r="N133" s="5">
        <v>0</v>
      </c>
      <c r="O133" s="5">
        <v>5</v>
      </c>
      <c r="P133" s="52" t="str">
        <f t="shared" si="38"/>
        <v>TLFCNG share</v>
      </c>
    </row>
    <row r="134" spans="3:16" x14ac:dyDescent="0.25">
      <c r="C134" s="5" t="s">
        <v>267</v>
      </c>
      <c r="D134" s="5"/>
      <c r="E134" s="51" t="s">
        <v>263</v>
      </c>
      <c r="F134" s="5"/>
      <c r="G134" s="5" t="s">
        <v>41</v>
      </c>
      <c r="H134" s="5" t="s">
        <v>41</v>
      </c>
      <c r="J134" s="5">
        <v>2030</v>
      </c>
      <c r="K134" s="5" t="s">
        <v>17</v>
      </c>
      <c r="L134" s="5">
        <v>1</v>
      </c>
      <c r="M134" s="38">
        <v>0</v>
      </c>
      <c r="N134" s="5">
        <v>0</v>
      </c>
      <c r="O134" s="5">
        <v>5</v>
      </c>
      <c r="P134" s="52" t="str">
        <f t="shared" ref="P134" si="40">_xlfn.CONCAT(RIGHT(C134,6)," share")</f>
        <v>TLFCNG share</v>
      </c>
    </row>
    <row r="135" spans="3:16" x14ac:dyDescent="0.25">
      <c r="C135" s="5" t="s">
        <v>268</v>
      </c>
      <c r="D135" s="5"/>
      <c r="E135" s="51" t="s">
        <v>262</v>
      </c>
      <c r="F135" s="5"/>
      <c r="G135" s="5" t="s">
        <v>41</v>
      </c>
      <c r="H135" s="5" t="s">
        <v>41</v>
      </c>
      <c r="J135" s="5">
        <v>2011</v>
      </c>
      <c r="K135" s="5" t="s">
        <v>17</v>
      </c>
      <c r="L135" s="5">
        <v>1</v>
      </c>
      <c r="M135" s="38">
        <f>-('initial results'!O27+'initial results'!O28)*0.98</f>
        <v>-4.1107968668185169E-4</v>
      </c>
      <c r="N135" s="5">
        <v>0</v>
      </c>
      <c r="O135" s="5">
        <v>5</v>
      </c>
      <c r="P135" s="52" t="str">
        <f t="shared" si="38"/>
        <v>TLPCNG share</v>
      </c>
    </row>
    <row r="136" spans="3:16" x14ac:dyDescent="0.25">
      <c r="C136" s="5" t="s">
        <v>268</v>
      </c>
      <c r="D136" s="5"/>
      <c r="E136" s="51" t="s">
        <v>262</v>
      </c>
      <c r="F136" s="5"/>
      <c r="G136" s="5" t="s">
        <v>41</v>
      </c>
      <c r="H136" s="5" t="s">
        <v>41</v>
      </c>
      <c r="J136" s="5">
        <v>2015</v>
      </c>
      <c r="K136" s="5" t="s">
        <v>17</v>
      </c>
      <c r="L136" s="5">
        <v>1</v>
      </c>
      <c r="M136" s="38">
        <f>M135*0.95</f>
        <v>-3.9052570234775907E-4</v>
      </c>
      <c r="N136" s="5">
        <v>0</v>
      </c>
      <c r="O136" s="5">
        <v>5</v>
      </c>
      <c r="P136" s="52" t="str">
        <f t="shared" si="38"/>
        <v>TLPCNG share</v>
      </c>
    </row>
    <row r="137" spans="3:16" x14ac:dyDescent="0.25">
      <c r="C137" s="5" t="s">
        <v>268</v>
      </c>
      <c r="D137" s="5"/>
      <c r="E137" s="51" t="s">
        <v>262</v>
      </c>
      <c r="F137" s="5"/>
      <c r="G137" s="5" t="s">
        <v>41</v>
      </c>
      <c r="H137" s="5" t="s">
        <v>41</v>
      </c>
      <c r="J137" s="5">
        <v>2020</v>
      </c>
      <c r="K137" s="5" t="s">
        <v>17</v>
      </c>
      <c r="L137" s="5">
        <v>1</v>
      </c>
      <c r="M137" s="38">
        <f>M135*0.85</f>
        <v>-3.4941773367957394E-4</v>
      </c>
      <c r="N137" s="5">
        <v>0</v>
      </c>
      <c r="O137" s="5">
        <v>5</v>
      </c>
      <c r="P137" s="52" t="str">
        <f t="shared" si="38"/>
        <v>TLPCNG share</v>
      </c>
    </row>
    <row r="138" spans="3:16" x14ac:dyDescent="0.25">
      <c r="C138" s="5" t="s">
        <v>268</v>
      </c>
      <c r="D138" s="5"/>
      <c r="E138" s="51" t="s">
        <v>262</v>
      </c>
      <c r="F138" s="5"/>
      <c r="G138" s="5" t="s">
        <v>41</v>
      </c>
      <c r="H138" s="5" t="s">
        <v>41</v>
      </c>
      <c r="J138" s="5">
        <v>2025</v>
      </c>
      <c r="K138" s="5" t="s">
        <v>17</v>
      </c>
      <c r="L138" s="5">
        <v>1</v>
      </c>
      <c r="M138" s="38">
        <f>M135*0.75</f>
        <v>-3.0830976501138876E-4</v>
      </c>
      <c r="N138" s="5">
        <v>0</v>
      </c>
      <c r="O138" s="5">
        <v>5</v>
      </c>
      <c r="P138" s="52" t="str">
        <f t="shared" si="38"/>
        <v>TLPCNG share</v>
      </c>
    </row>
    <row r="139" spans="3:16" x14ac:dyDescent="0.25">
      <c r="C139" s="5" t="s">
        <v>268</v>
      </c>
      <c r="D139" s="5"/>
      <c r="E139" s="51" t="s">
        <v>262</v>
      </c>
      <c r="F139" s="5"/>
      <c r="G139" s="5" t="s">
        <v>41</v>
      </c>
      <c r="H139" s="5" t="s">
        <v>41</v>
      </c>
      <c r="J139" s="5">
        <v>2030</v>
      </c>
      <c r="K139" s="5" t="s">
        <v>17</v>
      </c>
      <c r="L139" s="5">
        <v>1</v>
      </c>
      <c r="M139" s="38">
        <v>0</v>
      </c>
      <c r="N139" s="5">
        <v>0</v>
      </c>
      <c r="O139" s="5">
        <v>5</v>
      </c>
      <c r="P139" s="52" t="str">
        <f t="shared" ref="P139" si="41">_xlfn.CONCAT(RIGHT(C139,6)," share")</f>
        <v>TLPCNG share</v>
      </c>
    </row>
    <row r="140" spans="3:16" x14ac:dyDescent="0.25">
      <c r="C140" s="5" t="s">
        <v>269</v>
      </c>
      <c r="D140" s="5"/>
      <c r="E140" s="51" t="s">
        <v>265</v>
      </c>
      <c r="F140" s="5"/>
      <c r="G140" s="5" t="s">
        <v>41</v>
      </c>
      <c r="H140" s="5" t="s">
        <v>41</v>
      </c>
      <c r="J140" s="5">
        <v>2011</v>
      </c>
      <c r="K140" s="5" t="s">
        <v>17</v>
      </c>
      <c r="L140" s="5">
        <v>1</v>
      </c>
      <c r="M140" s="38">
        <f>-('initial results'!O42+'initial results'!O43)*0.98</f>
        <v>-1.4571251697846177E-4</v>
      </c>
      <c r="N140" s="5">
        <v>0</v>
      </c>
      <c r="O140" s="5">
        <v>5</v>
      </c>
      <c r="P140" s="52" t="str">
        <f t="shared" si="38"/>
        <v>TLVCNG share</v>
      </c>
    </row>
    <row r="141" spans="3:16" x14ac:dyDescent="0.25">
      <c r="C141" s="5" t="s">
        <v>269</v>
      </c>
      <c r="D141" s="5"/>
      <c r="E141" s="51" t="s">
        <v>265</v>
      </c>
      <c r="F141" s="5"/>
      <c r="G141" s="5" t="s">
        <v>41</v>
      </c>
      <c r="H141" s="5" t="s">
        <v>41</v>
      </c>
      <c r="J141" s="5">
        <v>2015</v>
      </c>
      <c r="K141" s="5" t="s">
        <v>17</v>
      </c>
      <c r="L141" s="5">
        <v>1</v>
      </c>
      <c r="M141" s="38">
        <f>M140*0.95</f>
        <v>-1.3842689112953868E-4</v>
      </c>
      <c r="N141" s="5">
        <v>0</v>
      </c>
      <c r="O141" s="5">
        <v>5</v>
      </c>
      <c r="P141" s="52" t="str">
        <f t="shared" si="38"/>
        <v>TLVCNG share</v>
      </c>
    </row>
    <row r="142" spans="3:16" x14ac:dyDescent="0.25">
      <c r="C142" s="5" t="s">
        <v>269</v>
      </c>
      <c r="D142" s="5"/>
      <c r="E142" s="51" t="s">
        <v>265</v>
      </c>
      <c r="F142" s="5"/>
      <c r="G142" s="5" t="s">
        <v>41</v>
      </c>
      <c r="H142" s="5" t="s">
        <v>41</v>
      </c>
      <c r="J142" s="5">
        <v>2020</v>
      </c>
      <c r="K142" s="5" t="s">
        <v>17</v>
      </c>
      <c r="L142" s="5">
        <v>1</v>
      </c>
      <c r="M142" s="38">
        <f>M140*0.85</f>
        <v>-1.2385563943169249E-4</v>
      </c>
      <c r="N142" s="5">
        <v>0</v>
      </c>
      <c r="O142" s="5">
        <v>5</v>
      </c>
      <c r="P142" s="52" t="str">
        <f t="shared" si="38"/>
        <v>TLVCNG share</v>
      </c>
    </row>
    <row r="143" spans="3:16" x14ac:dyDescent="0.25">
      <c r="C143" s="5" t="s">
        <v>269</v>
      </c>
      <c r="D143" s="5"/>
      <c r="E143" s="51" t="s">
        <v>265</v>
      </c>
      <c r="F143" s="5"/>
      <c r="G143" s="5" t="s">
        <v>41</v>
      </c>
      <c r="H143" s="5" t="s">
        <v>41</v>
      </c>
      <c r="J143" s="5">
        <v>2025</v>
      </c>
      <c r="K143" s="5" t="s">
        <v>17</v>
      </c>
      <c r="L143" s="5">
        <v>1</v>
      </c>
      <c r="M143" s="38">
        <f>M140*0.75</f>
        <v>-1.0928438773384632E-4</v>
      </c>
      <c r="N143" s="5">
        <v>0</v>
      </c>
      <c r="O143" s="5">
        <v>5</v>
      </c>
      <c r="P143" s="52" t="str">
        <f t="shared" si="38"/>
        <v>TLVCNG share</v>
      </c>
    </row>
    <row r="144" spans="3:16" x14ac:dyDescent="0.25">
      <c r="C144" s="5" t="s">
        <v>269</v>
      </c>
      <c r="D144" s="5"/>
      <c r="E144" s="51" t="s">
        <v>265</v>
      </c>
      <c r="F144" s="5"/>
      <c r="G144" s="5" t="s">
        <v>41</v>
      </c>
      <c r="H144" s="5" t="s">
        <v>41</v>
      </c>
      <c r="J144" s="5">
        <v>2030</v>
      </c>
      <c r="K144" s="5" t="s">
        <v>17</v>
      </c>
      <c r="L144" s="5">
        <v>1</v>
      </c>
      <c r="M144" s="38">
        <v>0</v>
      </c>
      <c r="N144" s="5">
        <v>0</v>
      </c>
      <c r="O144" s="5">
        <v>5</v>
      </c>
      <c r="P144" s="52" t="str">
        <f t="shared" ref="P144" si="42">_xlfn.CONCAT(RIGHT(C144,6)," share")</f>
        <v>TLVCNG share</v>
      </c>
    </row>
    <row r="145" spans="3:17" x14ac:dyDescent="0.25">
      <c r="C145" s="5" t="s">
        <v>274</v>
      </c>
      <c r="D145" s="5"/>
      <c r="E145" s="51" t="s">
        <v>270</v>
      </c>
      <c r="F145" s="5"/>
      <c r="G145" s="5" t="s">
        <v>41</v>
      </c>
      <c r="H145" s="5" t="s">
        <v>41</v>
      </c>
      <c r="J145" s="5">
        <v>2011</v>
      </c>
      <c r="K145" s="5" t="s">
        <v>17</v>
      </c>
      <c r="L145" s="5">
        <v>1</v>
      </c>
      <c r="M145" s="38">
        <f>-'initial results'!O13*0.98</f>
        <v>-4.0549014416401156E-3</v>
      </c>
      <c r="N145" s="5">
        <v>0</v>
      </c>
      <c r="O145" s="5">
        <v>5</v>
      </c>
      <c r="P145" s="52" t="str">
        <f t="shared" ref="P145:P168" si="43">_xlfn.CONCAT(RIGHT(C145,6)," share")</f>
        <v>TLCHEV share</v>
      </c>
    </row>
    <row r="146" spans="3:17" x14ac:dyDescent="0.25">
      <c r="C146" s="5" t="s">
        <v>274</v>
      </c>
      <c r="D146" s="5"/>
      <c r="E146" s="51" t="s">
        <v>270</v>
      </c>
      <c r="F146" s="5"/>
      <c r="G146" s="5" t="s">
        <v>41</v>
      </c>
      <c r="H146" s="5" t="s">
        <v>41</v>
      </c>
      <c r="J146" s="5">
        <v>2015</v>
      </c>
      <c r="K146" s="5" t="s">
        <v>17</v>
      </c>
      <c r="L146" s="5">
        <v>1</v>
      </c>
      <c r="M146" s="38">
        <f>M145*0.95</f>
        <v>-3.8521563695581096E-3</v>
      </c>
      <c r="N146" s="5">
        <v>0</v>
      </c>
      <c r="O146" s="5">
        <v>5</v>
      </c>
      <c r="P146" s="52" t="str">
        <f t="shared" si="43"/>
        <v>TLCHEV share</v>
      </c>
    </row>
    <row r="147" spans="3:17" x14ac:dyDescent="0.25">
      <c r="C147" s="5" t="s">
        <v>274</v>
      </c>
      <c r="D147" s="5"/>
      <c r="E147" s="51" t="s">
        <v>270</v>
      </c>
      <c r="F147" s="5"/>
      <c r="G147" s="5" t="s">
        <v>41</v>
      </c>
      <c r="H147" s="5" t="s">
        <v>41</v>
      </c>
      <c r="J147" s="5">
        <v>2020</v>
      </c>
      <c r="K147" s="5" t="s">
        <v>17</v>
      </c>
      <c r="L147" s="5">
        <v>1</v>
      </c>
      <c r="M147" s="38">
        <f>M145*0.85</f>
        <v>-3.4466662253940981E-3</v>
      </c>
      <c r="N147" s="5">
        <v>0</v>
      </c>
      <c r="O147" s="5">
        <v>5</v>
      </c>
      <c r="P147" s="52" t="str">
        <f t="shared" si="43"/>
        <v>TLCHEV share</v>
      </c>
    </row>
    <row r="148" spans="3:17" x14ac:dyDescent="0.25">
      <c r="C148" s="5" t="s">
        <v>274</v>
      </c>
      <c r="D148" s="5"/>
      <c r="E148" s="51" t="s">
        <v>270</v>
      </c>
      <c r="F148" s="5"/>
      <c r="G148" s="5" t="s">
        <v>41</v>
      </c>
      <c r="H148" s="5" t="s">
        <v>41</v>
      </c>
      <c r="J148" s="5">
        <v>2025</v>
      </c>
      <c r="K148" s="5" t="s">
        <v>17</v>
      </c>
      <c r="L148" s="5">
        <v>1</v>
      </c>
      <c r="M148" s="38">
        <f>M145*0.75</f>
        <v>-3.0411760812300865E-3</v>
      </c>
      <c r="N148" s="5">
        <v>0</v>
      </c>
      <c r="O148" s="5">
        <v>5</v>
      </c>
      <c r="P148" s="52" t="str">
        <f t="shared" si="43"/>
        <v>TLCHEV share</v>
      </c>
    </row>
    <row r="149" spans="3:17" x14ac:dyDescent="0.25">
      <c r="C149" s="5" t="s">
        <v>274</v>
      </c>
      <c r="D149" s="5"/>
      <c r="E149" s="51" t="s">
        <v>270</v>
      </c>
      <c r="F149" s="5"/>
      <c r="G149" s="5" t="s">
        <v>41</v>
      </c>
      <c r="H149" s="5" t="s">
        <v>41</v>
      </c>
      <c r="J149" s="5">
        <v>2030</v>
      </c>
      <c r="K149" s="5" t="s">
        <v>17</v>
      </c>
      <c r="L149" s="5">
        <v>1</v>
      </c>
      <c r="M149" s="38">
        <v>0</v>
      </c>
      <c r="N149" s="5">
        <v>0</v>
      </c>
      <c r="O149" s="5">
        <v>5</v>
      </c>
      <c r="P149" s="52" t="str">
        <f t="shared" ref="P149" si="44">_xlfn.CONCAT(RIGHT(C149,6)," share")</f>
        <v>TLCHEV share</v>
      </c>
    </row>
    <row r="150" spans="3:17" x14ac:dyDescent="0.25">
      <c r="C150" s="5" t="s">
        <v>275</v>
      </c>
      <c r="D150" s="5"/>
      <c r="E150" s="51" t="s">
        <v>271</v>
      </c>
      <c r="F150" s="5"/>
      <c r="G150" s="5" t="s">
        <v>41</v>
      </c>
      <c r="H150" s="5" t="s">
        <v>41</v>
      </c>
      <c r="J150" s="5">
        <v>2011</v>
      </c>
      <c r="K150" s="5" t="s">
        <v>17</v>
      </c>
      <c r="L150" s="5">
        <v>1</v>
      </c>
      <c r="M150" s="38">
        <f>-'initial results'!O20*0.98</f>
        <v>-4.1946548558081734E-3</v>
      </c>
      <c r="N150" s="5">
        <v>0</v>
      </c>
      <c r="O150" s="5">
        <v>5</v>
      </c>
      <c r="P150" s="52" t="str">
        <f t="shared" si="43"/>
        <v>TLFHEV share</v>
      </c>
      <c r="Q150" s="54"/>
    </row>
    <row r="151" spans="3:17" x14ac:dyDescent="0.25">
      <c r="C151" s="5" t="s">
        <v>275</v>
      </c>
      <c r="D151" s="5"/>
      <c r="E151" s="51" t="s">
        <v>271</v>
      </c>
      <c r="F151" s="5"/>
      <c r="G151" s="5" t="s">
        <v>41</v>
      </c>
      <c r="H151" s="5" t="s">
        <v>41</v>
      </c>
      <c r="J151" s="5">
        <v>2015</v>
      </c>
      <c r="K151" s="5" t="s">
        <v>17</v>
      </c>
      <c r="L151" s="5">
        <v>1</v>
      </c>
      <c r="M151" s="38">
        <f>M150*0.95</f>
        <v>-3.9849221130177645E-3</v>
      </c>
      <c r="N151" s="5">
        <v>0</v>
      </c>
      <c r="O151" s="5">
        <v>5</v>
      </c>
      <c r="P151" s="52" t="str">
        <f t="shared" si="43"/>
        <v>TLFHEV share</v>
      </c>
      <c r="Q151" s="54"/>
    </row>
    <row r="152" spans="3:17" x14ac:dyDescent="0.25">
      <c r="C152" s="5" t="s">
        <v>275</v>
      </c>
      <c r="D152" s="5"/>
      <c r="E152" s="51" t="s">
        <v>271</v>
      </c>
      <c r="F152" s="5"/>
      <c r="G152" s="5" t="s">
        <v>41</v>
      </c>
      <c r="H152" s="5" t="s">
        <v>41</v>
      </c>
      <c r="J152" s="5">
        <v>2020</v>
      </c>
      <c r="K152" s="5" t="s">
        <v>17</v>
      </c>
      <c r="L152" s="5">
        <v>1</v>
      </c>
      <c r="M152" s="38">
        <f>M150*0.85</f>
        <v>-3.5654566274369473E-3</v>
      </c>
      <c r="N152" s="5">
        <v>0</v>
      </c>
      <c r="O152" s="5">
        <v>5</v>
      </c>
      <c r="P152" s="52" t="str">
        <f t="shared" si="43"/>
        <v>TLFHEV share</v>
      </c>
      <c r="Q152" s="54"/>
    </row>
    <row r="153" spans="3:17" x14ac:dyDescent="0.25">
      <c r="C153" s="5" t="s">
        <v>275</v>
      </c>
      <c r="D153" s="5"/>
      <c r="E153" s="51" t="s">
        <v>271</v>
      </c>
      <c r="F153" s="5"/>
      <c r="G153" s="5" t="s">
        <v>41</v>
      </c>
      <c r="H153" s="5" t="s">
        <v>41</v>
      </c>
      <c r="J153" s="5">
        <v>2025</v>
      </c>
      <c r="K153" s="5" t="s">
        <v>17</v>
      </c>
      <c r="L153" s="5">
        <v>1</v>
      </c>
      <c r="M153" s="38">
        <f>M150*0.75</f>
        <v>-3.14599114185613E-3</v>
      </c>
      <c r="N153" s="5">
        <v>0</v>
      </c>
      <c r="O153" s="5">
        <v>5</v>
      </c>
      <c r="P153" s="52" t="str">
        <f t="shared" si="43"/>
        <v>TLFHEV share</v>
      </c>
      <c r="Q153" s="54"/>
    </row>
    <row r="154" spans="3:17" x14ac:dyDescent="0.25">
      <c r="C154" s="5" t="s">
        <v>275</v>
      </c>
      <c r="D154" s="5"/>
      <c r="E154" s="51" t="s">
        <v>271</v>
      </c>
      <c r="F154" s="5"/>
      <c r="G154" s="5" t="s">
        <v>41</v>
      </c>
      <c r="H154" s="5" t="s">
        <v>41</v>
      </c>
      <c r="J154" s="5">
        <v>2030</v>
      </c>
      <c r="K154" s="5" t="s">
        <v>17</v>
      </c>
      <c r="L154" s="5">
        <v>1</v>
      </c>
      <c r="M154" s="38">
        <v>0</v>
      </c>
      <c r="N154" s="5">
        <v>0</v>
      </c>
      <c r="O154" s="5">
        <v>5</v>
      </c>
      <c r="P154" s="52" t="str">
        <f t="shared" ref="P154" si="45">_xlfn.CONCAT(RIGHT(C154,6)," share")</f>
        <v>TLFHEV share</v>
      </c>
      <c r="Q154" s="54"/>
    </row>
    <row r="155" spans="3:17" x14ac:dyDescent="0.25">
      <c r="C155" s="5" t="s">
        <v>276</v>
      </c>
      <c r="D155" s="5"/>
      <c r="E155" s="51" t="s">
        <v>272</v>
      </c>
      <c r="F155" s="5"/>
      <c r="G155" s="5" t="s">
        <v>41</v>
      </c>
      <c r="H155" s="5" t="s">
        <v>41</v>
      </c>
      <c r="J155" s="5">
        <v>2011</v>
      </c>
      <c r="K155" s="5" t="s">
        <v>17</v>
      </c>
      <c r="L155" s="5">
        <v>1</v>
      </c>
      <c r="M155" s="38">
        <f>-'initial results'!O41*0.98</f>
        <v>-1.0289886791622664E-3</v>
      </c>
      <c r="N155" s="5">
        <v>0</v>
      </c>
      <c r="O155" s="5">
        <v>5</v>
      </c>
      <c r="P155" s="52" t="str">
        <f>_xlfn.CONCAT(RIGHT(C155,8)," share")</f>
        <v>TLTCOHEV share</v>
      </c>
    </row>
    <row r="156" spans="3:17" x14ac:dyDescent="0.25">
      <c r="C156" s="5" t="s">
        <v>276</v>
      </c>
      <c r="D156" s="5"/>
      <c r="E156" s="51" t="s">
        <v>272</v>
      </c>
      <c r="F156" s="5"/>
      <c r="G156" s="5" t="s">
        <v>41</v>
      </c>
      <c r="H156" s="5" t="s">
        <v>41</v>
      </c>
      <c r="J156" s="5">
        <v>2015</v>
      </c>
      <c r="K156" s="5" t="s">
        <v>17</v>
      </c>
      <c r="L156" s="5">
        <v>1</v>
      </c>
      <c r="M156" s="38">
        <f>M155*0.95</f>
        <v>-9.7753924520415291E-4</v>
      </c>
      <c r="N156" s="5">
        <v>0</v>
      </c>
      <c r="O156" s="5">
        <v>5</v>
      </c>
      <c r="P156" s="52" t="str">
        <f t="shared" ref="P156:P158" si="46">_xlfn.CONCAT(RIGHT(C156,8)," share")</f>
        <v>TLTCOHEV share</v>
      </c>
    </row>
    <row r="157" spans="3:17" x14ac:dyDescent="0.25">
      <c r="C157" s="5" t="s">
        <v>276</v>
      </c>
      <c r="D157" s="5"/>
      <c r="E157" s="51" t="s">
        <v>272</v>
      </c>
      <c r="F157" s="5"/>
      <c r="G157" s="5" t="s">
        <v>41</v>
      </c>
      <c r="H157" s="5" t="s">
        <v>41</v>
      </c>
      <c r="J157" s="5">
        <v>2020</v>
      </c>
      <c r="K157" s="5" t="s">
        <v>17</v>
      </c>
      <c r="L157" s="5">
        <v>1</v>
      </c>
      <c r="M157" s="38">
        <f>M155*0.85</f>
        <v>-8.7464037728792637E-4</v>
      </c>
      <c r="N157" s="5">
        <v>0</v>
      </c>
      <c r="O157" s="5">
        <v>5</v>
      </c>
      <c r="P157" s="52" t="str">
        <f t="shared" si="46"/>
        <v>TLTCOHEV share</v>
      </c>
    </row>
    <row r="158" spans="3:17" x14ac:dyDescent="0.25">
      <c r="C158" s="5" t="s">
        <v>276</v>
      </c>
      <c r="D158" s="5"/>
      <c r="E158" s="51" t="s">
        <v>272</v>
      </c>
      <c r="F158" s="5"/>
      <c r="G158" s="5" t="s">
        <v>41</v>
      </c>
      <c r="H158" s="5" t="s">
        <v>41</v>
      </c>
      <c r="J158" s="5">
        <v>2025</v>
      </c>
      <c r="K158" s="5" t="s">
        <v>17</v>
      </c>
      <c r="L158" s="5">
        <v>1</v>
      </c>
      <c r="M158" s="38">
        <f>M155*0.75</f>
        <v>-7.7174150937169982E-4</v>
      </c>
      <c r="N158" s="5">
        <v>0</v>
      </c>
      <c r="O158" s="5">
        <v>5</v>
      </c>
      <c r="P158" s="52" t="str">
        <f t="shared" si="46"/>
        <v>TLTCOHEV share</v>
      </c>
    </row>
    <row r="159" spans="3:17" x14ac:dyDescent="0.25">
      <c r="C159" s="5" t="s">
        <v>276</v>
      </c>
      <c r="D159" s="5"/>
      <c r="E159" s="51" t="s">
        <v>272</v>
      </c>
      <c r="F159" s="5"/>
      <c r="G159" s="5" t="s">
        <v>41</v>
      </c>
      <c r="H159" s="5" t="s">
        <v>41</v>
      </c>
      <c r="J159" s="5">
        <v>2030</v>
      </c>
      <c r="K159" s="5" t="s">
        <v>17</v>
      </c>
      <c r="L159" s="5">
        <v>1</v>
      </c>
      <c r="M159" s="38">
        <v>0</v>
      </c>
      <c r="N159" s="5">
        <v>0</v>
      </c>
      <c r="O159" s="5">
        <v>5</v>
      </c>
      <c r="P159" s="52" t="str">
        <f t="shared" ref="P159" si="47">_xlfn.CONCAT(RIGHT(C159,8)," share")</f>
        <v>TLTCOHEV share</v>
      </c>
    </row>
    <row r="160" spans="3:17" x14ac:dyDescent="0.25">
      <c r="C160" s="5" t="s">
        <v>277</v>
      </c>
      <c r="D160" s="5"/>
      <c r="E160" s="51" t="s">
        <v>287</v>
      </c>
      <c r="F160" s="5"/>
      <c r="G160" s="5" t="s">
        <v>41</v>
      </c>
      <c r="H160" s="5" t="s">
        <v>41</v>
      </c>
      <c r="J160" s="5">
        <v>2011</v>
      </c>
      <c r="K160" s="5" t="s">
        <v>17</v>
      </c>
      <c r="L160" s="5">
        <v>1</v>
      </c>
      <c r="M160" s="38">
        <f>-'initial results'!O25*0.98</f>
        <v>-1.0191887869797687E-4</v>
      </c>
      <c r="N160" s="5">
        <v>0</v>
      </c>
      <c r="O160" s="5">
        <v>5</v>
      </c>
      <c r="P160" s="52" t="str">
        <f>_xlfn.CONCAT(RIGHT(C160,7)," share")</f>
        <v>TLLSHEV share</v>
      </c>
    </row>
    <row r="161" spans="3:17" x14ac:dyDescent="0.25">
      <c r="C161" s="5" t="s">
        <v>277</v>
      </c>
      <c r="D161" s="5"/>
      <c r="E161" s="51" t="s">
        <v>287</v>
      </c>
      <c r="F161" s="5"/>
      <c r="G161" s="5" t="s">
        <v>41</v>
      </c>
      <c r="H161" s="5" t="s">
        <v>41</v>
      </c>
      <c r="J161" s="5">
        <v>2015</v>
      </c>
      <c r="K161" s="5" t="s">
        <v>17</v>
      </c>
      <c r="L161" s="5">
        <v>1</v>
      </c>
      <c r="M161" s="38">
        <f>M160*0.95</f>
        <v>-9.682293476307802E-5</v>
      </c>
      <c r="N161" s="5">
        <v>0</v>
      </c>
      <c r="O161" s="5">
        <v>5</v>
      </c>
      <c r="P161" s="52" t="str">
        <f t="shared" ref="P161:P163" si="48">_xlfn.CONCAT(RIGHT(C161,7)," share")</f>
        <v>TLLSHEV share</v>
      </c>
    </row>
    <row r="162" spans="3:17" x14ac:dyDescent="0.25">
      <c r="C162" s="5" t="s">
        <v>277</v>
      </c>
      <c r="D162" s="5"/>
      <c r="E162" s="51" t="s">
        <v>287</v>
      </c>
      <c r="F162" s="5"/>
      <c r="G162" s="5" t="s">
        <v>41</v>
      </c>
      <c r="H162" s="5" t="s">
        <v>41</v>
      </c>
      <c r="J162" s="5">
        <v>2020</v>
      </c>
      <c r="K162" s="5" t="s">
        <v>17</v>
      </c>
      <c r="L162" s="5">
        <v>1</v>
      </c>
      <c r="M162" s="38">
        <f>M160*0.85</f>
        <v>-8.6631046893280333E-5</v>
      </c>
      <c r="N162" s="5">
        <v>0</v>
      </c>
      <c r="O162" s="5">
        <v>5</v>
      </c>
      <c r="P162" s="52" t="str">
        <f t="shared" si="48"/>
        <v>TLLSHEV share</v>
      </c>
    </row>
    <row r="163" spans="3:17" x14ac:dyDescent="0.25">
      <c r="C163" s="5" t="s">
        <v>277</v>
      </c>
      <c r="D163" s="5"/>
      <c r="E163" s="51" t="s">
        <v>287</v>
      </c>
      <c r="F163" s="5"/>
      <c r="G163" s="5" t="s">
        <v>41</v>
      </c>
      <c r="H163" s="5" t="s">
        <v>41</v>
      </c>
      <c r="J163" s="5">
        <v>2025</v>
      </c>
      <c r="K163" s="5" t="s">
        <v>17</v>
      </c>
      <c r="L163" s="5">
        <v>1</v>
      </c>
      <c r="M163" s="38">
        <f>M160*0.75</f>
        <v>-7.6439159023482646E-5</v>
      </c>
      <c r="N163" s="5">
        <v>0</v>
      </c>
      <c r="O163" s="5">
        <v>5</v>
      </c>
      <c r="P163" s="52" t="str">
        <f t="shared" si="48"/>
        <v>TLLSHEV share</v>
      </c>
    </row>
    <row r="164" spans="3:17" x14ac:dyDescent="0.25">
      <c r="C164" s="5" t="s">
        <v>277</v>
      </c>
      <c r="D164" s="5"/>
      <c r="E164" s="51" t="s">
        <v>287</v>
      </c>
      <c r="F164" s="5"/>
      <c r="G164" s="5" t="s">
        <v>41</v>
      </c>
      <c r="H164" s="5" t="s">
        <v>41</v>
      </c>
      <c r="J164" s="5">
        <v>2030</v>
      </c>
      <c r="K164" s="5" t="s">
        <v>17</v>
      </c>
      <c r="L164" s="5">
        <v>1</v>
      </c>
      <c r="M164" s="38">
        <v>0</v>
      </c>
      <c r="N164" s="5">
        <v>0</v>
      </c>
      <c r="O164" s="5">
        <v>5</v>
      </c>
      <c r="P164" s="52" t="str">
        <f t="shared" ref="P164" si="49">_xlfn.CONCAT(RIGHT(C164,7)," share")</f>
        <v>TLLSHEV share</v>
      </c>
    </row>
    <row r="165" spans="3:17" x14ac:dyDescent="0.25">
      <c r="C165" s="5" t="s">
        <v>278</v>
      </c>
      <c r="D165" s="5"/>
      <c r="E165" s="51" t="s">
        <v>273</v>
      </c>
      <c r="F165" s="5"/>
      <c r="G165" s="5" t="s">
        <v>41</v>
      </c>
      <c r="H165" s="5" t="s">
        <v>41</v>
      </c>
      <c r="J165" s="5">
        <v>2011</v>
      </c>
      <c r="K165" s="5" t="s">
        <v>17</v>
      </c>
      <c r="L165" s="5">
        <v>1</v>
      </c>
      <c r="M165" s="38">
        <f>-'initial results'!O47*0.98</f>
        <v>-4.8561979684013539E-4</v>
      </c>
      <c r="N165" s="5">
        <v>0</v>
      </c>
      <c r="O165" s="5">
        <v>5</v>
      </c>
      <c r="P165" s="52" t="str">
        <f t="shared" si="43"/>
        <v>TLVHEV share</v>
      </c>
    </row>
    <row r="166" spans="3:17" x14ac:dyDescent="0.25">
      <c r="C166" s="5" t="s">
        <v>278</v>
      </c>
      <c r="D166" s="5"/>
      <c r="E166" s="51" t="s">
        <v>273</v>
      </c>
      <c r="F166" s="5"/>
      <c r="G166" s="5" t="s">
        <v>41</v>
      </c>
      <c r="H166" s="5" t="s">
        <v>41</v>
      </c>
      <c r="J166" s="5">
        <v>2015</v>
      </c>
      <c r="K166" s="5" t="s">
        <v>17</v>
      </c>
      <c r="L166" s="5">
        <v>1</v>
      </c>
      <c r="M166" s="38">
        <f>M165*0.95</f>
        <v>-4.6133880699812858E-4</v>
      </c>
      <c r="N166" s="5">
        <v>0</v>
      </c>
      <c r="O166" s="5">
        <v>5</v>
      </c>
      <c r="P166" s="52" t="str">
        <f t="shared" si="43"/>
        <v>TLVHEV share</v>
      </c>
    </row>
    <row r="167" spans="3:17" x14ac:dyDescent="0.25">
      <c r="C167" s="5" t="s">
        <v>278</v>
      </c>
      <c r="D167" s="5"/>
      <c r="E167" s="51" t="s">
        <v>273</v>
      </c>
      <c r="F167" s="5"/>
      <c r="G167" s="5" t="s">
        <v>41</v>
      </c>
      <c r="H167" s="5" t="s">
        <v>41</v>
      </c>
      <c r="J167" s="5">
        <v>2020</v>
      </c>
      <c r="K167" s="5" t="s">
        <v>17</v>
      </c>
      <c r="L167" s="5">
        <v>1</v>
      </c>
      <c r="M167" s="38">
        <f>M165*0.85</f>
        <v>-4.1277682731411506E-4</v>
      </c>
      <c r="N167" s="5">
        <v>0</v>
      </c>
      <c r="O167" s="5">
        <v>5</v>
      </c>
      <c r="P167" s="52" t="str">
        <f t="shared" si="43"/>
        <v>TLVHEV share</v>
      </c>
    </row>
    <row r="168" spans="3:17" x14ac:dyDescent="0.25">
      <c r="C168" s="5" t="s">
        <v>278</v>
      </c>
      <c r="D168" s="5"/>
      <c r="E168" s="51" t="s">
        <v>273</v>
      </c>
      <c r="F168" s="5"/>
      <c r="G168" s="5" t="s">
        <v>41</v>
      </c>
      <c r="H168" s="5" t="s">
        <v>41</v>
      </c>
      <c r="J168" s="5">
        <v>2025</v>
      </c>
      <c r="K168" s="5" t="s">
        <v>17</v>
      </c>
      <c r="L168" s="5">
        <v>1</v>
      </c>
      <c r="M168" s="38">
        <f>M165*0.75</f>
        <v>-3.6421484763010154E-4</v>
      </c>
      <c r="N168" s="5">
        <v>0</v>
      </c>
      <c r="O168" s="5">
        <v>5</v>
      </c>
      <c r="P168" s="52" t="str">
        <f t="shared" si="43"/>
        <v>TLVHEV share</v>
      </c>
    </row>
    <row r="169" spans="3:17" x14ac:dyDescent="0.25">
      <c r="C169" s="5" t="s">
        <v>278</v>
      </c>
      <c r="D169" s="5"/>
      <c r="E169" s="51" t="s">
        <v>273</v>
      </c>
      <c r="F169" s="5"/>
      <c r="G169" s="5" t="s">
        <v>41</v>
      </c>
      <c r="H169" s="5" t="s">
        <v>41</v>
      </c>
      <c r="J169" s="5">
        <v>2030</v>
      </c>
      <c r="K169" s="5" t="s">
        <v>17</v>
      </c>
      <c r="L169" s="5">
        <v>1</v>
      </c>
      <c r="M169" s="38">
        <v>0</v>
      </c>
      <c r="N169" s="5">
        <v>0</v>
      </c>
      <c r="O169" s="5">
        <v>5</v>
      </c>
      <c r="P169" s="52" t="str">
        <f t="shared" ref="P169" si="50">_xlfn.CONCAT(RIGHT(C169,6)," share")</f>
        <v>TLVHEV share</v>
      </c>
    </row>
    <row r="170" spans="3:17" x14ac:dyDescent="0.25">
      <c r="C170" s="5" t="s">
        <v>283</v>
      </c>
      <c r="D170" s="5"/>
      <c r="E170" s="51" t="s">
        <v>279</v>
      </c>
      <c r="F170" s="5"/>
      <c r="G170" s="5" t="s">
        <v>41</v>
      </c>
      <c r="H170" s="5" t="s">
        <v>41</v>
      </c>
      <c r="J170" s="5">
        <v>2011</v>
      </c>
      <c r="K170" s="5" t="s">
        <v>17</v>
      </c>
      <c r="L170" s="5">
        <v>1</v>
      </c>
      <c r="M170" s="38">
        <f>-'initial results'!O14*0.98</f>
        <v>-4.9125239354806248E-4</v>
      </c>
      <c r="N170" s="5">
        <v>0</v>
      </c>
      <c r="O170" s="5">
        <v>5</v>
      </c>
      <c r="P170" s="52" t="str">
        <f t="shared" ref="P170:P188" si="51">_xlfn.CONCAT(RIGHT(C170,6)," share")</f>
        <v>TLCLPG share</v>
      </c>
      <c r="Q170" s="54"/>
    </row>
    <row r="171" spans="3:17" x14ac:dyDescent="0.25">
      <c r="C171" s="5" t="s">
        <v>283</v>
      </c>
      <c r="D171" s="5"/>
      <c r="E171" s="51" t="s">
        <v>279</v>
      </c>
      <c r="F171" s="5"/>
      <c r="G171" s="5" t="s">
        <v>41</v>
      </c>
      <c r="H171" s="5" t="s">
        <v>41</v>
      </c>
      <c r="J171" s="5">
        <v>2015</v>
      </c>
      <c r="K171" s="5" t="s">
        <v>17</v>
      </c>
      <c r="L171" s="5">
        <v>1</v>
      </c>
      <c r="M171" s="38">
        <f>M170*0.95</f>
        <v>-4.6668977387065934E-4</v>
      </c>
      <c r="N171" s="5">
        <v>0</v>
      </c>
      <c r="O171" s="5">
        <v>5</v>
      </c>
      <c r="P171" s="52" t="str">
        <f t="shared" si="51"/>
        <v>TLCLPG share</v>
      </c>
      <c r="Q171" s="54"/>
    </row>
    <row r="172" spans="3:17" x14ac:dyDescent="0.25">
      <c r="C172" s="5" t="s">
        <v>283</v>
      </c>
      <c r="D172" s="5"/>
      <c r="E172" s="51" t="s">
        <v>279</v>
      </c>
      <c r="F172" s="5"/>
      <c r="G172" s="5" t="s">
        <v>41</v>
      </c>
      <c r="H172" s="5" t="s">
        <v>41</v>
      </c>
      <c r="J172" s="5">
        <v>2020</v>
      </c>
      <c r="K172" s="5" t="s">
        <v>17</v>
      </c>
      <c r="L172" s="5">
        <v>1</v>
      </c>
      <c r="M172" s="38">
        <f>M170*0.85</f>
        <v>-4.1756453451585312E-4</v>
      </c>
      <c r="N172" s="5">
        <v>0</v>
      </c>
      <c r="O172" s="5">
        <v>5</v>
      </c>
      <c r="P172" s="52" t="str">
        <f t="shared" si="51"/>
        <v>TLCLPG share</v>
      </c>
      <c r="Q172" s="54"/>
    </row>
    <row r="173" spans="3:17" x14ac:dyDescent="0.25">
      <c r="C173" s="5" t="s">
        <v>283</v>
      </c>
      <c r="D173" s="5"/>
      <c r="E173" s="51" t="s">
        <v>279</v>
      </c>
      <c r="F173" s="5"/>
      <c r="G173" s="5" t="s">
        <v>41</v>
      </c>
      <c r="H173" s="5" t="s">
        <v>41</v>
      </c>
      <c r="J173" s="5">
        <v>2025</v>
      </c>
      <c r="K173" s="5" t="s">
        <v>17</v>
      </c>
      <c r="L173" s="5">
        <v>1</v>
      </c>
      <c r="M173" s="38">
        <f>M170*0.75</f>
        <v>-3.6843929516104689E-4</v>
      </c>
      <c r="N173" s="5">
        <v>0</v>
      </c>
      <c r="O173" s="5">
        <v>5</v>
      </c>
      <c r="P173" s="52" t="str">
        <f t="shared" si="51"/>
        <v>TLCLPG share</v>
      </c>
      <c r="Q173" s="54"/>
    </row>
    <row r="174" spans="3:17" x14ac:dyDescent="0.25">
      <c r="C174" s="5" t="s">
        <v>283</v>
      </c>
      <c r="D174" s="5"/>
      <c r="E174" s="51" t="s">
        <v>279</v>
      </c>
      <c r="F174" s="5"/>
      <c r="G174" s="5" t="s">
        <v>41</v>
      </c>
      <c r="H174" s="5" t="s">
        <v>41</v>
      </c>
      <c r="J174" s="5">
        <v>2030</v>
      </c>
      <c r="K174" s="5" t="s">
        <v>17</v>
      </c>
      <c r="L174" s="5">
        <v>1</v>
      </c>
      <c r="M174" s="38">
        <v>0</v>
      </c>
      <c r="N174" s="5">
        <v>0</v>
      </c>
      <c r="O174" s="5">
        <v>5</v>
      </c>
      <c r="P174" s="52" t="str">
        <f t="shared" ref="P174" si="52">_xlfn.CONCAT(RIGHT(C174,6)," share")</f>
        <v>TLCLPG share</v>
      </c>
      <c r="Q174" s="54"/>
    </row>
    <row r="175" spans="3:17" x14ac:dyDescent="0.25">
      <c r="C175" s="5" t="s">
        <v>284</v>
      </c>
      <c r="D175" s="5"/>
      <c r="E175" s="51" t="s">
        <v>280</v>
      </c>
      <c r="F175" s="5"/>
      <c r="G175" s="5" t="s">
        <v>41</v>
      </c>
      <c r="H175" s="5" t="s">
        <v>41</v>
      </c>
      <c r="J175" s="5">
        <v>2011</v>
      </c>
      <c r="K175" s="5" t="s">
        <v>17</v>
      </c>
      <c r="L175" s="5">
        <v>1</v>
      </c>
      <c r="M175" s="38">
        <f>-'initial results'!O21*0.98</f>
        <v>-5.0818355703123759E-4</v>
      </c>
      <c r="N175" s="5">
        <v>0</v>
      </c>
      <c r="O175" s="5">
        <v>5</v>
      </c>
      <c r="P175" s="52" t="str">
        <f t="shared" si="51"/>
        <v>TLFLPG share</v>
      </c>
      <c r="Q175" s="54"/>
    </row>
    <row r="176" spans="3:17" x14ac:dyDescent="0.25">
      <c r="C176" s="5" t="s">
        <v>284</v>
      </c>
      <c r="D176" s="5"/>
      <c r="E176" s="51" t="s">
        <v>280</v>
      </c>
      <c r="F176" s="5"/>
      <c r="G176" s="5" t="s">
        <v>41</v>
      </c>
      <c r="H176" s="5" t="s">
        <v>41</v>
      </c>
      <c r="J176" s="5">
        <v>2015</v>
      </c>
      <c r="K176" s="5" t="s">
        <v>17</v>
      </c>
      <c r="L176" s="5">
        <v>1</v>
      </c>
      <c r="M176" s="38">
        <f>M175*0.95</f>
        <v>-4.8277437917967566E-4</v>
      </c>
      <c r="N176" s="5">
        <v>0</v>
      </c>
      <c r="O176" s="5">
        <v>5</v>
      </c>
      <c r="P176" s="52" t="str">
        <f t="shared" si="51"/>
        <v>TLFLPG share</v>
      </c>
      <c r="Q176" s="54"/>
    </row>
    <row r="177" spans="3:17" x14ac:dyDescent="0.25">
      <c r="C177" s="5" t="s">
        <v>284</v>
      </c>
      <c r="D177" s="5"/>
      <c r="E177" s="51" t="s">
        <v>280</v>
      </c>
      <c r="F177" s="5"/>
      <c r="G177" s="5" t="s">
        <v>41</v>
      </c>
      <c r="H177" s="5" t="s">
        <v>41</v>
      </c>
      <c r="J177" s="5">
        <v>2020</v>
      </c>
      <c r="K177" s="5" t="s">
        <v>17</v>
      </c>
      <c r="L177" s="5">
        <v>1</v>
      </c>
      <c r="M177" s="38">
        <f>M175*0.85</f>
        <v>-4.3195602347655192E-4</v>
      </c>
      <c r="N177" s="5">
        <v>0</v>
      </c>
      <c r="O177" s="5">
        <v>5</v>
      </c>
      <c r="P177" s="52" t="str">
        <f t="shared" si="51"/>
        <v>TLFLPG share</v>
      </c>
      <c r="Q177" s="54"/>
    </row>
    <row r="178" spans="3:17" x14ac:dyDescent="0.25">
      <c r="C178" s="5" t="s">
        <v>284</v>
      </c>
      <c r="D178" s="5"/>
      <c r="E178" s="51" t="s">
        <v>280</v>
      </c>
      <c r="F178" s="5"/>
      <c r="G178" s="5" t="s">
        <v>41</v>
      </c>
      <c r="H178" s="5" t="s">
        <v>41</v>
      </c>
      <c r="J178" s="5">
        <v>2025</v>
      </c>
      <c r="K178" s="5" t="s">
        <v>17</v>
      </c>
      <c r="L178" s="5">
        <v>1</v>
      </c>
      <c r="M178" s="38">
        <f>M175*0.75</f>
        <v>-3.8113766777342817E-4</v>
      </c>
      <c r="N178" s="5">
        <v>0</v>
      </c>
      <c r="O178" s="5">
        <v>5</v>
      </c>
      <c r="P178" s="52" t="str">
        <f t="shared" si="51"/>
        <v>TLFLPG share</v>
      </c>
      <c r="Q178" s="54"/>
    </row>
    <row r="179" spans="3:17" x14ac:dyDescent="0.25">
      <c r="C179" s="5" t="s">
        <v>284</v>
      </c>
      <c r="D179" s="5"/>
      <c r="E179" s="51" t="s">
        <v>280</v>
      </c>
      <c r="F179" s="5"/>
      <c r="G179" s="5" t="s">
        <v>41</v>
      </c>
      <c r="H179" s="5" t="s">
        <v>41</v>
      </c>
      <c r="J179" s="5">
        <v>2030</v>
      </c>
      <c r="K179" s="5" t="s">
        <v>17</v>
      </c>
      <c r="L179" s="5">
        <v>1</v>
      </c>
      <c r="M179" s="38">
        <v>0</v>
      </c>
      <c r="N179" s="5">
        <v>0</v>
      </c>
      <c r="O179" s="5">
        <v>5</v>
      </c>
      <c r="P179" s="52" t="str">
        <f t="shared" ref="P179" si="53">_xlfn.CONCAT(RIGHT(C179,6)," share")</f>
        <v>TLFLPG share</v>
      </c>
      <c r="Q179" s="54"/>
    </row>
    <row r="180" spans="3:17" x14ac:dyDescent="0.25">
      <c r="C180" s="5" t="s">
        <v>285</v>
      </c>
      <c r="D180" s="5"/>
      <c r="E180" s="51" t="s">
        <v>281</v>
      </c>
      <c r="F180" s="5"/>
      <c r="G180" s="5" t="s">
        <v>41</v>
      </c>
      <c r="H180" s="5" t="s">
        <v>41</v>
      </c>
      <c r="J180" s="5">
        <v>2011</v>
      </c>
      <c r="K180" s="5" t="s">
        <v>17</v>
      </c>
      <c r="L180" s="5">
        <v>1</v>
      </c>
      <c r="M180" s="38">
        <f>-('initial results'!O32+'initial results'!O33)*0.98</f>
        <v>-7.8752725388703303E-4</v>
      </c>
      <c r="N180" s="5">
        <v>0</v>
      </c>
      <c r="O180" s="5">
        <v>5</v>
      </c>
      <c r="P180" s="52" t="str">
        <f t="shared" si="51"/>
        <v>TLPLPG share</v>
      </c>
      <c r="Q180" s="54"/>
    </row>
    <row r="181" spans="3:17" x14ac:dyDescent="0.25">
      <c r="C181" s="5" t="s">
        <v>285</v>
      </c>
      <c r="D181" s="5"/>
      <c r="E181" s="51" t="s">
        <v>281</v>
      </c>
      <c r="F181" s="5"/>
      <c r="G181" s="5" t="s">
        <v>41</v>
      </c>
      <c r="H181" s="5" t="s">
        <v>41</v>
      </c>
      <c r="J181" s="5">
        <v>2015</v>
      </c>
      <c r="K181" s="5" t="s">
        <v>17</v>
      </c>
      <c r="L181" s="5">
        <v>1</v>
      </c>
      <c r="M181" s="38">
        <f>M180*0.95</f>
        <v>-7.4815089119268134E-4</v>
      </c>
      <c r="N181" s="5">
        <v>0</v>
      </c>
      <c r="O181" s="5">
        <v>5</v>
      </c>
      <c r="P181" s="52" t="str">
        <f t="shared" si="51"/>
        <v>TLPLPG share</v>
      </c>
      <c r="Q181" s="54"/>
    </row>
    <row r="182" spans="3:17" x14ac:dyDescent="0.25">
      <c r="C182" s="5" t="s">
        <v>285</v>
      </c>
      <c r="D182" s="5"/>
      <c r="E182" s="51" t="s">
        <v>281</v>
      </c>
      <c r="F182" s="5"/>
      <c r="G182" s="5" t="s">
        <v>41</v>
      </c>
      <c r="H182" s="5" t="s">
        <v>41</v>
      </c>
      <c r="J182" s="5">
        <v>2020</v>
      </c>
      <c r="K182" s="5" t="s">
        <v>17</v>
      </c>
      <c r="L182" s="5">
        <v>1</v>
      </c>
      <c r="M182" s="38">
        <f>M180*0.85</f>
        <v>-6.6939816580397805E-4</v>
      </c>
      <c r="N182" s="5">
        <v>0</v>
      </c>
      <c r="O182" s="5">
        <v>5</v>
      </c>
      <c r="P182" s="52" t="str">
        <f t="shared" si="51"/>
        <v>TLPLPG share</v>
      </c>
      <c r="Q182" s="54"/>
    </row>
    <row r="183" spans="3:17" x14ac:dyDescent="0.25">
      <c r="C183" s="5" t="s">
        <v>285</v>
      </c>
      <c r="D183" s="5"/>
      <c r="E183" s="51" t="s">
        <v>281</v>
      </c>
      <c r="F183" s="5"/>
      <c r="G183" s="5" t="s">
        <v>41</v>
      </c>
      <c r="H183" s="5" t="s">
        <v>41</v>
      </c>
      <c r="J183" s="5">
        <v>2025</v>
      </c>
      <c r="K183" s="5" t="s">
        <v>17</v>
      </c>
      <c r="L183" s="5">
        <v>1</v>
      </c>
      <c r="M183" s="38">
        <f>M180*0.75</f>
        <v>-5.9064544041527477E-4</v>
      </c>
      <c r="N183" s="5">
        <v>0</v>
      </c>
      <c r="O183" s="5">
        <v>5</v>
      </c>
      <c r="P183" s="52" t="str">
        <f t="shared" si="51"/>
        <v>TLPLPG share</v>
      </c>
      <c r="Q183" s="54"/>
    </row>
    <row r="184" spans="3:17" x14ac:dyDescent="0.25">
      <c r="C184" s="5" t="s">
        <v>285</v>
      </c>
      <c r="D184" s="5"/>
      <c r="E184" s="51" t="s">
        <v>281</v>
      </c>
      <c r="F184" s="5"/>
      <c r="G184" s="5" t="s">
        <v>41</v>
      </c>
      <c r="H184" s="5" t="s">
        <v>41</v>
      </c>
      <c r="J184" s="5">
        <v>2030</v>
      </c>
      <c r="K184" s="5" t="s">
        <v>17</v>
      </c>
      <c r="L184" s="5">
        <v>1</v>
      </c>
      <c r="M184" s="38">
        <v>0</v>
      </c>
      <c r="N184" s="5">
        <v>0</v>
      </c>
      <c r="O184" s="5">
        <v>5</v>
      </c>
      <c r="P184" s="52" t="str">
        <f t="shared" ref="P184" si="54">_xlfn.CONCAT(RIGHT(C184,6)," share")</f>
        <v>TLPLPG share</v>
      </c>
      <c r="Q184" s="54"/>
    </row>
    <row r="185" spans="3:17" x14ac:dyDescent="0.25">
      <c r="C185" s="5" t="s">
        <v>286</v>
      </c>
      <c r="D185" s="5"/>
      <c r="E185" s="51" t="s">
        <v>282</v>
      </c>
      <c r="F185" s="5"/>
      <c r="G185" s="5" t="s">
        <v>41</v>
      </c>
      <c r="H185" s="5" t="s">
        <v>41</v>
      </c>
      <c r="J185" s="5">
        <v>2011</v>
      </c>
      <c r="K185" s="5" t="s">
        <v>17</v>
      </c>
      <c r="L185" s="5">
        <v>1</v>
      </c>
      <c r="M185" s="38">
        <f>-('initial results'!O48+'initial results'!O49)*0.98</f>
        <v>-2.7914923084444769E-4</v>
      </c>
      <c r="N185" s="5">
        <v>0</v>
      </c>
      <c r="O185" s="5">
        <v>5</v>
      </c>
      <c r="P185" s="52" t="str">
        <f t="shared" si="51"/>
        <v>TLVLPG share</v>
      </c>
    </row>
    <row r="186" spans="3:17" x14ac:dyDescent="0.25">
      <c r="C186" s="5" t="s">
        <v>286</v>
      </c>
      <c r="D186" s="5"/>
      <c r="E186" s="51" t="s">
        <v>282</v>
      </c>
      <c r="F186" s="5"/>
      <c r="G186" s="5" t="s">
        <v>41</v>
      </c>
      <c r="H186" s="5" t="s">
        <v>41</v>
      </c>
      <c r="J186" s="5">
        <v>2015</v>
      </c>
      <c r="K186" s="5" t="s">
        <v>17</v>
      </c>
      <c r="L186" s="5">
        <v>1</v>
      </c>
      <c r="M186" s="38">
        <f>M185*0.95</f>
        <v>-2.6519176930222529E-4</v>
      </c>
      <c r="N186" s="5">
        <v>0</v>
      </c>
      <c r="O186" s="5">
        <v>5</v>
      </c>
      <c r="P186" s="52" t="str">
        <f t="shared" si="51"/>
        <v>TLVLPG share</v>
      </c>
    </row>
    <row r="187" spans="3:17" x14ac:dyDescent="0.25">
      <c r="C187" s="5" t="s">
        <v>286</v>
      </c>
      <c r="D187" s="5"/>
      <c r="E187" s="51" t="s">
        <v>282</v>
      </c>
      <c r="F187" s="5"/>
      <c r="G187" s="5" t="s">
        <v>41</v>
      </c>
      <c r="H187" s="5" t="s">
        <v>41</v>
      </c>
      <c r="J187" s="5">
        <v>2020</v>
      </c>
      <c r="K187" s="5" t="s">
        <v>17</v>
      </c>
      <c r="L187" s="5">
        <v>1</v>
      </c>
      <c r="M187" s="38">
        <f>M185*0.85</f>
        <v>-2.3727684621778052E-4</v>
      </c>
      <c r="N187" s="5">
        <v>0</v>
      </c>
      <c r="O187" s="5">
        <v>5</v>
      </c>
      <c r="P187" s="52" t="str">
        <f t="shared" si="51"/>
        <v>TLVLPG share</v>
      </c>
    </row>
    <row r="188" spans="3:17" x14ac:dyDescent="0.25">
      <c r="C188" s="5" t="s">
        <v>286</v>
      </c>
      <c r="D188" s="5"/>
      <c r="E188" s="51" t="s">
        <v>282</v>
      </c>
      <c r="F188" s="5"/>
      <c r="G188" s="5" t="s">
        <v>41</v>
      </c>
      <c r="H188" s="5" t="s">
        <v>41</v>
      </c>
      <c r="J188" s="5">
        <v>2025</v>
      </c>
      <c r="K188" s="5" t="s">
        <v>17</v>
      </c>
      <c r="L188" s="5">
        <v>1</v>
      </c>
      <c r="M188" s="38">
        <f>M185*0.75</f>
        <v>-2.0936192313333575E-4</v>
      </c>
      <c r="N188" s="5">
        <v>0</v>
      </c>
      <c r="O188" s="5">
        <v>5</v>
      </c>
      <c r="P188" s="52" t="str">
        <f t="shared" si="51"/>
        <v>TLVLPG share</v>
      </c>
    </row>
    <row r="189" spans="3:17" x14ac:dyDescent="0.25">
      <c r="C189" s="5" t="s">
        <v>286</v>
      </c>
      <c r="D189" s="5"/>
      <c r="E189" s="51" t="s">
        <v>282</v>
      </c>
      <c r="F189" s="5"/>
      <c r="G189" s="5" t="s">
        <v>41</v>
      </c>
      <c r="H189" s="5" t="s">
        <v>41</v>
      </c>
      <c r="J189" s="5">
        <v>2030</v>
      </c>
      <c r="K189" s="5" t="s">
        <v>17</v>
      </c>
      <c r="L189" s="5">
        <v>1</v>
      </c>
      <c r="M189" s="38">
        <v>0</v>
      </c>
      <c r="N189" s="5">
        <v>0</v>
      </c>
      <c r="O189" s="5">
        <v>5</v>
      </c>
      <c r="P189" s="52" t="str">
        <f t="shared" ref="P189" si="55">_xlfn.CONCAT(RIGHT(C189,6)," share")</f>
        <v>TLVLPG share</v>
      </c>
    </row>
    <row r="190" spans="3:17" x14ac:dyDescent="0.25">
      <c r="C190" s="23" t="s">
        <v>134</v>
      </c>
      <c r="D190" s="23"/>
      <c r="E190" s="85" t="s">
        <v>43</v>
      </c>
      <c r="F190" s="23"/>
      <c r="G190" s="23" t="s">
        <v>41</v>
      </c>
      <c r="H190" s="23" t="s">
        <v>41</v>
      </c>
      <c r="I190" s="86"/>
      <c r="J190" s="23">
        <v>2011</v>
      </c>
      <c r="K190" s="23" t="s">
        <v>17</v>
      </c>
      <c r="L190" s="23">
        <v>1</v>
      </c>
      <c r="M190" s="87">
        <f>-AEOT41!M7</f>
        <v>-5.9422347743216296E-3</v>
      </c>
      <c r="N190" s="23">
        <v>0</v>
      </c>
      <c r="O190" s="23">
        <v>5</v>
      </c>
      <c r="P190" s="88" t="s">
        <v>147</v>
      </c>
      <c r="Q190" s="40"/>
    </row>
    <row r="191" spans="3:17" x14ac:dyDescent="0.25">
      <c r="C191" s="23" t="s">
        <v>134</v>
      </c>
      <c r="D191" s="23"/>
      <c r="E191" s="85" t="s">
        <v>43</v>
      </c>
      <c r="F191" s="23"/>
      <c r="G191" s="23" t="s">
        <v>41</v>
      </c>
      <c r="H191" s="23" t="s">
        <v>41</v>
      </c>
      <c r="I191" s="89"/>
      <c r="J191" s="23">
        <v>2015</v>
      </c>
      <c r="K191" s="23" t="s">
        <v>17</v>
      </c>
      <c r="L191" s="23">
        <v>1</v>
      </c>
      <c r="M191" s="87">
        <f>-AEOT41!N7</f>
        <v>-5.2050510771798116E-3</v>
      </c>
      <c r="N191" s="23">
        <v>0</v>
      </c>
      <c r="O191" s="23">
        <v>5</v>
      </c>
      <c r="P191" s="88" t="s">
        <v>147</v>
      </c>
      <c r="Q191" s="40"/>
    </row>
    <row r="192" spans="3:17" x14ac:dyDescent="0.25">
      <c r="C192" s="23" t="s">
        <v>134</v>
      </c>
      <c r="D192" s="23"/>
      <c r="E192" s="85" t="s">
        <v>43</v>
      </c>
      <c r="F192" s="23"/>
      <c r="G192" s="23" t="s">
        <v>41</v>
      </c>
      <c r="H192" s="23" t="s">
        <v>41</v>
      </c>
      <c r="I192" s="89"/>
      <c r="J192" s="23">
        <v>2020</v>
      </c>
      <c r="K192" s="23" t="s">
        <v>17</v>
      </c>
      <c r="L192" s="23">
        <v>1</v>
      </c>
      <c r="M192" s="87">
        <f>-AEOT41!O7</f>
        <v>-5.0650811621783453E-3</v>
      </c>
      <c r="N192" s="23">
        <v>0</v>
      </c>
      <c r="O192" s="23">
        <v>5</v>
      </c>
      <c r="P192" s="88" t="s">
        <v>147</v>
      </c>
      <c r="Q192" s="40"/>
    </row>
    <row r="193" spans="3:18" x14ac:dyDescent="0.25">
      <c r="C193" s="23" t="s">
        <v>134</v>
      </c>
      <c r="D193" s="23"/>
      <c r="E193" s="85" t="s">
        <v>43</v>
      </c>
      <c r="F193" s="23"/>
      <c r="G193" s="23" t="s">
        <v>41</v>
      </c>
      <c r="H193" s="23" t="s">
        <v>41</v>
      </c>
      <c r="I193" s="89"/>
      <c r="J193" s="23">
        <v>2050</v>
      </c>
      <c r="K193" s="23" t="s">
        <v>17</v>
      </c>
      <c r="L193" s="23">
        <v>1</v>
      </c>
      <c r="M193" s="87">
        <f>M192*0.5</f>
        <v>-2.5325405810891727E-3</v>
      </c>
      <c r="N193" s="23">
        <v>0</v>
      </c>
      <c r="O193" s="23">
        <v>5</v>
      </c>
      <c r="P193" s="88" t="s">
        <v>147</v>
      </c>
      <c r="R193" s="40"/>
    </row>
    <row r="194" spans="3:18" x14ac:dyDescent="0.25">
      <c r="C194" s="23" t="s">
        <v>135</v>
      </c>
      <c r="D194" s="23"/>
      <c r="E194" s="85" t="s">
        <v>155</v>
      </c>
      <c r="F194" s="23"/>
      <c r="G194" s="23" t="s">
        <v>41</v>
      </c>
      <c r="H194" s="23" t="s">
        <v>41</v>
      </c>
      <c r="I194" s="86"/>
      <c r="J194" s="23">
        <v>2011</v>
      </c>
      <c r="K194" s="23" t="s">
        <v>17</v>
      </c>
      <c r="L194" s="23">
        <v>1</v>
      </c>
      <c r="M194" s="87">
        <f>-AEOT41!M6</f>
        <v>-0.8809399363503273</v>
      </c>
      <c r="N194" s="23">
        <v>0</v>
      </c>
      <c r="O194" s="23">
        <v>5</v>
      </c>
      <c r="P194" s="88" t="s">
        <v>148</v>
      </c>
      <c r="Q194" s="40"/>
    </row>
    <row r="195" spans="3:18" x14ac:dyDescent="0.25">
      <c r="C195" s="23" t="s">
        <v>135</v>
      </c>
      <c r="D195" s="23"/>
      <c r="E195" s="85" t="s">
        <v>155</v>
      </c>
      <c r="F195" s="23"/>
      <c r="G195" s="23" t="s">
        <v>41</v>
      </c>
      <c r="H195" s="23" t="s">
        <v>41</v>
      </c>
      <c r="I195" s="86"/>
      <c r="J195" s="23">
        <v>2015</v>
      </c>
      <c r="K195" s="23" t="s">
        <v>17</v>
      </c>
      <c r="L195" s="23">
        <v>1</v>
      </c>
      <c r="M195" s="87">
        <f>-AEOT41!N6</f>
        <v>-0.84120979545656704</v>
      </c>
      <c r="N195" s="23">
        <v>0</v>
      </c>
      <c r="O195" s="23">
        <v>5</v>
      </c>
      <c r="P195" s="88" t="s">
        <v>148</v>
      </c>
      <c r="Q195" s="40"/>
    </row>
    <row r="196" spans="3:18" x14ac:dyDescent="0.25">
      <c r="C196" s="23" t="s">
        <v>135</v>
      </c>
      <c r="D196" s="23"/>
      <c r="E196" s="85" t="s">
        <v>155</v>
      </c>
      <c r="F196" s="23"/>
      <c r="G196" s="23" t="s">
        <v>41</v>
      </c>
      <c r="H196" s="23" t="s">
        <v>41</v>
      </c>
      <c r="I196" s="89"/>
      <c r="J196" s="23">
        <v>2020</v>
      </c>
      <c r="K196" s="23" t="s">
        <v>17</v>
      </c>
      <c r="L196" s="23">
        <v>1</v>
      </c>
      <c r="M196" s="87">
        <f>-AEOT41!O6</f>
        <v>-0.83787767445654038</v>
      </c>
      <c r="N196" s="23">
        <v>0</v>
      </c>
      <c r="O196" s="23">
        <v>5</v>
      </c>
      <c r="P196" s="88" t="s">
        <v>148</v>
      </c>
      <c r="Q196" s="40"/>
    </row>
    <row r="197" spans="3:18" x14ac:dyDescent="0.25">
      <c r="C197" s="23" t="s">
        <v>135</v>
      </c>
      <c r="D197" s="23"/>
      <c r="E197" s="85" t="s">
        <v>155</v>
      </c>
      <c r="F197" s="23"/>
      <c r="G197" s="23" t="s">
        <v>41</v>
      </c>
      <c r="H197" s="23" t="s">
        <v>41</v>
      </c>
      <c r="I197" s="89"/>
      <c r="J197" s="23">
        <v>2050</v>
      </c>
      <c r="K197" s="23" t="s">
        <v>17</v>
      </c>
      <c r="L197" s="23">
        <v>1</v>
      </c>
      <c r="M197" s="87">
        <f>M196*0.5</f>
        <v>-0.41893883722827019</v>
      </c>
      <c r="N197" s="23">
        <v>0</v>
      </c>
      <c r="O197" s="23">
        <v>5</v>
      </c>
      <c r="P197" s="88" t="s">
        <v>148</v>
      </c>
    </row>
    <row r="198" spans="3:18" x14ac:dyDescent="0.25">
      <c r="C198" s="23" t="s">
        <v>136</v>
      </c>
      <c r="D198" s="23"/>
      <c r="E198" s="85" t="s">
        <v>142</v>
      </c>
      <c r="F198" s="23"/>
      <c r="G198" s="23" t="s">
        <v>41</v>
      </c>
      <c r="H198" s="23" t="s">
        <v>41</v>
      </c>
      <c r="I198" s="23"/>
      <c r="J198" s="23">
        <v>2011</v>
      </c>
      <c r="K198" s="23" t="s">
        <v>17</v>
      </c>
      <c r="L198" s="23">
        <v>1</v>
      </c>
      <c r="M198" s="87">
        <f>-SUM(AEOT41!M20:M21)</f>
        <v>-2.586616255451292E-3</v>
      </c>
      <c r="N198" s="23">
        <v>0</v>
      </c>
      <c r="O198" s="23">
        <v>5</v>
      </c>
      <c r="P198" s="88" t="s">
        <v>149</v>
      </c>
    </row>
    <row r="199" spans="3:18" x14ac:dyDescent="0.25">
      <c r="C199" s="23" t="s">
        <v>136</v>
      </c>
      <c r="D199" s="23"/>
      <c r="E199" s="85" t="s">
        <v>142</v>
      </c>
      <c r="F199" s="23"/>
      <c r="G199" s="23" t="s">
        <v>41</v>
      </c>
      <c r="H199" s="23" t="s">
        <v>41</v>
      </c>
      <c r="I199" s="23"/>
      <c r="J199" s="23">
        <v>2015</v>
      </c>
      <c r="K199" s="23" t="s">
        <v>17</v>
      </c>
      <c r="L199" s="23">
        <v>1</v>
      </c>
      <c r="M199" s="87">
        <f>-SUM(AEOT41!N20:N21)</f>
        <v>-9.706788176453144E-4</v>
      </c>
      <c r="N199" s="23">
        <v>0</v>
      </c>
      <c r="O199" s="23">
        <v>5</v>
      </c>
      <c r="P199" s="88" t="s">
        <v>149</v>
      </c>
    </row>
    <row r="200" spans="3:18" x14ac:dyDescent="0.25">
      <c r="C200" s="23" t="s">
        <v>136</v>
      </c>
      <c r="D200" s="23"/>
      <c r="E200" s="85" t="s">
        <v>142</v>
      </c>
      <c r="F200" s="23"/>
      <c r="G200" s="23" t="s">
        <v>41</v>
      </c>
      <c r="H200" s="23" t="s">
        <v>41</v>
      </c>
      <c r="I200" s="23"/>
      <c r="J200" s="23">
        <v>2020</v>
      </c>
      <c r="K200" s="23" t="s">
        <v>17</v>
      </c>
      <c r="L200" s="23">
        <v>1</v>
      </c>
      <c r="M200" s="87">
        <f>-SUM(AEOT41!O20:O21)</f>
        <v>-3.2896521623900871E-4</v>
      </c>
      <c r="N200" s="23">
        <v>0</v>
      </c>
      <c r="O200" s="23">
        <v>5</v>
      </c>
      <c r="P200" s="88" t="s">
        <v>149</v>
      </c>
    </row>
    <row r="201" spans="3:18" x14ac:dyDescent="0.25">
      <c r="C201" s="23" t="s">
        <v>136</v>
      </c>
      <c r="D201" s="23"/>
      <c r="E201" s="85" t="s">
        <v>142</v>
      </c>
      <c r="F201" s="23"/>
      <c r="G201" s="23" t="s">
        <v>41</v>
      </c>
      <c r="H201" s="23" t="s">
        <v>41</v>
      </c>
      <c r="I201" s="23"/>
      <c r="J201" s="23">
        <v>2050</v>
      </c>
      <c r="K201" s="23" t="s">
        <v>17</v>
      </c>
      <c r="L201" s="23">
        <v>1</v>
      </c>
      <c r="M201" s="87">
        <f>M200*0.5</f>
        <v>-1.6448260811950435E-4</v>
      </c>
      <c r="N201" s="23">
        <v>0</v>
      </c>
      <c r="O201" s="23">
        <v>5</v>
      </c>
      <c r="P201" s="88" t="s">
        <v>149</v>
      </c>
    </row>
    <row r="202" spans="3:18" x14ac:dyDescent="0.25">
      <c r="C202" s="23" t="s">
        <v>137</v>
      </c>
      <c r="D202" s="23"/>
      <c r="E202" s="85" t="s">
        <v>143</v>
      </c>
      <c r="F202" s="23"/>
      <c r="G202" s="23" t="s">
        <v>41</v>
      </c>
      <c r="H202" s="23" t="s">
        <v>41</v>
      </c>
      <c r="I202" s="23"/>
      <c r="J202" s="23">
        <v>2011</v>
      </c>
      <c r="K202" s="23" t="s">
        <v>17</v>
      </c>
      <c r="L202" s="23">
        <v>1</v>
      </c>
      <c r="M202" s="87">
        <f>-SUM(AEOT41!M18:M19)</f>
        <v>-1.2461419599478496E-3</v>
      </c>
      <c r="N202" s="23">
        <v>0</v>
      </c>
      <c r="O202" s="23">
        <v>5</v>
      </c>
      <c r="P202" s="88" t="s">
        <v>150</v>
      </c>
    </row>
    <row r="203" spans="3:18" x14ac:dyDescent="0.25">
      <c r="C203" s="23" t="s">
        <v>137</v>
      </c>
      <c r="D203" s="23"/>
      <c r="E203" s="85" t="s">
        <v>143</v>
      </c>
      <c r="F203" s="23"/>
      <c r="G203" s="23" t="s">
        <v>41</v>
      </c>
      <c r="H203" s="23" t="s">
        <v>41</v>
      </c>
      <c r="I203" s="23"/>
      <c r="J203" s="23">
        <v>2015</v>
      </c>
      <c r="K203" s="23" t="s">
        <v>17</v>
      </c>
      <c r="L203" s="23">
        <v>1</v>
      </c>
      <c r="M203" s="87">
        <f>-SUM(AEOT41!N18:N19)</f>
        <v>-1.1833993961174838E-3</v>
      </c>
      <c r="N203" s="23">
        <v>0</v>
      </c>
      <c r="O203" s="23">
        <v>5</v>
      </c>
      <c r="P203" s="88" t="s">
        <v>150</v>
      </c>
    </row>
    <row r="204" spans="3:18" x14ac:dyDescent="0.25">
      <c r="C204" s="23" t="s">
        <v>137</v>
      </c>
      <c r="D204" s="23"/>
      <c r="E204" s="85" t="s">
        <v>143</v>
      </c>
      <c r="F204" s="23"/>
      <c r="G204" s="23" t="s">
        <v>41</v>
      </c>
      <c r="H204" s="23" t="s">
        <v>41</v>
      </c>
      <c r="I204" s="23"/>
      <c r="J204" s="23">
        <v>2020</v>
      </c>
      <c r="K204" s="23" t="s">
        <v>17</v>
      </c>
      <c r="L204" s="23">
        <v>1</v>
      </c>
      <c r="M204" s="87">
        <f>-SUM(AEOT41!O18:O19)</f>
        <v>-4.3915526081019494E-4</v>
      </c>
      <c r="N204" s="23">
        <v>0</v>
      </c>
      <c r="O204" s="23">
        <v>5</v>
      </c>
      <c r="P204" s="88" t="s">
        <v>150</v>
      </c>
    </row>
    <row r="205" spans="3:18" x14ac:dyDescent="0.25">
      <c r="C205" s="23" t="s">
        <v>137</v>
      </c>
      <c r="D205" s="23"/>
      <c r="E205" s="85" t="s">
        <v>143</v>
      </c>
      <c r="F205" s="23"/>
      <c r="G205" s="23" t="s">
        <v>41</v>
      </c>
      <c r="H205" s="23" t="s">
        <v>41</v>
      </c>
      <c r="I205" s="23"/>
      <c r="J205" s="23">
        <v>2050</v>
      </c>
      <c r="K205" s="23" t="s">
        <v>17</v>
      </c>
      <c r="L205" s="23">
        <v>1</v>
      </c>
      <c r="M205" s="87">
        <f>M204*0.5</f>
        <v>-2.1957763040509747E-4</v>
      </c>
      <c r="N205" s="23">
        <v>0</v>
      </c>
      <c r="O205" s="23">
        <v>5</v>
      </c>
      <c r="P205" s="88" t="s">
        <v>150</v>
      </c>
    </row>
    <row r="206" spans="3:18" x14ac:dyDescent="0.25">
      <c r="C206" s="23" t="s">
        <v>138</v>
      </c>
      <c r="D206" s="23"/>
      <c r="E206" s="85" t="s">
        <v>144</v>
      </c>
      <c r="F206" s="23"/>
      <c r="G206" s="23" t="s">
        <v>41</v>
      </c>
      <c r="H206" s="23" t="s">
        <v>41</v>
      </c>
      <c r="I206" s="89"/>
      <c r="J206" s="23">
        <v>2011</v>
      </c>
      <c r="K206" s="23" t="s">
        <v>17</v>
      </c>
      <c r="L206" s="23">
        <v>1</v>
      </c>
      <c r="M206" s="87">
        <f>-AEOT41!M10</f>
        <v>-4.8908097532136818E-2</v>
      </c>
      <c r="N206" s="23">
        <v>0</v>
      </c>
      <c r="O206" s="23">
        <v>5</v>
      </c>
      <c r="P206" s="88" t="s">
        <v>151</v>
      </c>
    </row>
    <row r="207" spans="3:18" x14ac:dyDescent="0.25">
      <c r="C207" s="23" t="s">
        <v>138</v>
      </c>
      <c r="D207" s="23"/>
      <c r="E207" s="85" t="s">
        <v>144</v>
      </c>
      <c r="F207" s="23"/>
      <c r="G207" s="23" t="s">
        <v>41</v>
      </c>
      <c r="H207" s="23" t="s">
        <v>41</v>
      </c>
      <c r="I207" s="89"/>
      <c r="J207" s="23">
        <v>2015</v>
      </c>
      <c r="K207" s="23" t="s">
        <v>17</v>
      </c>
      <c r="L207" s="23">
        <v>1</v>
      </c>
      <c r="M207" s="87">
        <f>-AEOT41!N10</f>
        <v>-8.3356266747184715E-2</v>
      </c>
      <c r="N207" s="23">
        <v>0</v>
      </c>
      <c r="O207" s="23">
        <v>5</v>
      </c>
      <c r="P207" s="88" t="s">
        <v>151</v>
      </c>
    </row>
    <row r="208" spans="3:18" x14ac:dyDescent="0.25">
      <c r="C208" s="23" t="s">
        <v>138</v>
      </c>
      <c r="D208" s="23"/>
      <c r="E208" s="85" t="s">
        <v>144</v>
      </c>
      <c r="F208" s="23"/>
      <c r="G208" s="23" t="s">
        <v>41</v>
      </c>
      <c r="H208" s="23" t="s">
        <v>41</v>
      </c>
      <c r="I208" s="89"/>
      <c r="J208" s="23">
        <v>2020</v>
      </c>
      <c r="K208" s="23" t="s">
        <v>17</v>
      </c>
      <c r="L208" s="23">
        <v>1</v>
      </c>
      <c r="M208" s="87">
        <f>-AEOT41!O10</f>
        <v>-7.8262361435012612E-2</v>
      </c>
      <c r="N208" s="23">
        <v>0</v>
      </c>
      <c r="O208" s="23">
        <v>5</v>
      </c>
      <c r="P208" s="88" t="s">
        <v>151</v>
      </c>
    </row>
    <row r="209" spans="3:16" x14ac:dyDescent="0.25">
      <c r="C209" s="23" t="s">
        <v>138</v>
      </c>
      <c r="D209" s="23"/>
      <c r="E209" s="85" t="s">
        <v>144</v>
      </c>
      <c r="F209" s="23"/>
      <c r="G209" s="23" t="s">
        <v>41</v>
      </c>
      <c r="H209" s="23" t="s">
        <v>41</v>
      </c>
      <c r="I209" s="89"/>
      <c r="J209" s="23">
        <v>2050</v>
      </c>
      <c r="K209" s="23" t="s">
        <v>17</v>
      </c>
      <c r="L209" s="23">
        <v>1</v>
      </c>
      <c r="M209" s="87">
        <f>M208*0.5</f>
        <v>-3.9131180717506306E-2</v>
      </c>
      <c r="N209" s="23">
        <v>0</v>
      </c>
      <c r="O209" s="23">
        <v>5</v>
      </c>
      <c r="P209" s="88" t="s">
        <v>151</v>
      </c>
    </row>
    <row r="210" spans="3:16" x14ac:dyDescent="0.25">
      <c r="C210" s="23" t="s">
        <v>139</v>
      </c>
      <c r="D210" s="23"/>
      <c r="E210" s="85" t="s">
        <v>111</v>
      </c>
      <c r="F210" s="23"/>
      <c r="G210" s="23" t="s">
        <v>41</v>
      </c>
      <c r="H210" s="23" t="s">
        <v>41</v>
      </c>
      <c r="I210" s="23"/>
      <c r="J210" s="23">
        <v>2011</v>
      </c>
      <c r="K210" s="23" t="s">
        <v>17</v>
      </c>
      <c r="L210" s="23">
        <v>1</v>
      </c>
      <c r="M210" s="87">
        <f>-SUM(AEOT41!M11:M13)</f>
        <v>-9.9739900958825098E-5</v>
      </c>
      <c r="N210" s="23">
        <v>0</v>
      </c>
      <c r="O210" s="23">
        <v>5</v>
      </c>
      <c r="P210" s="88" t="s">
        <v>152</v>
      </c>
    </row>
    <row r="211" spans="3:16" x14ac:dyDescent="0.25">
      <c r="C211" s="23" t="s">
        <v>139</v>
      </c>
      <c r="D211" s="23"/>
      <c r="E211" s="85" t="s">
        <v>111</v>
      </c>
      <c r="F211" s="23"/>
      <c r="G211" s="23" t="s">
        <v>41</v>
      </c>
      <c r="H211" s="23" t="s">
        <v>41</v>
      </c>
      <c r="I211" s="23"/>
      <c r="J211" s="23">
        <v>2015</v>
      </c>
      <c r="K211" s="23" t="s">
        <v>17</v>
      </c>
      <c r="L211" s="23">
        <v>1</v>
      </c>
      <c r="M211" s="87">
        <f>-SUM(AEOT41!N11:N13)</f>
        <v>-1.4154774899833317E-3</v>
      </c>
      <c r="N211" s="23">
        <v>0</v>
      </c>
      <c r="O211" s="23">
        <v>5</v>
      </c>
      <c r="P211" s="88" t="s">
        <v>152</v>
      </c>
    </row>
    <row r="212" spans="3:16" x14ac:dyDescent="0.25">
      <c r="C212" s="23" t="s">
        <v>139</v>
      </c>
      <c r="D212" s="23"/>
      <c r="E212" s="85" t="s">
        <v>111</v>
      </c>
      <c r="F212" s="23"/>
      <c r="G212" s="23" t="s">
        <v>41</v>
      </c>
      <c r="H212" s="23" t="s">
        <v>41</v>
      </c>
      <c r="I212" s="23"/>
      <c r="J212" s="23">
        <v>2020</v>
      </c>
      <c r="K212" s="23" t="s">
        <v>17</v>
      </c>
      <c r="L212" s="23">
        <v>1</v>
      </c>
      <c r="M212" s="87">
        <f>-SUM(AEOT41!O11:O13)</f>
        <v>-5.2854286219441177E-3</v>
      </c>
      <c r="N212" s="23">
        <v>0</v>
      </c>
      <c r="O212" s="23">
        <v>5</v>
      </c>
      <c r="P212" s="88" t="s">
        <v>152</v>
      </c>
    </row>
    <row r="213" spans="3:16" x14ac:dyDescent="0.25">
      <c r="C213" s="23" t="s">
        <v>139</v>
      </c>
      <c r="D213" s="23"/>
      <c r="E213" s="85" t="s">
        <v>111</v>
      </c>
      <c r="F213" s="23"/>
      <c r="G213" s="23" t="s">
        <v>41</v>
      </c>
      <c r="H213" s="23" t="s">
        <v>41</v>
      </c>
      <c r="I213" s="23"/>
      <c r="J213" s="23">
        <v>2050</v>
      </c>
      <c r="K213" s="23" t="s">
        <v>17</v>
      </c>
      <c r="L213" s="23">
        <v>1</v>
      </c>
      <c r="M213" s="87">
        <f>-0.1</f>
        <v>-0.1</v>
      </c>
      <c r="N213" s="23">
        <v>0</v>
      </c>
      <c r="O213" s="23">
        <v>5</v>
      </c>
      <c r="P213" s="88" t="s">
        <v>152</v>
      </c>
    </row>
    <row r="214" spans="3:16" x14ac:dyDescent="0.25">
      <c r="C214" s="23" t="s">
        <v>140</v>
      </c>
      <c r="D214" s="23"/>
      <c r="E214" s="85" t="s">
        <v>145</v>
      </c>
      <c r="F214" s="23"/>
      <c r="G214" s="23" t="s">
        <v>41</v>
      </c>
      <c r="H214" s="23" t="s">
        <v>41</v>
      </c>
      <c r="I214" s="23"/>
      <c r="J214" s="23">
        <v>2011</v>
      </c>
      <c r="K214" s="23" t="s">
        <v>17</v>
      </c>
      <c r="L214" s="23">
        <v>1</v>
      </c>
      <c r="M214" s="87">
        <f>-AEOT41!M17</f>
        <v>-1.0258634626985634E-2</v>
      </c>
      <c r="N214" s="23">
        <v>0</v>
      </c>
      <c r="O214" s="23">
        <v>5</v>
      </c>
      <c r="P214" s="88" t="s">
        <v>153</v>
      </c>
    </row>
    <row r="215" spans="3:16" x14ac:dyDescent="0.25">
      <c r="C215" s="23" t="s">
        <v>140</v>
      </c>
      <c r="D215" s="23"/>
      <c r="E215" s="85" t="s">
        <v>145</v>
      </c>
      <c r="F215" s="23"/>
      <c r="G215" s="23" t="s">
        <v>41</v>
      </c>
      <c r="H215" s="23" t="s">
        <v>41</v>
      </c>
      <c r="I215" s="23"/>
      <c r="J215" s="23">
        <v>2015</v>
      </c>
      <c r="K215" s="23" t="s">
        <v>17</v>
      </c>
      <c r="L215" s="23">
        <v>1</v>
      </c>
      <c r="M215" s="87">
        <f>-AEOT41!N17</f>
        <v>-1.5401677747556998E-2</v>
      </c>
      <c r="N215" s="23">
        <v>0</v>
      </c>
      <c r="O215" s="23">
        <v>5</v>
      </c>
      <c r="P215" s="88" t="s">
        <v>153</v>
      </c>
    </row>
    <row r="216" spans="3:16" x14ac:dyDescent="0.25">
      <c r="C216" s="23" t="s">
        <v>140</v>
      </c>
      <c r="D216" s="23"/>
      <c r="E216" s="85" t="s">
        <v>145</v>
      </c>
      <c r="F216" s="23"/>
      <c r="G216" s="23" t="s">
        <v>41</v>
      </c>
      <c r="H216" s="23" t="s">
        <v>41</v>
      </c>
      <c r="I216" s="23"/>
      <c r="J216" s="23">
        <v>2020</v>
      </c>
      <c r="K216" s="23" t="s">
        <v>17</v>
      </c>
      <c r="L216" s="23">
        <v>1</v>
      </c>
      <c r="M216" s="87">
        <f>-AEOT41!O17</f>
        <v>-1.9590029281983067E-2</v>
      </c>
      <c r="N216" s="23">
        <v>0</v>
      </c>
      <c r="O216" s="23">
        <v>5</v>
      </c>
      <c r="P216" s="88" t="s">
        <v>153</v>
      </c>
    </row>
    <row r="217" spans="3:16" x14ac:dyDescent="0.25">
      <c r="C217" s="23" t="s">
        <v>140</v>
      </c>
      <c r="D217" s="23"/>
      <c r="E217" s="85" t="s">
        <v>145</v>
      </c>
      <c r="F217" s="23"/>
      <c r="G217" s="23" t="s">
        <v>41</v>
      </c>
      <c r="H217" s="23" t="s">
        <v>41</v>
      </c>
      <c r="I217" s="23"/>
      <c r="J217" s="23">
        <v>2050</v>
      </c>
      <c r="K217" s="23" t="s">
        <v>17</v>
      </c>
      <c r="L217" s="23">
        <v>1</v>
      </c>
      <c r="M217" s="87">
        <f>M216*0.5</f>
        <v>-9.7950146409915336E-3</v>
      </c>
      <c r="N217" s="23">
        <v>0</v>
      </c>
      <c r="O217" s="23">
        <v>5</v>
      </c>
      <c r="P217" s="88" t="s">
        <v>153</v>
      </c>
    </row>
    <row r="218" spans="3:16" x14ac:dyDescent="0.25">
      <c r="C218" s="23" t="s">
        <v>141</v>
      </c>
      <c r="D218" s="23"/>
      <c r="E218" s="85" t="s">
        <v>146</v>
      </c>
      <c r="F218" s="23"/>
      <c r="G218" s="23" t="s">
        <v>41</v>
      </c>
      <c r="H218" s="23" t="s">
        <v>41</v>
      </c>
      <c r="I218" s="23"/>
      <c r="J218" s="23">
        <v>2015</v>
      </c>
      <c r="K218" s="23" t="s">
        <v>17</v>
      </c>
      <c r="L218" s="23">
        <v>1</v>
      </c>
      <c r="M218" s="87">
        <f>-SUM(AEOT41!N14:N15)</f>
        <v>-1.2342432650940005E-3</v>
      </c>
      <c r="N218" s="23">
        <v>0</v>
      </c>
      <c r="O218" s="23">
        <v>5</v>
      </c>
      <c r="P218" s="88" t="s">
        <v>154</v>
      </c>
    </row>
    <row r="219" spans="3:16" x14ac:dyDescent="0.25">
      <c r="C219" s="23" t="s">
        <v>141</v>
      </c>
      <c r="D219" s="23"/>
      <c r="E219" s="85" t="s">
        <v>146</v>
      </c>
      <c r="F219" s="23"/>
      <c r="G219" s="23" t="s">
        <v>41</v>
      </c>
      <c r="H219" s="23" t="s">
        <v>41</v>
      </c>
      <c r="I219" s="23"/>
      <c r="J219" s="23">
        <v>2020</v>
      </c>
      <c r="K219" s="23" t="s">
        <v>17</v>
      </c>
      <c r="L219" s="23">
        <v>1</v>
      </c>
      <c r="M219" s="87">
        <f>-SUM(AEOT41!O14:O15)</f>
        <v>-3.1208639160906532E-3</v>
      </c>
      <c r="N219" s="23">
        <v>0</v>
      </c>
      <c r="O219" s="23">
        <v>5</v>
      </c>
      <c r="P219" s="88" t="s">
        <v>154</v>
      </c>
    </row>
    <row r="220" spans="3:16" x14ac:dyDescent="0.25">
      <c r="C220" s="23" t="s">
        <v>141</v>
      </c>
      <c r="D220" s="23"/>
      <c r="E220" s="85" t="s">
        <v>146</v>
      </c>
      <c r="F220" s="23"/>
      <c r="G220" s="23" t="s">
        <v>41</v>
      </c>
      <c r="H220" s="23" t="s">
        <v>41</v>
      </c>
      <c r="I220" s="23"/>
      <c r="J220" s="23">
        <v>2050</v>
      </c>
      <c r="K220" s="23" t="s">
        <v>17</v>
      </c>
      <c r="L220" s="23">
        <v>1</v>
      </c>
      <c r="M220" s="87">
        <f>M219*0.5</f>
        <v>-1.5604319580453266E-3</v>
      </c>
      <c r="N220" s="23">
        <v>0</v>
      </c>
      <c r="O220" s="23">
        <v>5</v>
      </c>
      <c r="P220" s="88" t="s">
        <v>154</v>
      </c>
    </row>
    <row r="221" spans="3:16" x14ac:dyDescent="0.25">
      <c r="C221" s="2"/>
      <c r="D221" s="2"/>
      <c r="E221" s="2"/>
      <c r="K221" s="2"/>
      <c r="M221" s="53"/>
    </row>
    <row r="222" spans="3:16" x14ac:dyDescent="0.25">
      <c r="C222" s="2"/>
      <c r="D222" s="2"/>
      <c r="E222" s="2"/>
      <c r="K222" s="2"/>
      <c r="M222" s="53"/>
    </row>
    <row r="223" spans="3:16" x14ac:dyDescent="0.25">
      <c r="C223" s="2"/>
      <c r="D223" s="2"/>
      <c r="E223" s="2"/>
      <c r="K223" s="2"/>
      <c r="M223" s="53"/>
    </row>
    <row r="224" spans="3:16" x14ac:dyDescent="0.25">
      <c r="C224" s="2"/>
      <c r="D224" s="2"/>
      <c r="E224" s="2"/>
      <c r="K224" s="2"/>
      <c r="M224" s="53"/>
    </row>
    <row r="225" spans="3:13" x14ac:dyDescent="0.25">
      <c r="C225" s="2"/>
      <c r="D225" s="2"/>
      <c r="E225" s="2"/>
      <c r="K225" s="2"/>
      <c r="M225" s="53"/>
    </row>
    <row r="226" spans="3:13" x14ac:dyDescent="0.25">
      <c r="C226" s="2"/>
      <c r="D226" s="2"/>
      <c r="E226" s="2"/>
      <c r="M226" s="53"/>
    </row>
    <row r="227" spans="3:13" x14ac:dyDescent="0.25">
      <c r="C227" s="2"/>
      <c r="D227" s="2"/>
      <c r="E227" s="2"/>
      <c r="K227" s="2"/>
      <c r="M227" s="53"/>
    </row>
    <row r="228" spans="3:13" x14ac:dyDescent="0.25">
      <c r="C228" s="2"/>
      <c r="D228" s="2"/>
      <c r="E228" s="2"/>
      <c r="K228" s="2"/>
      <c r="M228" s="53"/>
    </row>
    <row r="229" spans="3:13" x14ac:dyDescent="0.25">
      <c r="C229" s="2"/>
      <c r="D229" s="2"/>
      <c r="E229" s="2"/>
      <c r="K229" s="2"/>
      <c r="M229" s="53"/>
    </row>
    <row r="230" spans="3:13" x14ac:dyDescent="0.25">
      <c r="C230" s="2"/>
      <c r="D230" s="2"/>
      <c r="E230" s="2"/>
      <c r="K230" s="2"/>
      <c r="M230" s="53"/>
    </row>
    <row r="231" spans="3:13" x14ac:dyDescent="0.25">
      <c r="C231" s="2"/>
      <c r="D231" s="2"/>
      <c r="E231" s="2"/>
      <c r="K231" s="2"/>
      <c r="M231" s="53"/>
    </row>
    <row r="232" spans="3:13" x14ac:dyDescent="0.25">
      <c r="C232" s="2"/>
      <c r="D232" s="2"/>
      <c r="E232" s="2"/>
      <c r="M232" s="53"/>
    </row>
    <row r="233" spans="3:13" x14ac:dyDescent="0.25">
      <c r="C233" s="2"/>
      <c r="D233" s="2"/>
      <c r="E233" s="2"/>
      <c r="K233" s="2"/>
      <c r="M233" s="53"/>
    </row>
    <row r="234" spans="3:13" x14ac:dyDescent="0.25">
      <c r="C234" s="2"/>
      <c r="D234" s="2"/>
      <c r="E234" s="2"/>
      <c r="K234" s="2"/>
      <c r="M234" s="53"/>
    </row>
    <row r="235" spans="3:13" x14ac:dyDescent="0.25">
      <c r="C235" s="2"/>
      <c r="D235" s="2"/>
      <c r="E235" s="2"/>
      <c r="K235" s="2"/>
      <c r="M235" s="53"/>
    </row>
    <row r="236" spans="3:13" x14ac:dyDescent="0.25">
      <c r="C236" s="2"/>
      <c r="D236" s="2"/>
      <c r="E236" s="2"/>
      <c r="K236" s="2"/>
      <c r="M236" s="53"/>
    </row>
    <row r="237" spans="3:13" x14ac:dyDescent="0.25">
      <c r="C237" s="2"/>
      <c r="D237" s="2"/>
      <c r="E237" s="2"/>
      <c r="K237" s="2"/>
      <c r="M237" s="53"/>
    </row>
    <row r="238" spans="3:13" x14ac:dyDescent="0.25">
      <c r="C238" s="2"/>
      <c r="D238" s="2"/>
      <c r="E238" s="2"/>
      <c r="M238" s="53"/>
    </row>
    <row r="239" spans="3:13" x14ac:dyDescent="0.25">
      <c r="C239" s="2"/>
      <c r="D239" s="2"/>
      <c r="E239" s="2"/>
      <c r="K239" s="2"/>
      <c r="M239" s="53"/>
    </row>
    <row r="240" spans="3:13" x14ac:dyDescent="0.25">
      <c r="C240" s="2"/>
      <c r="D240" s="2"/>
      <c r="E240" s="2"/>
      <c r="K240" s="2"/>
      <c r="M240" s="53"/>
    </row>
    <row r="241" spans="3:13" x14ac:dyDescent="0.25">
      <c r="C241" s="2"/>
      <c r="D241" s="2"/>
      <c r="E241" s="2"/>
      <c r="K241" s="2"/>
      <c r="M241" s="53"/>
    </row>
    <row r="242" spans="3:13" x14ac:dyDescent="0.25">
      <c r="C242" s="2"/>
      <c r="D242" s="2"/>
      <c r="E242" s="2"/>
      <c r="K242" s="2"/>
      <c r="M242" s="53"/>
    </row>
    <row r="243" spans="3:13" x14ac:dyDescent="0.25">
      <c r="C243" s="2"/>
      <c r="D243" s="2"/>
      <c r="E243" s="2"/>
      <c r="K243" s="2"/>
      <c r="M243" s="53"/>
    </row>
    <row r="244" spans="3:13" x14ac:dyDescent="0.25">
      <c r="C244" s="2"/>
      <c r="D244" s="2"/>
      <c r="E244" s="2"/>
      <c r="M244" s="53"/>
    </row>
    <row r="245" spans="3:13" x14ac:dyDescent="0.25">
      <c r="C245" s="2"/>
      <c r="D245" s="2"/>
      <c r="E245" s="2"/>
      <c r="K245" s="2"/>
      <c r="M245" s="53"/>
    </row>
    <row r="246" spans="3:13" x14ac:dyDescent="0.25">
      <c r="C246" s="2"/>
      <c r="D246" s="2"/>
      <c r="E246" s="2"/>
      <c r="K246" s="2"/>
      <c r="M246" s="53"/>
    </row>
    <row r="247" spans="3:13" x14ac:dyDescent="0.25">
      <c r="C247" s="2"/>
      <c r="D247" s="2"/>
      <c r="E247" s="2"/>
      <c r="K247" s="2"/>
      <c r="M247" s="53"/>
    </row>
    <row r="248" spans="3:13" x14ac:dyDescent="0.25">
      <c r="C248" s="2"/>
      <c r="D248" s="2"/>
      <c r="E248" s="2"/>
      <c r="K248" s="2"/>
      <c r="M248" s="53"/>
    </row>
    <row r="249" spans="3:13" x14ac:dyDescent="0.25">
      <c r="C249" s="2"/>
      <c r="D249" s="2"/>
      <c r="E249" s="2"/>
      <c r="K249" s="2"/>
      <c r="M249" s="53"/>
    </row>
    <row r="250" spans="3:13" x14ac:dyDescent="0.25">
      <c r="C250" s="2"/>
      <c r="D250" s="2"/>
      <c r="E250" s="2"/>
      <c r="M250" s="53"/>
    </row>
    <row r="251" spans="3:13" x14ac:dyDescent="0.25">
      <c r="C251" s="2"/>
      <c r="D251" s="2"/>
      <c r="E251" s="2"/>
      <c r="K251" s="2"/>
      <c r="M251" s="53"/>
    </row>
    <row r="252" spans="3:13" x14ac:dyDescent="0.25">
      <c r="C252" s="2"/>
      <c r="D252" s="2"/>
      <c r="E252" s="2"/>
      <c r="K252" s="2"/>
      <c r="M252" s="53"/>
    </row>
    <row r="253" spans="3:13" x14ac:dyDescent="0.25">
      <c r="C253" s="2"/>
      <c r="D253" s="2"/>
      <c r="E253" s="2"/>
      <c r="K253" s="2"/>
      <c r="M253" s="53"/>
    </row>
    <row r="254" spans="3:13" x14ac:dyDescent="0.25">
      <c r="C254" s="2"/>
      <c r="D254" s="2"/>
      <c r="E254" s="2"/>
      <c r="K254" s="2"/>
      <c r="M254" s="53"/>
    </row>
    <row r="255" spans="3:13" x14ac:dyDescent="0.25">
      <c r="C255" s="2"/>
      <c r="D255" s="2"/>
      <c r="E255" s="2"/>
      <c r="K255" s="2"/>
      <c r="M255" s="53"/>
    </row>
    <row r="256" spans="3:13" x14ac:dyDescent="0.25">
      <c r="C256" s="2"/>
      <c r="D256" s="2"/>
      <c r="E256" s="2"/>
      <c r="M256" s="53"/>
    </row>
    <row r="257" spans="3:17" x14ac:dyDescent="0.25">
      <c r="C257" s="2"/>
      <c r="D257" s="2"/>
      <c r="E257" s="2"/>
      <c r="F257" s="2"/>
      <c r="K257" s="2"/>
      <c r="M257" s="53"/>
      <c r="P257" s="54"/>
      <c r="Q257" s="54"/>
    </row>
    <row r="258" spans="3:17" x14ac:dyDescent="0.25">
      <c r="C258" s="2"/>
      <c r="D258" s="2"/>
      <c r="E258" s="2"/>
      <c r="F258" s="2"/>
      <c r="K258" s="2"/>
      <c r="M258" s="53"/>
      <c r="P258" s="54"/>
      <c r="Q258" s="54"/>
    </row>
    <row r="259" spans="3:17" x14ac:dyDescent="0.25">
      <c r="C259" s="2"/>
      <c r="D259" s="2"/>
      <c r="E259" s="2"/>
      <c r="F259" s="2"/>
      <c r="K259" s="2"/>
      <c r="M259" s="53"/>
      <c r="P259" s="54"/>
      <c r="Q259" s="54"/>
    </row>
    <row r="260" spans="3:17" x14ac:dyDescent="0.25">
      <c r="C260" s="2"/>
      <c r="D260" s="2"/>
      <c r="E260" s="2"/>
      <c r="F260" s="2"/>
      <c r="K260" s="2"/>
      <c r="M260" s="53"/>
      <c r="P260" s="54"/>
      <c r="Q260" s="54"/>
    </row>
    <row r="261" spans="3:17" x14ac:dyDescent="0.25">
      <c r="C261" s="2"/>
      <c r="D261" s="2"/>
      <c r="E261" s="2"/>
      <c r="F261" s="2"/>
      <c r="K261" s="2"/>
      <c r="M261" s="53"/>
      <c r="P261" s="54"/>
      <c r="Q261" s="54"/>
    </row>
    <row r="262" spans="3:17" x14ac:dyDescent="0.25">
      <c r="C262" s="2"/>
      <c r="D262" s="2"/>
      <c r="E262" s="2"/>
      <c r="M262" s="53"/>
    </row>
    <row r="263" spans="3:17" x14ac:dyDescent="0.25">
      <c r="C263" s="2"/>
      <c r="D263" s="2"/>
      <c r="E263" s="2"/>
      <c r="K263" s="2"/>
      <c r="M263" s="53"/>
    </row>
    <row r="264" spans="3:17" x14ac:dyDescent="0.25">
      <c r="C264" s="2"/>
      <c r="D264" s="2"/>
      <c r="E264" s="2"/>
      <c r="K264" s="2"/>
      <c r="M264" s="53"/>
    </row>
    <row r="265" spans="3:17" x14ac:dyDescent="0.25">
      <c r="C265" s="2"/>
      <c r="D265" s="2"/>
      <c r="E265" s="2"/>
      <c r="K265" s="2"/>
      <c r="M265" s="53"/>
    </row>
    <row r="266" spans="3:17" x14ac:dyDescent="0.25">
      <c r="C266" s="2"/>
      <c r="D266" s="2"/>
      <c r="E266" s="2"/>
      <c r="K266" s="2"/>
      <c r="M266" s="53"/>
    </row>
    <row r="267" spans="3:17" x14ac:dyDescent="0.25">
      <c r="C267" s="2"/>
      <c r="D267" s="2"/>
      <c r="E267" s="2"/>
      <c r="K267" s="2"/>
      <c r="M267" s="53"/>
    </row>
    <row r="268" spans="3:17" x14ac:dyDescent="0.25">
      <c r="C268" s="2"/>
      <c r="D268" s="2"/>
      <c r="E268" s="2"/>
      <c r="M268" s="53"/>
    </row>
    <row r="269" spans="3:17" x14ac:dyDescent="0.25">
      <c r="C269" s="2"/>
      <c r="D269" s="2"/>
      <c r="E269" s="2"/>
      <c r="K269" s="2"/>
      <c r="M269" s="53"/>
    </row>
    <row r="270" spans="3:17" x14ac:dyDescent="0.25">
      <c r="C270" s="2"/>
      <c r="D270" s="2"/>
      <c r="E270" s="2"/>
      <c r="K270" s="2"/>
      <c r="M270" s="53"/>
    </row>
    <row r="271" spans="3:17" x14ac:dyDescent="0.25">
      <c r="C271" s="2"/>
      <c r="D271" s="2"/>
      <c r="E271" s="2"/>
      <c r="K271" s="2"/>
      <c r="M271" s="53"/>
    </row>
    <row r="272" spans="3:17" x14ac:dyDescent="0.25">
      <c r="C272" s="2"/>
      <c r="D272" s="2"/>
      <c r="E272" s="2"/>
      <c r="K272" s="2"/>
      <c r="M272" s="53"/>
    </row>
    <row r="273" spans="3:13" x14ac:dyDescent="0.25">
      <c r="C273" s="2"/>
      <c r="D273" s="2"/>
      <c r="E273" s="2"/>
      <c r="K273" s="2"/>
      <c r="M273" s="53"/>
    </row>
    <row r="274" spans="3:13" x14ac:dyDescent="0.25">
      <c r="C274" s="2"/>
      <c r="D274" s="2"/>
      <c r="E274" s="2"/>
      <c r="M274" s="53"/>
    </row>
    <row r="275" spans="3:13" x14ac:dyDescent="0.25">
      <c r="C275" s="2"/>
      <c r="D275" s="2"/>
      <c r="E275" s="2"/>
      <c r="K275" s="2"/>
      <c r="M275" s="53"/>
    </row>
    <row r="276" spans="3:13" x14ac:dyDescent="0.25">
      <c r="C276" s="2"/>
      <c r="D276" s="2"/>
      <c r="E276" s="2"/>
      <c r="K276" s="2"/>
      <c r="M276" s="53"/>
    </row>
    <row r="277" spans="3:13" x14ac:dyDescent="0.25">
      <c r="C277" s="2"/>
      <c r="D277" s="2"/>
      <c r="E277" s="2"/>
      <c r="K277" s="2"/>
      <c r="M277" s="53"/>
    </row>
    <row r="278" spans="3:13" x14ac:dyDescent="0.25">
      <c r="C278" s="2"/>
      <c r="D278" s="2"/>
      <c r="E278" s="2"/>
      <c r="K278" s="2"/>
      <c r="M278" s="53"/>
    </row>
    <row r="279" spans="3:13" x14ac:dyDescent="0.25">
      <c r="C279" s="2"/>
      <c r="D279" s="2"/>
      <c r="E279" s="2"/>
      <c r="K279" s="2"/>
      <c r="M279" s="53"/>
    </row>
    <row r="280" spans="3:13" x14ac:dyDescent="0.25">
      <c r="C280" s="2"/>
      <c r="D280" s="2"/>
      <c r="E280" s="2"/>
      <c r="M280" s="53"/>
    </row>
    <row r="281" spans="3:13" x14ac:dyDescent="0.25">
      <c r="C281" s="2"/>
      <c r="D281" s="2"/>
      <c r="E281" s="2"/>
      <c r="K281" s="2"/>
      <c r="M281" s="53"/>
    </row>
    <row r="282" spans="3:13" x14ac:dyDescent="0.25">
      <c r="C282" s="2"/>
      <c r="D282" s="2"/>
      <c r="E282" s="2"/>
      <c r="K282" s="2"/>
      <c r="M282" s="53"/>
    </row>
    <row r="283" spans="3:13" x14ac:dyDescent="0.25">
      <c r="C283" s="2"/>
      <c r="D283" s="2"/>
      <c r="E283" s="2"/>
      <c r="K283" s="2"/>
      <c r="M283" s="53"/>
    </row>
    <row r="284" spans="3:13" x14ac:dyDescent="0.25">
      <c r="C284" s="2"/>
      <c r="D284" s="2"/>
      <c r="E284" s="2"/>
      <c r="K284" s="2"/>
      <c r="M284" s="53"/>
    </row>
    <row r="285" spans="3:13" x14ac:dyDescent="0.25">
      <c r="C285" s="2"/>
      <c r="D285" s="2"/>
      <c r="E285" s="2"/>
      <c r="K285" s="2"/>
      <c r="M285" s="53"/>
    </row>
    <row r="286" spans="3:13" x14ac:dyDescent="0.25">
      <c r="C286" s="2"/>
      <c r="D286" s="2"/>
      <c r="E286" s="2"/>
      <c r="M286" s="53"/>
    </row>
    <row r="287" spans="3:13" x14ac:dyDescent="0.25">
      <c r="C287" s="2"/>
      <c r="D287" s="2"/>
      <c r="E287" s="2"/>
      <c r="K287" s="2"/>
      <c r="M287" s="53"/>
    </row>
    <row r="288" spans="3:13" x14ac:dyDescent="0.25">
      <c r="C288" s="2"/>
      <c r="D288" s="2"/>
      <c r="E288" s="2"/>
      <c r="K288" s="2"/>
      <c r="M288" s="53"/>
    </row>
    <row r="289" spans="3:13" x14ac:dyDescent="0.25">
      <c r="C289" s="2"/>
      <c r="D289" s="2"/>
      <c r="E289" s="2"/>
      <c r="K289" s="2"/>
      <c r="M289" s="53"/>
    </row>
    <row r="290" spans="3:13" x14ac:dyDescent="0.25">
      <c r="C290" s="2"/>
      <c r="D290" s="2"/>
      <c r="E290" s="2"/>
      <c r="K290" s="2"/>
      <c r="M290" s="53"/>
    </row>
    <row r="291" spans="3:13" x14ac:dyDescent="0.25">
      <c r="C291" s="2"/>
      <c r="D291" s="2"/>
      <c r="E291" s="2"/>
      <c r="K291" s="2"/>
      <c r="M291" s="53"/>
    </row>
    <row r="292" spans="3:13" x14ac:dyDescent="0.25">
      <c r="C292" s="2"/>
      <c r="D292" s="2"/>
      <c r="E292" s="2"/>
      <c r="M292" s="53"/>
    </row>
    <row r="293" spans="3:13" x14ac:dyDescent="0.25">
      <c r="C293" s="2"/>
      <c r="D293" s="2"/>
      <c r="E293" s="2"/>
      <c r="K293" s="2"/>
      <c r="M293" s="53"/>
    </row>
    <row r="294" spans="3:13" x14ac:dyDescent="0.25">
      <c r="C294" s="2"/>
      <c r="D294" s="2"/>
      <c r="E294" s="2"/>
      <c r="K294" s="2"/>
      <c r="M294" s="53"/>
    </row>
    <row r="295" spans="3:13" x14ac:dyDescent="0.25">
      <c r="C295" s="2"/>
      <c r="D295" s="2"/>
      <c r="E295" s="2"/>
      <c r="K295" s="2"/>
      <c r="M295" s="53"/>
    </row>
    <row r="296" spans="3:13" x14ac:dyDescent="0.25">
      <c r="C296" s="2"/>
      <c r="D296" s="2"/>
      <c r="E296" s="2"/>
      <c r="K296" s="2"/>
      <c r="M296" s="53"/>
    </row>
    <row r="297" spans="3:13" x14ac:dyDescent="0.25">
      <c r="C297" s="2"/>
      <c r="D297" s="2"/>
      <c r="E297" s="2"/>
      <c r="K297" s="2"/>
      <c r="M297" s="53"/>
    </row>
    <row r="298" spans="3:13" x14ac:dyDescent="0.25">
      <c r="C298" s="2"/>
      <c r="D298" s="2"/>
      <c r="E298" s="2"/>
      <c r="M298" s="53"/>
    </row>
    <row r="299" spans="3:13" x14ac:dyDescent="0.25">
      <c r="C299" s="2"/>
      <c r="D299" s="2"/>
      <c r="E299" s="2"/>
      <c r="K299" s="2"/>
      <c r="M299" s="53"/>
    </row>
    <row r="300" spans="3:13" x14ac:dyDescent="0.25">
      <c r="C300" s="2"/>
      <c r="D300" s="2"/>
      <c r="E300" s="2"/>
      <c r="K300" s="2"/>
      <c r="M300" s="53"/>
    </row>
    <row r="301" spans="3:13" x14ac:dyDescent="0.25">
      <c r="C301" s="2"/>
      <c r="D301" s="2"/>
      <c r="E301" s="2"/>
      <c r="K301" s="2"/>
      <c r="M301" s="53"/>
    </row>
    <row r="302" spans="3:13" x14ac:dyDescent="0.25">
      <c r="C302" s="2"/>
      <c r="D302" s="2"/>
      <c r="E302" s="2"/>
      <c r="K302" s="2"/>
      <c r="M302" s="53"/>
    </row>
    <row r="303" spans="3:13" x14ac:dyDescent="0.25">
      <c r="C303" s="2"/>
      <c r="D303" s="2"/>
      <c r="E303" s="2"/>
      <c r="K303" s="2"/>
      <c r="M303" s="53"/>
    </row>
    <row r="304" spans="3:13" x14ac:dyDescent="0.25">
      <c r="C304" s="2"/>
      <c r="D304" s="2"/>
      <c r="E304" s="2"/>
      <c r="M304" s="53"/>
    </row>
    <row r="305" spans="3:13" x14ac:dyDescent="0.25">
      <c r="C305" s="2"/>
      <c r="D305" s="2"/>
      <c r="E305" s="2"/>
      <c r="K305" s="2"/>
      <c r="M305" s="53"/>
    </row>
    <row r="306" spans="3:13" x14ac:dyDescent="0.25">
      <c r="C306" s="2"/>
      <c r="D306" s="2"/>
      <c r="E306" s="2"/>
      <c r="K306" s="2"/>
      <c r="M306" s="53"/>
    </row>
    <row r="307" spans="3:13" x14ac:dyDescent="0.25">
      <c r="C307" s="2"/>
      <c r="D307" s="2"/>
      <c r="E307" s="2"/>
      <c r="K307" s="2"/>
      <c r="M307" s="53"/>
    </row>
    <row r="308" spans="3:13" x14ac:dyDescent="0.25">
      <c r="C308" s="2"/>
      <c r="D308" s="2"/>
      <c r="E308" s="2"/>
      <c r="K308" s="2"/>
      <c r="M308" s="53"/>
    </row>
    <row r="309" spans="3:13" x14ac:dyDescent="0.25">
      <c r="C309" s="2"/>
      <c r="D309" s="2"/>
      <c r="E309" s="2"/>
      <c r="K309" s="2"/>
      <c r="M309" s="53"/>
    </row>
    <row r="310" spans="3:13" x14ac:dyDescent="0.25">
      <c r="C310" s="2"/>
      <c r="D310" s="2"/>
      <c r="E310" s="2"/>
      <c r="M310" s="53"/>
    </row>
    <row r="311" spans="3:13" x14ac:dyDescent="0.25">
      <c r="M311" s="53"/>
    </row>
    <row r="312" spans="3:13" x14ac:dyDescent="0.25">
      <c r="M312" s="53"/>
    </row>
    <row r="313" spans="3:13" x14ac:dyDescent="0.25">
      <c r="M313" s="53"/>
    </row>
    <row r="314" spans="3:13" x14ac:dyDescent="0.25">
      <c r="M314" s="53"/>
    </row>
    <row r="315" spans="3:13" x14ac:dyDescent="0.25">
      <c r="M315" s="53"/>
    </row>
    <row r="316" spans="3:13" x14ac:dyDescent="0.25">
      <c r="M316" s="53"/>
    </row>
    <row r="317" spans="3:13" x14ac:dyDescent="0.25">
      <c r="M317" s="53"/>
    </row>
    <row r="318" spans="3:13" x14ac:dyDescent="0.25">
      <c r="M318" s="53"/>
    </row>
    <row r="319" spans="3:13" x14ac:dyDescent="0.25">
      <c r="M319" s="53"/>
    </row>
    <row r="320" spans="3:13" x14ac:dyDescent="0.25">
      <c r="M320" s="53"/>
    </row>
    <row r="321" spans="13:13" x14ac:dyDescent="0.25">
      <c r="M321" s="53"/>
    </row>
    <row r="322" spans="13:13" x14ac:dyDescent="0.25">
      <c r="M322" s="53"/>
    </row>
    <row r="323" spans="13:13" x14ac:dyDescent="0.25">
      <c r="M323" s="53"/>
    </row>
    <row r="324" spans="13:13" x14ac:dyDescent="0.25">
      <c r="M324" s="53"/>
    </row>
  </sheetData>
  <sortState xmlns:xlrd2="http://schemas.microsoft.com/office/spreadsheetml/2017/richdata2" ref="B115:Q183">
    <sortCondition ref="D115:D183"/>
  </sortState>
  <phoneticPr fontId="63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2:M16"/>
  <sheetViews>
    <sheetView workbookViewId="0">
      <selection activeCell="H17" sqref="H17"/>
    </sheetView>
  </sheetViews>
  <sheetFormatPr defaultRowHeight="13.2" x14ac:dyDescent="0.25"/>
  <cols>
    <col min="2" max="2" width="23.6640625" bestFit="1" customWidth="1"/>
    <col min="4" max="4" width="48.33203125" customWidth="1"/>
    <col min="5" max="5" width="29.77734375" customWidth="1"/>
    <col min="7" max="7" width="30.109375" customWidth="1"/>
    <col min="10" max="10" width="26.88671875" customWidth="1"/>
    <col min="12" max="12" width="12.88671875" customWidth="1"/>
    <col min="13" max="13" width="11.33203125" customWidth="1"/>
    <col min="14" max="14" width="14" customWidth="1"/>
    <col min="15" max="15" width="24" customWidth="1"/>
  </cols>
  <sheetData>
    <row r="2" spans="1:13" ht="14.4" x14ac:dyDescent="0.3">
      <c r="A2" t="s">
        <v>5</v>
      </c>
      <c r="C2" s="1" t="s">
        <v>16</v>
      </c>
    </row>
    <row r="3" spans="1:13" x14ac:dyDescent="0.25">
      <c r="B3" s="6" t="s">
        <v>6</v>
      </c>
    </row>
    <row r="4" spans="1:13" x14ac:dyDescent="0.25">
      <c r="B4" s="6" t="s">
        <v>7</v>
      </c>
    </row>
    <row r="5" spans="1:13" x14ac:dyDescent="0.25">
      <c r="F5" t="s">
        <v>0</v>
      </c>
    </row>
    <row r="6" spans="1:13" ht="15" thickBot="1" x14ac:dyDescent="0.35">
      <c r="B6" s="15" t="s">
        <v>1</v>
      </c>
      <c r="C6" s="15" t="s">
        <v>8</v>
      </c>
      <c r="D6" s="15" t="s">
        <v>11</v>
      </c>
      <c r="E6" s="15" t="s">
        <v>13</v>
      </c>
      <c r="F6" s="15" t="s">
        <v>2</v>
      </c>
      <c r="G6" s="15" t="s">
        <v>44</v>
      </c>
      <c r="H6" s="15" t="s">
        <v>45</v>
      </c>
      <c r="I6" s="15" t="s">
        <v>46</v>
      </c>
      <c r="J6" s="15" t="s">
        <v>3</v>
      </c>
      <c r="L6" s="4"/>
      <c r="M6" s="16"/>
    </row>
    <row r="7" spans="1:13" ht="14.4" x14ac:dyDescent="0.3">
      <c r="B7" s="10" t="s">
        <v>47</v>
      </c>
      <c r="D7" s="9" t="s">
        <v>49</v>
      </c>
      <c r="E7" s="8">
        <v>2011</v>
      </c>
      <c r="F7" s="8" t="s">
        <v>18</v>
      </c>
      <c r="G7" s="8">
        <v>1</v>
      </c>
      <c r="H7" s="13">
        <f>'CAFE calcs'!D14</f>
        <v>17262.28689223831</v>
      </c>
      <c r="I7" s="8">
        <v>5</v>
      </c>
      <c r="J7" s="11" t="s">
        <v>48</v>
      </c>
      <c r="L7" s="4"/>
      <c r="M7" s="17"/>
    </row>
    <row r="8" spans="1:13" ht="14.4" x14ac:dyDescent="0.3">
      <c r="B8" s="10" t="s">
        <v>47</v>
      </c>
      <c r="D8" s="9" t="s">
        <v>49</v>
      </c>
      <c r="E8" s="8">
        <v>2015</v>
      </c>
      <c r="F8" s="8" t="s">
        <v>18</v>
      </c>
      <c r="G8" s="8">
        <v>1</v>
      </c>
      <c r="H8" s="13">
        <f>'CAFE calcs'!E14</f>
        <v>17024.39394772302</v>
      </c>
      <c r="I8" s="8">
        <v>5</v>
      </c>
      <c r="J8" s="11" t="s">
        <v>48</v>
      </c>
      <c r="L8" s="4"/>
      <c r="M8" s="17"/>
    </row>
    <row r="9" spans="1:13" ht="14.4" x14ac:dyDescent="0.3">
      <c r="B9" s="10" t="s">
        <v>47</v>
      </c>
      <c r="D9" s="9" t="s">
        <v>49</v>
      </c>
      <c r="E9" s="8">
        <v>2020</v>
      </c>
      <c r="F9" s="8" t="s">
        <v>18</v>
      </c>
      <c r="G9" s="8">
        <v>1</v>
      </c>
      <c r="H9" s="12">
        <f>'CAFE calcs'!F14</f>
        <v>15203.888138305358</v>
      </c>
      <c r="I9" s="8">
        <v>5</v>
      </c>
      <c r="J9" s="11" t="s">
        <v>48</v>
      </c>
      <c r="L9" s="4"/>
      <c r="M9" s="17"/>
    </row>
    <row r="10" spans="1:13" ht="14.4" x14ac:dyDescent="0.3">
      <c r="B10" s="10" t="s">
        <v>47</v>
      </c>
      <c r="D10" s="9" t="s">
        <v>49</v>
      </c>
      <c r="E10" s="8">
        <v>2025</v>
      </c>
      <c r="F10" s="8" t="s">
        <v>18</v>
      </c>
      <c r="G10" s="8">
        <v>1</v>
      </c>
      <c r="H10" s="13">
        <f>'CAFE calcs'!G14</f>
        <v>14472.132240572864</v>
      </c>
      <c r="I10" s="8">
        <v>5</v>
      </c>
      <c r="J10" s="11" t="s">
        <v>48</v>
      </c>
      <c r="L10" s="4"/>
      <c r="M10" s="17"/>
    </row>
    <row r="11" spans="1:13" ht="14.4" x14ac:dyDescent="0.3">
      <c r="B11" s="10" t="s">
        <v>47</v>
      </c>
      <c r="D11" s="9" t="s">
        <v>49</v>
      </c>
      <c r="E11" s="8">
        <v>2030</v>
      </c>
      <c r="F11" s="8" t="s">
        <v>18</v>
      </c>
      <c r="G11" s="8">
        <v>1</v>
      </c>
      <c r="H11" s="12">
        <f>'CAFE calcs'!H14</f>
        <v>14322.808656096637</v>
      </c>
      <c r="I11" s="8">
        <v>5</v>
      </c>
      <c r="J11" s="11" t="s">
        <v>48</v>
      </c>
      <c r="L11" s="4"/>
      <c r="M11" s="17"/>
    </row>
    <row r="12" spans="1:13" x14ac:dyDescent="0.25">
      <c r="B12" s="10" t="s">
        <v>47</v>
      </c>
      <c r="D12" s="9" t="s">
        <v>49</v>
      </c>
      <c r="E12" s="8">
        <v>2035</v>
      </c>
      <c r="F12" s="8" t="s">
        <v>18</v>
      </c>
      <c r="G12" s="8">
        <v>1</v>
      </c>
      <c r="H12" s="13">
        <f>'CAFE calcs'!I14</f>
        <v>14344.210020824825</v>
      </c>
      <c r="I12" s="8">
        <v>5</v>
      </c>
      <c r="J12" s="11" t="s">
        <v>48</v>
      </c>
      <c r="L12" s="4"/>
      <c r="M12" s="4"/>
    </row>
    <row r="13" spans="1:13" x14ac:dyDescent="0.25">
      <c r="B13" s="10" t="s">
        <v>47</v>
      </c>
      <c r="D13" s="9" t="s">
        <v>49</v>
      </c>
      <c r="E13" s="8">
        <v>2040</v>
      </c>
      <c r="F13" s="8" t="s">
        <v>18</v>
      </c>
      <c r="G13" s="8">
        <v>1</v>
      </c>
      <c r="H13" s="12">
        <f>'CAFE calcs'!J14</f>
        <v>14339.446484696617</v>
      </c>
      <c r="I13" s="8">
        <v>5</v>
      </c>
      <c r="J13" s="11" t="s">
        <v>48</v>
      </c>
    </row>
    <row r="14" spans="1:13" x14ac:dyDescent="0.25">
      <c r="B14" s="10" t="s">
        <v>47</v>
      </c>
      <c r="D14" s="9" t="s">
        <v>49</v>
      </c>
      <c r="E14" s="8">
        <v>2045</v>
      </c>
      <c r="F14" s="8" t="s">
        <v>18</v>
      </c>
      <c r="G14" s="8">
        <v>1</v>
      </c>
      <c r="H14" s="13">
        <f>'CAFE calcs'!K14</f>
        <v>14388.255846234124</v>
      </c>
      <c r="I14" s="8">
        <v>5</v>
      </c>
      <c r="J14" s="11" t="s">
        <v>48</v>
      </c>
    </row>
    <row r="15" spans="1:13" x14ac:dyDescent="0.25">
      <c r="B15" s="10" t="s">
        <v>47</v>
      </c>
      <c r="D15" s="9" t="s">
        <v>49</v>
      </c>
      <c r="E15" s="8">
        <v>2050</v>
      </c>
      <c r="F15" s="8" t="s">
        <v>18</v>
      </c>
      <c r="G15" s="8">
        <v>1</v>
      </c>
      <c r="H15" s="12">
        <f>'CAFE calcs'!L14</f>
        <v>14507.661968198452</v>
      </c>
      <c r="I15" s="8">
        <v>5</v>
      </c>
      <c r="J15" s="11" t="s">
        <v>48</v>
      </c>
    </row>
    <row r="16" spans="1:13" x14ac:dyDescent="0.25">
      <c r="B16" s="10" t="s">
        <v>47</v>
      </c>
      <c r="D16" s="9" t="s">
        <v>49</v>
      </c>
      <c r="E16" s="8">
        <v>2055</v>
      </c>
      <c r="F16" s="8" t="s">
        <v>18</v>
      </c>
      <c r="G16" s="8">
        <v>1</v>
      </c>
      <c r="H16" s="13">
        <f>'CAFE calcs'!M14</f>
        <v>14799.20946988472</v>
      </c>
      <c r="I16" s="8">
        <v>5</v>
      </c>
      <c r="J16" s="11" t="s">
        <v>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B2:M14"/>
  <sheetViews>
    <sheetView workbookViewId="0">
      <selection activeCell="F9" sqref="F9"/>
    </sheetView>
  </sheetViews>
  <sheetFormatPr defaultRowHeight="13.2" x14ac:dyDescent="0.25"/>
  <cols>
    <col min="2" max="2" width="18.77734375" customWidth="1"/>
    <col min="3" max="14" width="12.88671875" customWidth="1"/>
  </cols>
  <sheetData>
    <row r="2" spans="2:13" x14ac:dyDescent="0.25">
      <c r="B2" s="63" t="s">
        <v>295</v>
      </c>
      <c r="C2" s="5">
        <v>0.125</v>
      </c>
      <c r="D2" s="5" t="s">
        <v>296</v>
      </c>
    </row>
    <row r="3" spans="2:13" x14ac:dyDescent="0.25">
      <c r="B3" s="63" t="s">
        <v>297</v>
      </c>
      <c r="C3" s="5">
        <f>1055.056*10 ^ 6/10 ^15</f>
        <v>1.0550559999999999E-6</v>
      </c>
      <c r="D3" s="5" t="s">
        <v>298</v>
      </c>
    </row>
    <row r="5" spans="2:13" x14ac:dyDescent="0.25">
      <c r="D5">
        <v>2011</v>
      </c>
      <c r="E5">
        <v>2015</v>
      </c>
      <c r="F5">
        <v>2020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2:13" x14ac:dyDescent="0.25">
      <c r="B6" s="2" t="s">
        <v>378</v>
      </c>
      <c r="D6" s="14">
        <f>AEOT40!C68</f>
        <v>20.088326400893457</v>
      </c>
      <c r="E6" s="14">
        <f>AEOT40!D68</f>
        <v>21.339815848295164</v>
      </c>
      <c r="F6" s="14">
        <f>AEOT40!E68</f>
        <v>23.745687</v>
      </c>
      <c r="G6" s="14">
        <f>AEOT40!F68</f>
        <v>26.696793</v>
      </c>
      <c r="H6" s="14">
        <f>AEOT40!G68</f>
        <v>29.705197999999999</v>
      </c>
      <c r="I6" s="14">
        <f>AEOT40!H68</f>
        <v>32.067428999999997</v>
      </c>
      <c r="J6" s="14">
        <f>AEOT40!I68</f>
        <v>33.720768</v>
      </c>
      <c r="K6" s="14">
        <f>AEOT40!J68</f>
        <v>34.668689999999998</v>
      </c>
      <c r="L6" s="14">
        <f>AEOT40!K68</f>
        <v>35.230956999999997</v>
      </c>
      <c r="M6" s="14"/>
    </row>
    <row r="7" spans="2:13" x14ac:dyDescent="0.25">
      <c r="B7" s="2" t="s">
        <v>379</v>
      </c>
      <c r="F7" s="75">
        <f>AEOT40!E66</f>
        <v>33.650863999999999</v>
      </c>
      <c r="G7" s="75">
        <f>AEOT40!F66</f>
        <v>40.743183000000002</v>
      </c>
      <c r="H7" s="75">
        <f>AEOT40!G66</f>
        <v>41.616318</v>
      </c>
      <c r="I7" s="75">
        <f>AEOT40!H66</f>
        <v>42.443111000000002</v>
      </c>
      <c r="J7" s="75">
        <f>AEOT40!I66</f>
        <v>42.865616000000003</v>
      </c>
      <c r="K7" s="75">
        <f>AEOT40!J66</f>
        <v>43.098072000000002</v>
      </c>
      <c r="L7" s="75">
        <f>AEOT40!K66</f>
        <v>43.422623000000002</v>
      </c>
    </row>
    <row r="8" spans="2:13" x14ac:dyDescent="0.25">
      <c r="F8" s="76">
        <f>(F6-F7)/F7</f>
        <v>-0.29435134265794777</v>
      </c>
      <c r="G8" s="76">
        <f t="shared" ref="G8:L8" si="0">(G6-G7)/G7</f>
        <v>-0.34475436050246744</v>
      </c>
      <c r="H8" s="76">
        <f t="shared" si="0"/>
        <v>-0.28621273030449257</v>
      </c>
      <c r="I8" s="57">
        <f t="shared" si="0"/>
        <v>-0.24446092087830235</v>
      </c>
      <c r="J8" s="57">
        <f t="shared" si="0"/>
        <v>-0.21333760839923546</v>
      </c>
      <c r="K8" s="57">
        <f t="shared" si="0"/>
        <v>-0.19558605777075141</v>
      </c>
      <c r="L8" s="57">
        <f t="shared" si="0"/>
        <v>-0.18864972758554924</v>
      </c>
    </row>
    <row r="9" spans="2:13" x14ac:dyDescent="0.25">
      <c r="B9" s="2" t="s">
        <v>380</v>
      </c>
      <c r="F9">
        <v>36.799999999999997</v>
      </c>
      <c r="G9">
        <v>39.799999999999997</v>
      </c>
      <c r="H9">
        <v>40.5</v>
      </c>
      <c r="I9" s="14">
        <f>H9</f>
        <v>40.5</v>
      </c>
      <c r="J9" s="14">
        <f t="shared" ref="J9:L9" si="1">I9</f>
        <v>40.5</v>
      </c>
      <c r="K9" s="14">
        <f t="shared" si="1"/>
        <v>40.5</v>
      </c>
      <c r="L9" s="14">
        <f t="shared" si="1"/>
        <v>40.5</v>
      </c>
    </row>
    <row r="10" spans="2:13" x14ac:dyDescent="0.25">
      <c r="F10" s="77">
        <f>F9*0.7</f>
        <v>25.759999999999998</v>
      </c>
      <c r="G10" s="77">
        <f t="shared" ref="G10" si="2">G9*0.7</f>
        <v>27.859999999999996</v>
      </c>
      <c r="H10" s="77">
        <f>H9*0.72</f>
        <v>29.16</v>
      </c>
      <c r="I10" s="77">
        <f>I9*0.74</f>
        <v>29.97</v>
      </c>
      <c r="J10" s="77">
        <f>J9*0.76</f>
        <v>30.78</v>
      </c>
      <c r="K10" s="77">
        <f>K9*0.78</f>
        <v>31.59</v>
      </c>
      <c r="L10" s="77">
        <f>L9*0.8</f>
        <v>32.4</v>
      </c>
    </row>
    <row r="13" spans="2:13" ht="14.4" x14ac:dyDescent="0.3">
      <c r="B13" s="78" t="s">
        <v>381</v>
      </c>
      <c r="C13" s="79">
        <v>2654.1127929999993</v>
      </c>
      <c r="D13" s="79">
        <v>2629.3994139999995</v>
      </c>
      <c r="E13" s="79">
        <v>2754.7158199999999</v>
      </c>
      <c r="F13" s="79">
        <v>2969.7165530000002</v>
      </c>
      <c r="G13" s="79">
        <v>3057.2299800000001</v>
      </c>
      <c r="H13" s="79">
        <v>3166.8696289999993</v>
      </c>
      <c r="I13" s="79">
        <v>3259.7016600000006</v>
      </c>
      <c r="J13" s="79">
        <v>3346.6899409999996</v>
      </c>
      <c r="K13" s="79">
        <v>3446.4521480000003</v>
      </c>
      <c r="L13" s="79">
        <v>3564.1577149999989</v>
      </c>
      <c r="M13" s="79">
        <v>3635.7834035294049</v>
      </c>
    </row>
    <row r="14" spans="2:13" x14ac:dyDescent="0.25">
      <c r="D14" s="14">
        <f>D13*10^9/D6*$C$2*$C$3</f>
        <v>17262.28689223831</v>
      </c>
      <c r="E14" s="14">
        <f>E13*10^9/E6*$C$2*$C$3</f>
        <v>17024.39394772302</v>
      </c>
      <c r="F14" s="14">
        <f t="shared" ref="F14:L14" si="3">F13*10^9/F10*$C$2*$C$3</f>
        <v>15203.888138305358</v>
      </c>
      <c r="G14" s="14">
        <f t="shared" si="3"/>
        <v>14472.132240572864</v>
      </c>
      <c r="H14" s="14">
        <f t="shared" si="3"/>
        <v>14322.808656096637</v>
      </c>
      <c r="I14" s="14">
        <f t="shared" si="3"/>
        <v>14344.210020824825</v>
      </c>
      <c r="J14" s="14">
        <f t="shared" si="3"/>
        <v>14339.446484696617</v>
      </c>
      <c r="K14" s="14">
        <f t="shared" si="3"/>
        <v>14388.255846234124</v>
      </c>
      <c r="L14" s="14">
        <f t="shared" si="3"/>
        <v>14507.661968198452</v>
      </c>
      <c r="M14" s="14">
        <f>M13*10^9/L10*$C$2*$C$3</f>
        <v>14799.20946988472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DEAF-E358-4CCC-9123-3446650B920D}">
  <sheetPr>
    <tabColor theme="4" tint="0.59999389629810485"/>
  </sheetPr>
  <dimension ref="A1:N4414"/>
  <sheetViews>
    <sheetView topLeftCell="B1" workbookViewId="0">
      <selection activeCell="E65" sqref="E65"/>
    </sheetView>
  </sheetViews>
  <sheetFormatPr defaultRowHeight="13.2" x14ac:dyDescent="0.25"/>
  <cols>
    <col min="1" max="1" width="18.88671875" hidden="1" customWidth="1"/>
    <col min="2" max="2" width="41.44140625" customWidth="1"/>
    <col min="13" max="13" width="38.109375" customWidth="1"/>
  </cols>
  <sheetData>
    <row r="1" spans="1:14" ht="15" customHeight="1" thickBot="1" x14ac:dyDescent="0.3">
      <c r="B1" s="43" t="s">
        <v>299</v>
      </c>
      <c r="E1" s="44">
        <v>2020</v>
      </c>
      <c r="F1" s="44">
        <v>2025</v>
      </c>
      <c r="G1" s="44">
        <v>2030</v>
      </c>
      <c r="H1" s="44">
        <v>2035</v>
      </c>
      <c r="I1" s="44">
        <v>2040</v>
      </c>
      <c r="J1" s="44">
        <v>2045</v>
      </c>
      <c r="K1" s="44">
        <v>2050</v>
      </c>
    </row>
    <row r="2" spans="1:14" ht="15" customHeight="1" thickTop="1" x14ac:dyDescent="0.25"/>
    <row r="3" spans="1:14" ht="15" customHeight="1" x14ac:dyDescent="0.25">
      <c r="E3" s="64" t="s">
        <v>300</v>
      </c>
    </row>
    <row r="4" spans="1:14" ht="15" customHeight="1" x14ac:dyDescent="0.25">
      <c r="E4" s="64" t="s">
        <v>301</v>
      </c>
    </row>
    <row r="5" spans="1:14" ht="15" customHeight="1" x14ac:dyDescent="0.25">
      <c r="E5" s="64" t="s">
        <v>302</v>
      </c>
    </row>
    <row r="6" spans="1:14" ht="15" customHeight="1" x14ac:dyDescent="0.25"/>
    <row r="7" spans="1:14" ht="15" customHeight="1" x14ac:dyDescent="0.3">
      <c r="A7" s="5" t="s">
        <v>303</v>
      </c>
      <c r="B7" s="42" t="s">
        <v>304</v>
      </c>
    </row>
    <row r="8" spans="1:14" ht="15" customHeight="1" x14ac:dyDescent="0.25">
      <c r="B8" s="43" t="s">
        <v>305</v>
      </c>
    </row>
    <row r="9" spans="1:14" ht="15" customHeight="1" x14ac:dyDescent="0.25">
      <c r="B9" s="43" t="s">
        <v>112</v>
      </c>
      <c r="E9" s="47" t="s">
        <v>112</v>
      </c>
      <c r="F9" s="47" t="s">
        <v>112</v>
      </c>
      <c r="G9" s="47" t="s">
        <v>112</v>
      </c>
      <c r="H9" s="47" t="s">
        <v>112</v>
      </c>
      <c r="I9" s="47" t="s">
        <v>112</v>
      </c>
      <c r="J9" s="47" t="s">
        <v>112</v>
      </c>
      <c r="K9" s="47" t="s">
        <v>112</v>
      </c>
    </row>
    <row r="10" spans="1:14" ht="15" customHeight="1" thickBot="1" x14ac:dyDescent="0.3">
      <c r="B10" s="44" t="s">
        <v>115</v>
      </c>
      <c r="C10" s="65">
        <v>2011</v>
      </c>
      <c r="D10" s="65">
        <v>2015</v>
      </c>
      <c r="E10" s="44">
        <v>2020</v>
      </c>
      <c r="F10" s="44">
        <v>2025</v>
      </c>
      <c r="G10" s="44">
        <v>2030</v>
      </c>
      <c r="H10" s="44">
        <v>2035</v>
      </c>
      <c r="I10" s="44">
        <v>2040</v>
      </c>
      <c r="J10" s="44">
        <v>2045</v>
      </c>
      <c r="K10" s="44">
        <v>2050</v>
      </c>
      <c r="M10" s="66"/>
      <c r="N10" s="67"/>
    </row>
    <row r="11" spans="1:14" ht="15" customHeight="1" thickTop="1" x14ac:dyDescent="0.25">
      <c r="M11" s="68"/>
      <c r="N11" s="68"/>
    </row>
    <row r="12" spans="1:14" ht="15" customHeight="1" x14ac:dyDescent="0.25">
      <c r="B12" s="45" t="s">
        <v>306</v>
      </c>
      <c r="M12" s="67"/>
      <c r="N12" s="68"/>
    </row>
    <row r="13" spans="1:14" ht="15" customHeight="1" x14ac:dyDescent="0.25">
      <c r="B13" s="45" t="s">
        <v>84</v>
      </c>
      <c r="M13" s="67"/>
      <c r="N13" s="68"/>
    </row>
    <row r="14" spans="1:14" ht="15" customHeight="1" x14ac:dyDescent="0.25">
      <c r="A14" s="5" t="s">
        <v>307</v>
      </c>
      <c r="B14" s="46" t="s">
        <v>308</v>
      </c>
      <c r="C14" s="69">
        <v>34.919041</v>
      </c>
      <c r="D14" s="69">
        <v>36.640208999999999</v>
      </c>
      <c r="E14" s="69">
        <v>40.929665</v>
      </c>
      <c r="F14" s="69">
        <v>49.371426</v>
      </c>
      <c r="G14" s="69">
        <v>49.183315</v>
      </c>
      <c r="H14" s="69">
        <v>48.90831</v>
      </c>
      <c r="I14" s="69">
        <v>48.441616000000003</v>
      </c>
      <c r="J14" s="69">
        <v>48.021725000000004</v>
      </c>
      <c r="K14" s="69">
        <v>47.575485</v>
      </c>
      <c r="M14" s="68"/>
      <c r="N14" s="70"/>
    </row>
    <row r="15" spans="1:14" ht="15" customHeight="1" x14ac:dyDescent="0.25">
      <c r="A15" s="5" t="s">
        <v>309</v>
      </c>
      <c r="B15" s="46" t="s">
        <v>310</v>
      </c>
      <c r="C15" s="69">
        <v>44.021965000000002</v>
      </c>
      <c r="D15" s="69">
        <v>45.929188000000003</v>
      </c>
      <c r="E15" s="69">
        <v>50.945549</v>
      </c>
      <c r="F15" s="69">
        <v>58.204987000000003</v>
      </c>
      <c r="G15" s="69">
        <v>57.895904999999999</v>
      </c>
      <c r="H15" s="69">
        <v>57.655411000000001</v>
      </c>
      <c r="I15" s="69">
        <v>57.002861000000003</v>
      </c>
      <c r="J15" s="69">
        <v>55.735244999999999</v>
      </c>
      <c r="K15" s="69">
        <v>54.455967000000001</v>
      </c>
      <c r="M15" s="68"/>
      <c r="N15" s="70"/>
    </row>
    <row r="16" spans="1:14" ht="15" customHeight="1" x14ac:dyDescent="0.25">
      <c r="M16" s="68"/>
      <c r="N16" s="68"/>
    </row>
    <row r="17" spans="1:14" ht="15" customHeight="1" x14ac:dyDescent="0.25">
      <c r="B17" s="45" t="s">
        <v>311</v>
      </c>
      <c r="M17" s="67"/>
      <c r="N17" s="68"/>
    </row>
    <row r="18" spans="1:14" ht="15" customHeight="1" x14ac:dyDescent="0.25">
      <c r="A18" s="5" t="s">
        <v>312</v>
      </c>
      <c r="B18" s="46" t="s">
        <v>313</v>
      </c>
      <c r="C18" s="69">
        <v>35.229412000000004</v>
      </c>
      <c r="D18" s="69">
        <v>35.950358999999999</v>
      </c>
      <c r="E18" s="69">
        <v>41.682270000000003</v>
      </c>
      <c r="F18" s="69">
        <v>50.528500000000001</v>
      </c>
      <c r="G18" s="69">
        <v>50.364970999999997</v>
      </c>
      <c r="H18" s="69">
        <v>50.155849000000003</v>
      </c>
      <c r="I18" s="69">
        <v>49.724711999999997</v>
      </c>
      <c r="J18" s="69">
        <v>49.311461999999999</v>
      </c>
      <c r="K18" s="69">
        <v>48.905749999999998</v>
      </c>
      <c r="M18" s="68"/>
      <c r="N18" s="70"/>
    </row>
    <row r="19" spans="1:14" ht="15" customHeight="1" x14ac:dyDescent="0.25">
      <c r="A19" s="5" t="s">
        <v>314</v>
      </c>
      <c r="B19" s="46" t="s">
        <v>315</v>
      </c>
      <c r="C19" s="69">
        <v>162.38754299999999</v>
      </c>
      <c r="D19" s="69">
        <v>97.425338999999994</v>
      </c>
      <c r="E19" s="69">
        <v>112.41158299999999</v>
      </c>
      <c r="F19" s="69">
        <v>124.684074</v>
      </c>
      <c r="G19" s="69">
        <v>124.670959</v>
      </c>
      <c r="H19" s="69">
        <v>124.813095</v>
      </c>
      <c r="I19" s="69">
        <v>124.975945</v>
      </c>
      <c r="J19" s="69">
        <v>124.985809</v>
      </c>
      <c r="K19" s="69">
        <v>124.982269</v>
      </c>
      <c r="M19" s="68"/>
      <c r="N19" s="70"/>
    </row>
    <row r="20" spans="1:14" ht="15" customHeight="1" x14ac:dyDescent="0.25">
      <c r="A20" s="5" t="s">
        <v>316</v>
      </c>
      <c r="B20" s="46" t="s">
        <v>317</v>
      </c>
      <c r="C20" s="69">
        <v>72.248917000000006</v>
      </c>
      <c r="D20" s="69">
        <v>93.360862999999995</v>
      </c>
      <c r="E20" s="69">
        <v>122.91127</v>
      </c>
      <c r="F20" s="69">
        <v>133.161179</v>
      </c>
      <c r="G20" s="69">
        <v>133.06892400000001</v>
      </c>
      <c r="H20" s="69">
        <v>132.94386299999999</v>
      </c>
      <c r="I20" s="69">
        <v>133.00323499999999</v>
      </c>
      <c r="J20" s="69">
        <v>133.071777</v>
      </c>
      <c r="K20" s="69">
        <v>133.13046299999999</v>
      </c>
      <c r="M20" s="68"/>
      <c r="N20" s="70"/>
    </row>
    <row r="21" spans="1:14" ht="15" customHeight="1" x14ac:dyDescent="0.25">
      <c r="A21" s="5" t="s">
        <v>318</v>
      </c>
      <c r="B21" s="46" t="s">
        <v>319</v>
      </c>
      <c r="C21" s="69"/>
      <c r="D21" s="69"/>
      <c r="E21" s="69">
        <v>121.328705</v>
      </c>
      <c r="F21" s="69">
        <v>131.80448899999999</v>
      </c>
      <c r="G21" s="69">
        <v>131.28568999999999</v>
      </c>
      <c r="H21" s="69">
        <v>130.86123699999999</v>
      </c>
      <c r="I21" s="69">
        <v>130.71676600000001</v>
      </c>
      <c r="J21" s="69">
        <v>130.65817300000001</v>
      </c>
      <c r="K21" s="69">
        <v>130.593277</v>
      </c>
      <c r="M21" s="68"/>
      <c r="N21" s="70"/>
    </row>
    <row r="22" spans="1:14" ht="15" customHeight="1" x14ac:dyDescent="0.25">
      <c r="A22" s="5" t="s">
        <v>320</v>
      </c>
      <c r="B22" s="46" t="s">
        <v>321</v>
      </c>
      <c r="C22" s="69">
        <v>0</v>
      </c>
      <c r="D22" s="69">
        <v>55.378020999999997</v>
      </c>
      <c r="E22" s="69">
        <v>61.356583000000001</v>
      </c>
      <c r="F22" s="69">
        <v>73.119972000000004</v>
      </c>
      <c r="G22" s="69">
        <v>74.547996999999995</v>
      </c>
      <c r="H22" s="69">
        <v>74.148880000000005</v>
      </c>
      <c r="I22" s="69">
        <v>73.773880000000005</v>
      </c>
      <c r="J22" s="69">
        <v>73.367187999999999</v>
      </c>
      <c r="K22" s="69">
        <v>72.880629999999996</v>
      </c>
      <c r="M22" s="68"/>
      <c r="N22" s="70"/>
    </row>
    <row r="23" spans="1:14" ht="15" customHeight="1" x14ac:dyDescent="0.25">
      <c r="A23" s="5" t="s">
        <v>322</v>
      </c>
      <c r="B23" s="46" t="s">
        <v>323</v>
      </c>
      <c r="C23" s="69">
        <v>66.905951999999999</v>
      </c>
      <c r="D23" s="69">
        <v>67.001403999999994</v>
      </c>
      <c r="E23" s="69">
        <v>74.559662000000003</v>
      </c>
      <c r="F23" s="69">
        <v>85.209807999999995</v>
      </c>
      <c r="G23" s="69">
        <v>86.573502000000005</v>
      </c>
      <c r="H23" s="69">
        <v>85.935447999999994</v>
      </c>
      <c r="I23" s="69">
        <v>85.556067999999996</v>
      </c>
      <c r="J23" s="69">
        <v>85.206055000000006</v>
      </c>
      <c r="K23" s="69">
        <v>84.769035000000002</v>
      </c>
      <c r="M23" s="68"/>
      <c r="N23" s="70"/>
    </row>
    <row r="24" spans="1:14" ht="15" customHeight="1" x14ac:dyDescent="0.25">
      <c r="A24" s="5" t="s">
        <v>324</v>
      </c>
      <c r="B24" s="46" t="s">
        <v>325</v>
      </c>
      <c r="C24" s="69">
        <v>0</v>
      </c>
      <c r="D24" s="69">
        <v>0</v>
      </c>
      <c r="E24" s="69">
        <v>0</v>
      </c>
      <c r="F24" s="69">
        <v>0</v>
      </c>
      <c r="G24" s="69">
        <v>84.608390999999997</v>
      </c>
      <c r="H24" s="69">
        <v>84.684348999999997</v>
      </c>
      <c r="I24" s="69">
        <v>84.182486999999995</v>
      </c>
      <c r="J24" s="69">
        <v>83.348747000000003</v>
      </c>
      <c r="K24" s="69">
        <v>82.647330999999994</v>
      </c>
      <c r="M24" s="68"/>
      <c r="N24" s="70"/>
    </row>
    <row r="25" spans="1:14" ht="15" customHeight="1" x14ac:dyDescent="0.25">
      <c r="A25" s="5" t="s">
        <v>326</v>
      </c>
      <c r="B25" s="46" t="s">
        <v>327</v>
      </c>
      <c r="C25" s="69">
        <v>50.556792999999999</v>
      </c>
      <c r="D25" s="69">
        <v>53.407798999999997</v>
      </c>
      <c r="E25" s="69">
        <v>58.284882000000003</v>
      </c>
      <c r="F25" s="69">
        <v>72.929458999999994</v>
      </c>
      <c r="G25" s="69">
        <v>72.241073999999998</v>
      </c>
      <c r="H25" s="69">
        <v>71.303664999999995</v>
      </c>
      <c r="I25" s="69">
        <v>70.733153999999999</v>
      </c>
      <c r="J25" s="69">
        <v>70.101471000000004</v>
      </c>
      <c r="K25" s="69">
        <v>69.469077999999996</v>
      </c>
      <c r="M25" s="68"/>
      <c r="N25" s="70"/>
    </row>
    <row r="26" spans="1:14" ht="15" customHeight="1" x14ac:dyDescent="0.25">
      <c r="A26" s="5" t="s">
        <v>328</v>
      </c>
      <c r="B26" s="46" t="s">
        <v>329</v>
      </c>
      <c r="C26" s="69">
        <v>36.065581999999999</v>
      </c>
      <c r="D26" s="69">
        <v>37.692646000000003</v>
      </c>
      <c r="E26" s="69">
        <v>43.743561</v>
      </c>
      <c r="F26" s="69">
        <v>53.806140999999997</v>
      </c>
      <c r="G26" s="69">
        <v>53.654404</v>
      </c>
      <c r="H26" s="69">
        <v>53.620227999999997</v>
      </c>
      <c r="I26" s="69">
        <v>53.290492999999998</v>
      </c>
      <c r="J26" s="69">
        <v>52.908714000000003</v>
      </c>
      <c r="K26" s="69">
        <v>52.496623999999997</v>
      </c>
      <c r="M26" s="68"/>
      <c r="N26" s="70"/>
    </row>
    <row r="27" spans="1:14" ht="15" customHeight="1" x14ac:dyDescent="0.25">
      <c r="A27" s="5" t="s">
        <v>330</v>
      </c>
      <c r="B27" s="46" t="s">
        <v>331</v>
      </c>
      <c r="C27" s="69">
        <v>33.325091999999998</v>
      </c>
      <c r="D27" s="69">
        <v>33.672595999999999</v>
      </c>
      <c r="E27" s="69">
        <v>41.049843000000003</v>
      </c>
      <c r="F27" s="69">
        <v>50.015304999999998</v>
      </c>
      <c r="G27" s="69">
        <v>49.915249000000003</v>
      </c>
      <c r="H27" s="69">
        <v>49.839427999999998</v>
      </c>
      <c r="I27" s="69">
        <v>49.501094999999999</v>
      </c>
      <c r="J27" s="69">
        <v>49.126880999999997</v>
      </c>
      <c r="K27" s="69">
        <v>48.728306000000003</v>
      </c>
      <c r="M27" s="68"/>
      <c r="N27" s="70"/>
    </row>
    <row r="28" spans="1:14" ht="15" customHeight="1" x14ac:dyDescent="0.25">
      <c r="A28" s="5" t="s">
        <v>332</v>
      </c>
      <c r="B28" s="46" t="s">
        <v>333</v>
      </c>
      <c r="C28" s="69">
        <v>33.310161999999998</v>
      </c>
      <c r="D28" s="69">
        <v>34.549286000000002</v>
      </c>
      <c r="E28" s="69">
        <v>42.244033999999999</v>
      </c>
      <c r="F28" s="69">
        <v>51.844082</v>
      </c>
      <c r="G28" s="69">
        <v>51.698788</v>
      </c>
      <c r="H28" s="69">
        <v>51.568142000000002</v>
      </c>
      <c r="I28" s="69">
        <v>51.188473000000002</v>
      </c>
      <c r="J28" s="69">
        <v>50.816871999999996</v>
      </c>
      <c r="K28" s="69">
        <v>50.388244999999998</v>
      </c>
      <c r="M28" s="68"/>
      <c r="N28" s="70"/>
    </row>
    <row r="29" spans="1:14" ht="15" customHeight="1" x14ac:dyDescent="0.25">
      <c r="A29" s="5" t="s">
        <v>334</v>
      </c>
      <c r="B29" s="46" t="s">
        <v>335</v>
      </c>
      <c r="C29" s="69">
        <v>33.621997999999998</v>
      </c>
      <c r="D29" s="69">
        <v>33.864936999999998</v>
      </c>
      <c r="E29" s="69">
        <v>41.427726999999997</v>
      </c>
      <c r="F29" s="69">
        <v>50.288071000000002</v>
      </c>
      <c r="G29" s="69">
        <v>50.175246999999999</v>
      </c>
      <c r="H29" s="69">
        <v>50.001880999999997</v>
      </c>
      <c r="I29" s="69">
        <v>49.585845999999997</v>
      </c>
      <c r="J29" s="69">
        <v>49.191479000000001</v>
      </c>
      <c r="K29" s="69">
        <v>48.787109000000001</v>
      </c>
      <c r="M29" s="68"/>
      <c r="N29" s="70"/>
    </row>
    <row r="30" spans="1:14" ht="15" customHeight="1" x14ac:dyDescent="0.25">
      <c r="A30" s="5" t="s">
        <v>336</v>
      </c>
      <c r="B30" s="46" t="s">
        <v>337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M30" s="68"/>
      <c r="N30" s="70"/>
    </row>
    <row r="31" spans="1:14" ht="15" customHeight="1" x14ac:dyDescent="0.25">
      <c r="A31" s="5" t="s">
        <v>338</v>
      </c>
      <c r="B31" s="46" t="s">
        <v>339</v>
      </c>
      <c r="C31" s="69">
        <v>0</v>
      </c>
      <c r="D31" s="69">
        <v>52.181145000000001</v>
      </c>
      <c r="E31" s="69">
        <v>54.531342000000002</v>
      </c>
      <c r="F31" s="69">
        <v>58.182265999999998</v>
      </c>
      <c r="G31" s="69">
        <v>58.404175000000002</v>
      </c>
      <c r="H31" s="69">
        <v>58.462634999999999</v>
      </c>
      <c r="I31" s="69">
        <v>58.562168</v>
      </c>
      <c r="J31" s="69">
        <v>58.693649000000001</v>
      </c>
      <c r="K31" s="69">
        <v>58.799644000000001</v>
      </c>
      <c r="M31" s="68"/>
      <c r="N31" s="70"/>
    </row>
    <row r="32" spans="1:14" ht="15" customHeight="1" x14ac:dyDescent="0.25">
      <c r="M32" s="68"/>
      <c r="N32" s="68"/>
    </row>
    <row r="33" spans="1:14" ht="15" customHeight="1" x14ac:dyDescent="0.25">
      <c r="A33" s="5" t="s">
        <v>340</v>
      </c>
      <c r="B33" s="45" t="s">
        <v>341</v>
      </c>
      <c r="C33" s="71">
        <v>37.390011000000001</v>
      </c>
      <c r="D33" s="71">
        <v>38.763267999999997</v>
      </c>
      <c r="E33" s="71">
        <v>43.522030000000001</v>
      </c>
      <c r="F33" s="71">
        <v>54.055926999999997</v>
      </c>
      <c r="G33" s="71">
        <v>54.867835999999997</v>
      </c>
      <c r="H33" s="71">
        <v>56.773605000000003</v>
      </c>
      <c r="I33" s="71">
        <v>58.017147000000001</v>
      </c>
      <c r="J33" s="71">
        <v>58.640143999999999</v>
      </c>
      <c r="K33" s="71">
        <v>59.473419</v>
      </c>
      <c r="M33" s="67"/>
      <c r="N33" s="72"/>
    </row>
    <row r="34" spans="1:14" ht="15" customHeight="1" x14ac:dyDescent="0.25">
      <c r="M34" s="68"/>
      <c r="N34" s="68"/>
    </row>
    <row r="35" spans="1:14" ht="15" customHeight="1" x14ac:dyDescent="0.25">
      <c r="B35" s="45" t="s">
        <v>342</v>
      </c>
      <c r="M35" s="67"/>
      <c r="N35" s="68"/>
    </row>
    <row r="36" spans="1:14" ht="15" customHeight="1" x14ac:dyDescent="0.25">
      <c r="B36" s="45" t="s">
        <v>94</v>
      </c>
      <c r="M36" s="67"/>
      <c r="N36" s="68"/>
    </row>
    <row r="37" spans="1:14" ht="15" customHeight="1" x14ac:dyDescent="0.25">
      <c r="A37" s="5" t="s">
        <v>343</v>
      </c>
      <c r="B37" s="46" t="s">
        <v>308</v>
      </c>
      <c r="C37" s="69">
        <v>26.947384</v>
      </c>
      <c r="D37" s="69">
        <v>26.459157999999999</v>
      </c>
      <c r="E37" s="69">
        <v>30.697212</v>
      </c>
      <c r="F37" s="69">
        <v>37.945351000000002</v>
      </c>
      <c r="G37" s="69">
        <v>38.060775999999997</v>
      </c>
      <c r="H37" s="69">
        <v>37.991756000000002</v>
      </c>
      <c r="I37" s="69">
        <v>37.743504000000001</v>
      </c>
      <c r="J37" s="69">
        <v>37.516323</v>
      </c>
      <c r="K37" s="69">
        <v>37.279437999999999</v>
      </c>
      <c r="M37" s="68"/>
      <c r="N37" s="70"/>
    </row>
    <row r="38" spans="1:14" ht="15" customHeight="1" x14ac:dyDescent="0.25">
      <c r="A38" s="5" t="s">
        <v>344</v>
      </c>
      <c r="B38" s="46" t="s">
        <v>310</v>
      </c>
      <c r="C38" s="69">
        <v>34.307471999999997</v>
      </c>
      <c r="D38" s="69">
        <v>34.139296999999999</v>
      </c>
      <c r="E38" s="69">
        <v>37.637752999999996</v>
      </c>
      <c r="F38" s="69">
        <v>43.932316</v>
      </c>
      <c r="G38" s="69">
        <v>43.578102000000001</v>
      </c>
      <c r="H38" s="69">
        <v>43.30209</v>
      </c>
      <c r="I38" s="69">
        <v>42.896099</v>
      </c>
      <c r="J38" s="69">
        <v>42.586013999999999</v>
      </c>
      <c r="K38" s="69">
        <v>42.079143999999999</v>
      </c>
      <c r="M38" s="68"/>
      <c r="N38" s="70"/>
    </row>
    <row r="39" spans="1:14" ht="15" customHeight="1" x14ac:dyDescent="0.25">
      <c r="M39" s="68"/>
      <c r="N39" s="68"/>
    </row>
    <row r="40" spans="1:14" ht="15" customHeight="1" x14ac:dyDescent="0.25">
      <c r="B40" s="45" t="s">
        <v>345</v>
      </c>
      <c r="M40" s="67"/>
      <c r="N40" s="68"/>
    </row>
    <row r="41" spans="1:14" ht="15" customHeight="1" x14ac:dyDescent="0.25">
      <c r="A41" s="5" t="s">
        <v>346</v>
      </c>
      <c r="B41" s="46" t="s">
        <v>313</v>
      </c>
      <c r="C41" s="69">
        <v>27.264316999999998</v>
      </c>
      <c r="D41" s="69">
        <v>26.693085</v>
      </c>
      <c r="E41" s="69">
        <v>30.86261</v>
      </c>
      <c r="F41" s="69">
        <v>38.334999000000003</v>
      </c>
      <c r="G41" s="69">
        <v>38.449604000000001</v>
      </c>
      <c r="H41" s="69">
        <v>38.381934999999999</v>
      </c>
      <c r="I41" s="69">
        <v>38.125351000000002</v>
      </c>
      <c r="J41" s="69">
        <v>37.889862000000001</v>
      </c>
      <c r="K41" s="69">
        <v>37.651412999999998</v>
      </c>
      <c r="M41" s="68"/>
      <c r="N41" s="70"/>
    </row>
    <row r="42" spans="1:14" ht="15" customHeight="1" x14ac:dyDescent="0.25">
      <c r="A42" s="5" t="s">
        <v>347</v>
      </c>
      <c r="B42" s="46" t="s">
        <v>315</v>
      </c>
      <c r="C42" s="69">
        <v>123.766823</v>
      </c>
      <c r="D42" s="69">
        <v>71.180328000000003</v>
      </c>
      <c r="E42" s="69">
        <v>0</v>
      </c>
      <c r="F42" s="69">
        <v>89.040321000000006</v>
      </c>
      <c r="G42" s="69">
        <v>88.968329999999995</v>
      </c>
      <c r="H42" s="69">
        <v>89.138214000000005</v>
      </c>
      <c r="I42" s="69">
        <v>89.192093</v>
      </c>
      <c r="J42" s="69">
        <v>89.452399999999997</v>
      </c>
      <c r="K42" s="69">
        <v>89.989502000000002</v>
      </c>
      <c r="M42" s="68"/>
      <c r="N42" s="70"/>
    </row>
    <row r="43" spans="1:14" ht="15" customHeight="1" x14ac:dyDescent="0.25">
      <c r="A43" s="5" t="s">
        <v>348</v>
      </c>
      <c r="B43" s="46" t="s">
        <v>317</v>
      </c>
      <c r="C43" s="69">
        <v>0</v>
      </c>
      <c r="D43" s="69">
        <v>0</v>
      </c>
      <c r="E43" s="69">
        <v>104.85597199999999</v>
      </c>
      <c r="F43" s="69">
        <v>114.559189</v>
      </c>
      <c r="G43" s="69">
        <v>113.48865499999999</v>
      </c>
      <c r="H43" s="69">
        <v>112.898842</v>
      </c>
      <c r="I43" s="69">
        <v>112.674019</v>
      </c>
      <c r="J43" s="69">
        <v>112.635361</v>
      </c>
      <c r="K43" s="69">
        <v>112.70972399999999</v>
      </c>
      <c r="M43" s="68"/>
      <c r="N43" s="70"/>
    </row>
    <row r="44" spans="1:14" ht="15" customHeight="1" x14ac:dyDescent="0.25">
      <c r="A44" s="5" t="s">
        <v>349</v>
      </c>
      <c r="B44" s="46" t="s">
        <v>319</v>
      </c>
      <c r="C44" s="69"/>
      <c r="D44" s="69"/>
      <c r="E44" s="69">
        <v>90.565612999999999</v>
      </c>
      <c r="F44" s="69">
        <v>99.962753000000006</v>
      </c>
      <c r="G44" s="69">
        <v>99.907516000000001</v>
      </c>
      <c r="H44" s="69">
        <v>100.052986</v>
      </c>
      <c r="I44" s="69">
        <v>100.07530199999999</v>
      </c>
      <c r="J44" s="69">
        <v>100.12376399999999</v>
      </c>
      <c r="K44" s="69">
        <v>100.180229</v>
      </c>
      <c r="M44" s="68"/>
      <c r="N44" s="70"/>
    </row>
    <row r="45" spans="1:14" ht="15" customHeight="1" x14ac:dyDescent="0.25">
      <c r="A45" s="5" t="s">
        <v>350</v>
      </c>
      <c r="B45" s="46" t="s">
        <v>321</v>
      </c>
      <c r="C45" s="69">
        <v>0</v>
      </c>
      <c r="D45" s="69">
        <v>0</v>
      </c>
      <c r="E45" s="69">
        <v>46.874248999999999</v>
      </c>
      <c r="F45" s="69">
        <v>56.049453999999997</v>
      </c>
      <c r="G45" s="69">
        <v>56.473595000000003</v>
      </c>
      <c r="H45" s="69">
        <v>56.769736999999999</v>
      </c>
      <c r="I45" s="69">
        <v>57.293194</v>
      </c>
      <c r="J45" s="69">
        <v>58.108685000000001</v>
      </c>
      <c r="K45" s="69">
        <v>58.743637</v>
      </c>
      <c r="M45" s="68"/>
      <c r="N45" s="70"/>
    </row>
    <row r="46" spans="1:14" ht="15" customHeight="1" x14ac:dyDescent="0.25">
      <c r="A46" s="5" t="s">
        <v>351</v>
      </c>
      <c r="B46" s="46" t="s">
        <v>323</v>
      </c>
      <c r="C46" s="69">
        <v>0</v>
      </c>
      <c r="D46" s="69">
        <v>0</v>
      </c>
      <c r="E46" s="69">
        <v>54.805171999999999</v>
      </c>
      <c r="F46" s="69">
        <v>72.945267000000001</v>
      </c>
      <c r="G46" s="69">
        <v>78.287773000000001</v>
      </c>
      <c r="H46" s="69">
        <v>77.759345999999994</v>
      </c>
      <c r="I46" s="69">
        <v>77.441710999999998</v>
      </c>
      <c r="J46" s="69">
        <v>77.123801999999998</v>
      </c>
      <c r="K46" s="69">
        <v>76.701424000000003</v>
      </c>
      <c r="M46" s="68"/>
      <c r="N46" s="70"/>
    </row>
    <row r="47" spans="1:14" ht="15" customHeight="1" x14ac:dyDescent="0.25">
      <c r="A47" s="5" t="s">
        <v>352</v>
      </c>
      <c r="B47" s="46" t="s">
        <v>325</v>
      </c>
      <c r="C47" s="69">
        <v>0</v>
      </c>
      <c r="D47" s="69">
        <v>0</v>
      </c>
      <c r="E47" s="69">
        <v>0</v>
      </c>
      <c r="F47" s="69">
        <v>0</v>
      </c>
      <c r="G47" s="69">
        <v>58.466735999999997</v>
      </c>
      <c r="H47" s="69">
        <v>58.599491</v>
      </c>
      <c r="I47" s="69">
        <v>58.613171000000001</v>
      </c>
      <c r="J47" s="69">
        <v>58.483162</v>
      </c>
      <c r="K47" s="69">
        <v>58.338261000000003</v>
      </c>
      <c r="M47" s="68"/>
      <c r="N47" s="70"/>
    </row>
    <row r="48" spans="1:14" ht="15" customHeight="1" x14ac:dyDescent="0.25">
      <c r="A48" s="5" t="s">
        <v>353</v>
      </c>
      <c r="B48" s="46" t="s">
        <v>327</v>
      </c>
      <c r="C48" s="69">
        <v>39.538395000000001</v>
      </c>
      <c r="D48" s="69">
        <v>38.900272000000001</v>
      </c>
      <c r="E48" s="69">
        <v>43.998367000000002</v>
      </c>
      <c r="F48" s="69">
        <v>56.394413</v>
      </c>
      <c r="G48" s="69">
        <v>56.405994</v>
      </c>
      <c r="H48" s="69">
        <v>56.118426999999997</v>
      </c>
      <c r="I48" s="69">
        <v>55.812092</v>
      </c>
      <c r="J48" s="69">
        <v>55.470554</v>
      </c>
      <c r="K48" s="69">
        <v>55.126511000000001</v>
      </c>
      <c r="M48" s="68"/>
      <c r="N48" s="70"/>
    </row>
    <row r="49" spans="1:14" ht="15" customHeight="1" x14ac:dyDescent="0.25">
      <c r="A49" s="5" t="s">
        <v>354</v>
      </c>
      <c r="B49" s="46" t="s">
        <v>329</v>
      </c>
      <c r="C49" s="69">
        <v>28.454906000000001</v>
      </c>
      <c r="D49" s="69">
        <v>28.470386999999999</v>
      </c>
      <c r="E49" s="69">
        <v>31.693418999999999</v>
      </c>
      <c r="F49" s="69">
        <v>39.348323999999998</v>
      </c>
      <c r="G49" s="69">
        <v>39.496422000000003</v>
      </c>
      <c r="H49" s="69">
        <v>39.544272999999997</v>
      </c>
      <c r="I49" s="69">
        <v>39.301246999999996</v>
      </c>
      <c r="J49" s="69">
        <v>38.841166999999999</v>
      </c>
      <c r="K49" s="69">
        <v>38.332413000000003</v>
      </c>
      <c r="M49" s="68"/>
      <c r="N49" s="70"/>
    </row>
    <row r="50" spans="1:14" ht="15" customHeight="1" x14ac:dyDescent="0.25">
      <c r="A50" s="5" t="s">
        <v>355</v>
      </c>
      <c r="B50" s="46" t="s">
        <v>331</v>
      </c>
      <c r="C50" s="69">
        <v>26.400922999999999</v>
      </c>
      <c r="D50" s="69">
        <v>25.689427999999999</v>
      </c>
      <c r="E50" s="69">
        <v>29.485106999999999</v>
      </c>
      <c r="F50" s="69">
        <v>36.396458000000003</v>
      </c>
      <c r="G50" s="69">
        <v>36.579791999999998</v>
      </c>
      <c r="H50" s="69">
        <v>36.572701000000002</v>
      </c>
      <c r="I50" s="69">
        <v>36.359256999999999</v>
      </c>
      <c r="J50" s="69">
        <v>36.166904000000002</v>
      </c>
      <c r="K50" s="69">
        <v>35.966858000000002</v>
      </c>
      <c r="M50" s="68"/>
      <c r="N50" s="70"/>
    </row>
    <row r="51" spans="1:14" ht="15" customHeight="1" x14ac:dyDescent="0.25">
      <c r="A51" s="5" t="s">
        <v>356</v>
      </c>
      <c r="B51" s="46" t="s">
        <v>333</v>
      </c>
      <c r="C51" s="69">
        <v>27.499689</v>
      </c>
      <c r="D51" s="69">
        <v>26.752613</v>
      </c>
      <c r="E51" s="69">
        <v>30.409800000000001</v>
      </c>
      <c r="F51" s="69">
        <v>38.122672999999999</v>
      </c>
      <c r="G51" s="69">
        <v>38.1828</v>
      </c>
      <c r="H51" s="69">
        <v>38.092030000000001</v>
      </c>
      <c r="I51" s="69">
        <v>37.741672999999999</v>
      </c>
      <c r="J51" s="69">
        <v>37.388966000000003</v>
      </c>
      <c r="K51" s="69">
        <v>37.008408000000003</v>
      </c>
      <c r="M51" s="68"/>
      <c r="N51" s="70"/>
    </row>
    <row r="52" spans="1:14" ht="15" customHeight="1" x14ac:dyDescent="0.25">
      <c r="A52" s="5" t="s">
        <v>357</v>
      </c>
      <c r="B52" s="46" t="s">
        <v>335</v>
      </c>
      <c r="C52" s="69">
        <v>26.333157</v>
      </c>
      <c r="D52" s="69">
        <v>25.718533000000001</v>
      </c>
      <c r="E52" s="69">
        <v>29.438535999999999</v>
      </c>
      <c r="F52" s="69">
        <v>36.322006000000002</v>
      </c>
      <c r="G52" s="69">
        <v>36.519489</v>
      </c>
      <c r="H52" s="69">
        <v>36.532322000000001</v>
      </c>
      <c r="I52" s="69">
        <v>36.348712999999996</v>
      </c>
      <c r="J52" s="69">
        <v>36.190055999999998</v>
      </c>
      <c r="K52" s="69">
        <v>35.984237999999998</v>
      </c>
      <c r="M52" s="68"/>
      <c r="N52" s="70"/>
    </row>
    <row r="53" spans="1:14" ht="15" customHeight="1" x14ac:dyDescent="0.25">
      <c r="A53" s="5" t="s">
        <v>358</v>
      </c>
      <c r="B53" s="46" t="s">
        <v>337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M53" s="68"/>
      <c r="N53" s="70"/>
    </row>
    <row r="54" spans="1:14" ht="15" customHeight="1" x14ac:dyDescent="0.25">
      <c r="A54" s="5" t="s">
        <v>359</v>
      </c>
      <c r="B54" s="46" t="s">
        <v>339</v>
      </c>
      <c r="C54" s="69">
        <v>0</v>
      </c>
      <c r="D54" s="69">
        <v>29.482040000000001</v>
      </c>
      <c r="E54" s="69">
        <v>40.213120000000004</v>
      </c>
      <c r="F54" s="69">
        <v>46.124729000000002</v>
      </c>
      <c r="G54" s="69">
        <v>45.874203000000001</v>
      </c>
      <c r="H54" s="69">
        <v>46.073616000000001</v>
      </c>
      <c r="I54" s="69">
        <v>46.653416</v>
      </c>
      <c r="J54" s="69">
        <v>47.330630999999997</v>
      </c>
      <c r="K54" s="69">
        <v>47.816906000000003</v>
      </c>
      <c r="M54" s="68"/>
      <c r="N54" s="70"/>
    </row>
    <row r="55" spans="1:14" ht="15" customHeight="1" x14ac:dyDescent="0.25">
      <c r="M55" s="68"/>
      <c r="N55" s="68"/>
    </row>
    <row r="56" spans="1:14" ht="15" customHeight="1" x14ac:dyDescent="0.25">
      <c r="A56" s="5" t="s">
        <v>360</v>
      </c>
      <c r="B56" s="45" t="s">
        <v>361</v>
      </c>
      <c r="C56" s="71">
        <v>28.493435000000002</v>
      </c>
      <c r="D56" s="71">
        <v>27.561610999999999</v>
      </c>
      <c r="E56" s="71">
        <v>31.753515</v>
      </c>
      <c r="F56" s="71">
        <v>39.318004999999999</v>
      </c>
      <c r="G56" s="71">
        <v>39.782550999999998</v>
      </c>
      <c r="H56" s="71">
        <v>40.073483000000003</v>
      </c>
      <c r="I56" s="71">
        <v>40.148269999999997</v>
      </c>
      <c r="J56" s="71">
        <v>40.123493000000003</v>
      </c>
      <c r="K56" s="71">
        <v>40.133167</v>
      </c>
      <c r="M56" s="67"/>
      <c r="N56" s="72"/>
    </row>
    <row r="57" spans="1:14" ht="15" customHeight="1" x14ac:dyDescent="0.25">
      <c r="M57" s="68"/>
      <c r="N57" s="68"/>
    </row>
    <row r="58" spans="1:14" ht="15" customHeight="1" x14ac:dyDescent="0.25">
      <c r="A58" s="5" t="s">
        <v>362</v>
      </c>
      <c r="B58" s="45" t="s">
        <v>363</v>
      </c>
      <c r="C58" s="71">
        <v>32.634953000000003</v>
      </c>
      <c r="D58" s="71">
        <v>31.873632000000001</v>
      </c>
      <c r="E58" s="71">
        <v>36.331470000000003</v>
      </c>
      <c r="F58" s="71">
        <v>44.890605999999998</v>
      </c>
      <c r="G58" s="71">
        <v>45.923031000000002</v>
      </c>
      <c r="H58" s="71">
        <v>47.295375999999997</v>
      </c>
      <c r="I58" s="71">
        <v>48.103489000000003</v>
      </c>
      <c r="J58" s="71">
        <v>48.568671999999999</v>
      </c>
      <c r="K58" s="71">
        <v>49.035964999999997</v>
      </c>
      <c r="M58" s="67"/>
      <c r="N58" s="72"/>
    </row>
    <row r="59" spans="1:14" ht="15" customHeight="1" x14ac:dyDescent="0.25">
      <c r="M59" s="68"/>
      <c r="N59" s="68"/>
    </row>
    <row r="60" spans="1:14" ht="15" customHeight="1" x14ac:dyDescent="0.25">
      <c r="A60" s="5" t="s">
        <v>364</v>
      </c>
      <c r="B60" s="46" t="s">
        <v>365</v>
      </c>
      <c r="C60" s="69">
        <v>23.590111</v>
      </c>
      <c r="D60" s="69">
        <v>26.180325</v>
      </c>
      <c r="E60" s="69">
        <v>28.831026000000001</v>
      </c>
      <c r="F60" s="69">
        <v>32.337795</v>
      </c>
      <c r="G60" s="69">
        <v>36.173859</v>
      </c>
      <c r="H60" s="69">
        <v>39.511662000000001</v>
      </c>
      <c r="I60" s="69">
        <v>41.812854999999999</v>
      </c>
      <c r="J60" s="69">
        <v>42.965637000000001</v>
      </c>
      <c r="K60" s="69">
        <v>43.576839</v>
      </c>
      <c r="M60" s="68"/>
      <c r="N60" s="70"/>
    </row>
    <row r="61" spans="1:14" ht="15" customHeight="1" x14ac:dyDescent="0.25">
      <c r="A61" s="5" t="s">
        <v>366</v>
      </c>
      <c r="B61" s="46" t="s">
        <v>367</v>
      </c>
      <c r="C61" s="69">
        <v>17.522884000000001</v>
      </c>
      <c r="D61" s="69">
        <v>18.810220999999999</v>
      </c>
      <c r="E61" s="69">
        <v>20.908064</v>
      </c>
      <c r="F61" s="69">
        <v>24.005476000000002</v>
      </c>
      <c r="G61" s="69">
        <v>26.999676000000001</v>
      </c>
      <c r="H61" s="69">
        <v>29.095184</v>
      </c>
      <c r="I61" s="69">
        <v>30.426880000000001</v>
      </c>
      <c r="J61" s="69">
        <v>31.161104000000002</v>
      </c>
      <c r="K61" s="69">
        <v>31.551922000000001</v>
      </c>
      <c r="M61" s="68"/>
      <c r="N61" s="70"/>
    </row>
    <row r="62" spans="1:14" ht="15" customHeight="1" x14ac:dyDescent="0.25">
      <c r="M62" s="68"/>
      <c r="N62" s="68"/>
    </row>
    <row r="63" spans="1:14" ht="15" customHeight="1" x14ac:dyDescent="0.25">
      <c r="A63" s="5" t="s">
        <v>368</v>
      </c>
      <c r="B63" s="46" t="s">
        <v>369</v>
      </c>
      <c r="C63" s="69">
        <v>20.562930999999999</v>
      </c>
      <c r="D63" s="69">
        <v>21.843988</v>
      </c>
      <c r="E63" s="69">
        <v>24.306699999999999</v>
      </c>
      <c r="F63" s="69">
        <v>27.438921000000001</v>
      </c>
      <c r="G63" s="69">
        <v>30.666443000000001</v>
      </c>
      <c r="H63" s="69">
        <v>33.250244000000002</v>
      </c>
      <c r="I63" s="69">
        <v>35.102505000000001</v>
      </c>
      <c r="J63" s="69">
        <v>36.204796000000002</v>
      </c>
      <c r="K63" s="69">
        <v>36.863723999999998</v>
      </c>
      <c r="M63" s="68"/>
      <c r="N63" s="70"/>
    </row>
    <row r="64" spans="1:14" ht="15" customHeight="1" x14ac:dyDescent="0.25"/>
    <row r="65" spans="1:11" ht="15" customHeight="1" x14ac:dyDescent="0.25"/>
    <row r="66" spans="1:11" ht="15" customHeight="1" x14ac:dyDescent="0.25">
      <c r="A66" s="5" t="s">
        <v>370</v>
      </c>
      <c r="B66" s="46" t="s">
        <v>371</v>
      </c>
      <c r="E66" s="69">
        <v>33.650863999999999</v>
      </c>
      <c r="F66" s="69">
        <v>40.743183000000002</v>
      </c>
      <c r="G66" s="69">
        <v>41.616318</v>
      </c>
      <c r="H66" s="69">
        <v>42.443111000000002</v>
      </c>
      <c r="I66" s="69">
        <v>42.865616000000003</v>
      </c>
      <c r="J66" s="69">
        <v>43.098072000000002</v>
      </c>
      <c r="K66" s="69">
        <v>43.422623000000002</v>
      </c>
    </row>
    <row r="67" spans="1:11" ht="15" customHeight="1" x14ac:dyDescent="0.25">
      <c r="E67" s="57"/>
      <c r="F67" s="57"/>
      <c r="G67" s="57"/>
      <c r="H67" s="57"/>
      <c r="I67" s="57"/>
      <c r="J67" s="57"/>
      <c r="K67" s="57"/>
    </row>
    <row r="68" spans="1:11" ht="15" customHeight="1" x14ac:dyDescent="0.25">
      <c r="A68" s="5" t="s">
        <v>372</v>
      </c>
      <c r="B68" s="46" t="s">
        <v>369</v>
      </c>
      <c r="C68" s="73">
        <f>C63*(1+E69)</f>
        <v>20.088326400893457</v>
      </c>
      <c r="D68" s="73">
        <f>D63*(1+E69)</f>
        <v>21.339815848295164</v>
      </c>
      <c r="E68" s="69">
        <v>23.745687</v>
      </c>
      <c r="F68" s="69">
        <v>26.696793</v>
      </c>
      <c r="G68" s="69">
        <v>29.705197999999999</v>
      </c>
      <c r="H68" s="69">
        <v>32.067428999999997</v>
      </c>
      <c r="I68" s="69">
        <v>33.720768</v>
      </c>
      <c r="J68" s="69">
        <v>34.668689999999998</v>
      </c>
      <c r="K68" s="69">
        <v>35.230956999999997</v>
      </c>
    </row>
    <row r="69" spans="1:11" ht="15" customHeight="1" thickBot="1" x14ac:dyDescent="0.3">
      <c r="E69" s="74">
        <f>(E68-E63)/E63</f>
        <v>-2.3080590948174745E-2</v>
      </c>
      <c r="F69" s="74">
        <f t="shared" ref="F69:K69" si="0">(F68-F63)/F63</f>
        <v>-2.7046544578046672E-2</v>
      </c>
      <c r="G69" s="74">
        <f t="shared" si="0"/>
        <v>-3.1345174267521071E-2</v>
      </c>
      <c r="H69" s="74">
        <f t="shared" si="0"/>
        <v>-3.5573122410771027E-2</v>
      </c>
      <c r="I69" s="74">
        <f t="shared" si="0"/>
        <v>-3.9362917261887752E-2</v>
      </c>
      <c r="J69" s="74">
        <f t="shared" si="0"/>
        <v>-4.2428246246712827E-2</v>
      </c>
      <c r="K69" s="74">
        <f t="shared" si="0"/>
        <v>-4.4291971152995865E-2</v>
      </c>
    </row>
    <row r="70" spans="1:11" ht="15" customHeight="1" x14ac:dyDescent="0.25">
      <c r="B70" s="90" t="s">
        <v>373</v>
      </c>
      <c r="C70" s="90"/>
      <c r="D70" s="90"/>
      <c r="E70" s="90"/>
      <c r="F70" s="90"/>
      <c r="G70" s="90"/>
      <c r="H70" s="90"/>
      <c r="I70" s="90"/>
      <c r="J70" s="90"/>
      <c r="K70" s="90"/>
    </row>
    <row r="71" spans="1:11" ht="15" customHeight="1" x14ac:dyDescent="0.25">
      <c r="B71" s="32" t="s">
        <v>374</v>
      </c>
    </row>
    <row r="72" spans="1:11" ht="15" customHeight="1" x14ac:dyDescent="0.25">
      <c r="B72" s="32" t="s">
        <v>375</v>
      </c>
    </row>
    <row r="73" spans="1:11" ht="15" customHeight="1" x14ac:dyDescent="0.25">
      <c r="B73" s="32" t="s">
        <v>376</v>
      </c>
    </row>
    <row r="74" spans="1:11" ht="15" customHeight="1" x14ac:dyDescent="0.25">
      <c r="B74" s="32" t="s">
        <v>377</v>
      </c>
    </row>
    <row r="75" spans="1:11" ht="15" customHeight="1" x14ac:dyDescent="0.25">
      <c r="B75" s="32"/>
    </row>
    <row r="76" spans="1:11" ht="15" customHeight="1" x14ac:dyDescent="0.25"/>
    <row r="77" spans="1:11" ht="15" customHeight="1" x14ac:dyDescent="0.25"/>
    <row r="78" spans="1:11" ht="15" customHeight="1" x14ac:dyDescent="0.25"/>
    <row r="79" spans="1:11" ht="15" customHeight="1" x14ac:dyDescent="0.25"/>
    <row r="80" spans="1:1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  <row r="3967" ht="15" customHeight="1" x14ac:dyDescent="0.25"/>
    <row r="3968" ht="15" customHeight="1" x14ac:dyDescent="0.25"/>
    <row r="3969" ht="15" customHeight="1" x14ac:dyDescent="0.25"/>
    <row r="3970" ht="15" customHeight="1" x14ac:dyDescent="0.25"/>
    <row r="3971" ht="15" customHeight="1" x14ac:dyDescent="0.25"/>
    <row r="3972" ht="15" customHeight="1" x14ac:dyDescent="0.25"/>
    <row r="3973" ht="15" customHeight="1" x14ac:dyDescent="0.25"/>
    <row r="3974" ht="15" customHeight="1" x14ac:dyDescent="0.25"/>
    <row r="3975" ht="15" customHeight="1" x14ac:dyDescent="0.25"/>
    <row r="3976" ht="15" customHeight="1" x14ac:dyDescent="0.25"/>
    <row r="3977" ht="15" customHeight="1" x14ac:dyDescent="0.25"/>
    <row r="3978" ht="15" customHeight="1" x14ac:dyDescent="0.25"/>
    <row r="3979" ht="15" customHeight="1" x14ac:dyDescent="0.25"/>
    <row r="3980" ht="15" customHeight="1" x14ac:dyDescent="0.25"/>
    <row r="3981" ht="15" customHeight="1" x14ac:dyDescent="0.25"/>
    <row r="3982" ht="15" customHeight="1" x14ac:dyDescent="0.25"/>
    <row r="3983" ht="15" customHeight="1" x14ac:dyDescent="0.25"/>
    <row r="3984" ht="15" customHeight="1" x14ac:dyDescent="0.25"/>
    <row r="3985" ht="15" customHeight="1" x14ac:dyDescent="0.25"/>
    <row r="3986" ht="15" customHeight="1" x14ac:dyDescent="0.25"/>
    <row r="3987" ht="15" customHeight="1" x14ac:dyDescent="0.25"/>
    <row r="3988" ht="15" customHeight="1" x14ac:dyDescent="0.25"/>
    <row r="3989" ht="15" customHeight="1" x14ac:dyDescent="0.25"/>
    <row r="3990" ht="15" customHeight="1" x14ac:dyDescent="0.25"/>
    <row r="3991" ht="15" customHeight="1" x14ac:dyDescent="0.25"/>
    <row r="3992" ht="15" customHeight="1" x14ac:dyDescent="0.25"/>
    <row r="3993" ht="15" customHeight="1" x14ac:dyDescent="0.25"/>
    <row r="3994" ht="15" customHeight="1" x14ac:dyDescent="0.25"/>
    <row r="3995" ht="15" customHeight="1" x14ac:dyDescent="0.25"/>
    <row r="3996" ht="15" customHeight="1" x14ac:dyDescent="0.25"/>
    <row r="3997" ht="15" customHeight="1" x14ac:dyDescent="0.25"/>
    <row r="3998" ht="15" customHeight="1" x14ac:dyDescent="0.25"/>
    <row r="3999" ht="15" customHeight="1" x14ac:dyDescent="0.25"/>
    <row r="4000" ht="15" customHeight="1" x14ac:dyDescent="0.25"/>
    <row r="4001" ht="15" customHeight="1" x14ac:dyDescent="0.25"/>
    <row r="4002" ht="15" customHeight="1" x14ac:dyDescent="0.25"/>
    <row r="4003" ht="15" customHeight="1" x14ac:dyDescent="0.25"/>
    <row r="4004" ht="15" customHeight="1" x14ac:dyDescent="0.25"/>
    <row r="4005" ht="15" customHeight="1" x14ac:dyDescent="0.25"/>
    <row r="4006" ht="15" customHeight="1" x14ac:dyDescent="0.25"/>
    <row r="4007" ht="15" customHeight="1" x14ac:dyDescent="0.25"/>
    <row r="4008" ht="15" customHeight="1" x14ac:dyDescent="0.25"/>
    <row r="4009" ht="15" customHeight="1" x14ac:dyDescent="0.25"/>
    <row r="4010" ht="15" customHeight="1" x14ac:dyDescent="0.25"/>
    <row r="4011" ht="15" customHeight="1" x14ac:dyDescent="0.25"/>
    <row r="4012" ht="15" customHeight="1" x14ac:dyDescent="0.25"/>
    <row r="4013" ht="15" customHeight="1" x14ac:dyDescent="0.25"/>
    <row r="4014" ht="15" customHeight="1" x14ac:dyDescent="0.25"/>
    <row r="4015" ht="15" customHeight="1" x14ac:dyDescent="0.25"/>
    <row r="4016" ht="15" customHeight="1" x14ac:dyDescent="0.25"/>
    <row r="4017" ht="15" customHeight="1" x14ac:dyDescent="0.25"/>
    <row r="4018" ht="15" customHeight="1" x14ac:dyDescent="0.25"/>
    <row r="4019" ht="15" customHeight="1" x14ac:dyDescent="0.25"/>
    <row r="4020" ht="15" customHeight="1" x14ac:dyDescent="0.25"/>
    <row r="4021" ht="15" customHeight="1" x14ac:dyDescent="0.25"/>
    <row r="4022" ht="15" customHeight="1" x14ac:dyDescent="0.25"/>
    <row r="4023" ht="15" customHeight="1" x14ac:dyDescent="0.25"/>
    <row r="4024" ht="15" customHeight="1" x14ac:dyDescent="0.25"/>
    <row r="4025" ht="15" customHeight="1" x14ac:dyDescent="0.25"/>
    <row r="4026" ht="15" customHeight="1" x14ac:dyDescent="0.25"/>
    <row r="4027" ht="15" customHeight="1" x14ac:dyDescent="0.25"/>
    <row r="4028" ht="15" customHeight="1" x14ac:dyDescent="0.25"/>
    <row r="4029" ht="15" customHeight="1" x14ac:dyDescent="0.25"/>
    <row r="4030" ht="15" customHeight="1" x14ac:dyDescent="0.25"/>
    <row r="4031" ht="15" customHeight="1" x14ac:dyDescent="0.25"/>
    <row r="4032" ht="15" customHeight="1" x14ac:dyDescent="0.25"/>
    <row r="4033" ht="15" customHeight="1" x14ac:dyDescent="0.25"/>
    <row r="4034" ht="15" customHeight="1" x14ac:dyDescent="0.25"/>
    <row r="4035" ht="15" customHeight="1" x14ac:dyDescent="0.25"/>
    <row r="4036" ht="15" customHeight="1" x14ac:dyDescent="0.25"/>
    <row r="4037" ht="15" customHeight="1" x14ac:dyDescent="0.25"/>
    <row r="4038" ht="15" customHeight="1" x14ac:dyDescent="0.25"/>
    <row r="4039" ht="15" customHeight="1" x14ac:dyDescent="0.25"/>
    <row r="4040" ht="15" customHeight="1" x14ac:dyDescent="0.25"/>
    <row r="4041" ht="15" customHeight="1" x14ac:dyDescent="0.25"/>
    <row r="4042" ht="15" customHeight="1" x14ac:dyDescent="0.25"/>
    <row r="4043" ht="15" customHeight="1" x14ac:dyDescent="0.25"/>
    <row r="4044" ht="15" customHeight="1" x14ac:dyDescent="0.25"/>
    <row r="4045" ht="15" customHeight="1" x14ac:dyDescent="0.25"/>
    <row r="4046" ht="15" customHeight="1" x14ac:dyDescent="0.25"/>
    <row r="4047" ht="15" customHeight="1" x14ac:dyDescent="0.25"/>
    <row r="4048" ht="15" customHeight="1" x14ac:dyDescent="0.25"/>
    <row r="4049" ht="15" customHeight="1" x14ac:dyDescent="0.25"/>
    <row r="4050" ht="15" customHeight="1" x14ac:dyDescent="0.25"/>
    <row r="4051" ht="15" customHeight="1" x14ac:dyDescent="0.25"/>
    <row r="4052" ht="15" customHeight="1" x14ac:dyDescent="0.25"/>
    <row r="4053" ht="15" customHeight="1" x14ac:dyDescent="0.25"/>
    <row r="4054" ht="15" customHeight="1" x14ac:dyDescent="0.25"/>
    <row r="4055" ht="15" customHeight="1" x14ac:dyDescent="0.25"/>
    <row r="4056" ht="15" customHeight="1" x14ac:dyDescent="0.25"/>
    <row r="4057" ht="15" customHeight="1" x14ac:dyDescent="0.25"/>
    <row r="4058" ht="15" customHeight="1" x14ac:dyDescent="0.25"/>
    <row r="4059" ht="15" customHeight="1" x14ac:dyDescent="0.25"/>
    <row r="4060" ht="15" customHeight="1" x14ac:dyDescent="0.25"/>
    <row r="4061" ht="15" customHeight="1" x14ac:dyDescent="0.25"/>
    <row r="4062" ht="15" customHeight="1" x14ac:dyDescent="0.25"/>
    <row r="4063" ht="15" customHeight="1" x14ac:dyDescent="0.25"/>
    <row r="4064" ht="15" customHeight="1" x14ac:dyDescent="0.25"/>
    <row r="4065" ht="15" customHeight="1" x14ac:dyDescent="0.25"/>
    <row r="4066" ht="15" customHeight="1" x14ac:dyDescent="0.25"/>
    <row r="4067" ht="15" customHeight="1" x14ac:dyDescent="0.25"/>
    <row r="4068" ht="15" customHeight="1" x14ac:dyDescent="0.25"/>
    <row r="4069" ht="15" customHeight="1" x14ac:dyDescent="0.25"/>
    <row r="4070" ht="15" customHeight="1" x14ac:dyDescent="0.25"/>
    <row r="4071" ht="15" customHeight="1" x14ac:dyDescent="0.25"/>
    <row r="4072" ht="15" customHeight="1" x14ac:dyDescent="0.25"/>
    <row r="4073" ht="15" customHeight="1" x14ac:dyDescent="0.25"/>
    <row r="4074" ht="15" customHeight="1" x14ac:dyDescent="0.25"/>
    <row r="4075" ht="15" customHeight="1" x14ac:dyDescent="0.25"/>
    <row r="4076" ht="15" customHeight="1" x14ac:dyDescent="0.25"/>
    <row r="4077" ht="15" customHeight="1" x14ac:dyDescent="0.25"/>
    <row r="4078" ht="15" customHeight="1" x14ac:dyDescent="0.25"/>
    <row r="4079" ht="15" customHeight="1" x14ac:dyDescent="0.25"/>
    <row r="4080" ht="15" customHeight="1" x14ac:dyDescent="0.25"/>
    <row r="4081" ht="15" customHeight="1" x14ac:dyDescent="0.25"/>
    <row r="4082" ht="15" customHeight="1" x14ac:dyDescent="0.25"/>
    <row r="4083" ht="15" customHeight="1" x14ac:dyDescent="0.25"/>
    <row r="4084" ht="15" customHeight="1" x14ac:dyDescent="0.25"/>
    <row r="4085" ht="15" customHeight="1" x14ac:dyDescent="0.25"/>
    <row r="4086" ht="15" customHeight="1" x14ac:dyDescent="0.25"/>
    <row r="4087" ht="15" customHeight="1" x14ac:dyDescent="0.25"/>
    <row r="4088" ht="15" customHeight="1" x14ac:dyDescent="0.25"/>
    <row r="4089" ht="15" customHeight="1" x14ac:dyDescent="0.25"/>
    <row r="4090" ht="15" customHeight="1" x14ac:dyDescent="0.25"/>
    <row r="4091" ht="15" customHeight="1" x14ac:dyDescent="0.25"/>
    <row r="4092" ht="15" customHeight="1" x14ac:dyDescent="0.25"/>
    <row r="4093" ht="15" customHeight="1" x14ac:dyDescent="0.25"/>
    <row r="4094" ht="15" customHeight="1" x14ac:dyDescent="0.25"/>
    <row r="4095" ht="15" customHeight="1" x14ac:dyDescent="0.25"/>
    <row r="4096" ht="15" customHeight="1" x14ac:dyDescent="0.25"/>
    <row r="4097" ht="15" customHeight="1" x14ac:dyDescent="0.25"/>
    <row r="4098" ht="15" customHeight="1" x14ac:dyDescent="0.25"/>
    <row r="4099" ht="15" customHeight="1" x14ac:dyDescent="0.25"/>
    <row r="4100" ht="15" customHeight="1" x14ac:dyDescent="0.25"/>
    <row r="4101" ht="15" customHeight="1" x14ac:dyDescent="0.25"/>
    <row r="4102" ht="15" customHeight="1" x14ac:dyDescent="0.25"/>
    <row r="4103" ht="15" customHeight="1" x14ac:dyDescent="0.25"/>
    <row r="4104" ht="15" customHeight="1" x14ac:dyDescent="0.25"/>
    <row r="4105" ht="15" customHeight="1" x14ac:dyDescent="0.25"/>
    <row r="4106" ht="15" customHeight="1" x14ac:dyDescent="0.25"/>
    <row r="4107" ht="15" customHeight="1" x14ac:dyDescent="0.25"/>
    <row r="4108" ht="15" customHeight="1" x14ac:dyDescent="0.25"/>
    <row r="4109" ht="15" customHeight="1" x14ac:dyDescent="0.25"/>
    <row r="4110" ht="15" customHeight="1" x14ac:dyDescent="0.25"/>
    <row r="4111" ht="15" customHeight="1" x14ac:dyDescent="0.25"/>
    <row r="4112" ht="15" customHeight="1" x14ac:dyDescent="0.25"/>
    <row r="4113" ht="15" customHeight="1" x14ac:dyDescent="0.25"/>
    <row r="4114" ht="15" customHeight="1" x14ac:dyDescent="0.25"/>
    <row r="4115" ht="15" customHeight="1" x14ac:dyDescent="0.25"/>
    <row r="4116" ht="15" customHeight="1" x14ac:dyDescent="0.25"/>
    <row r="4117" ht="15" customHeight="1" x14ac:dyDescent="0.25"/>
    <row r="4118" ht="15" customHeight="1" x14ac:dyDescent="0.25"/>
    <row r="4119" ht="15" customHeight="1" x14ac:dyDescent="0.25"/>
    <row r="4120" ht="15" customHeight="1" x14ac:dyDescent="0.25"/>
    <row r="4121" ht="15" customHeight="1" x14ac:dyDescent="0.25"/>
    <row r="4122" ht="15" customHeight="1" x14ac:dyDescent="0.25"/>
    <row r="4123" ht="15" customHeight="1" x14ac:dyDescent="0.25"/>
    <row r="4124" ht="15" customHeight="1" x14ac:dyDescent="0.25"/>
    <row r="4125" ht="15" customHeight="1" x14ac:dyDescent="0.25"/>
    <row r="4126" ht="15" customHeight="1" x14ac:dyDescent="0.25"/>
    <row r="4127" ht="15" customHeight="1" x14ac:dyDescent="0.25"/>
    <row r="4128" ht="15" customHeight="1" x14ac:dyDescent="0.25"/>
    <row r="4129" ht="15" customHeight="1" x14ac:dyDescent="0.25"/>
    <row r="4130" ht="15" customHeight="1" x14ac:dyDescent="0.25"/>
    <row r="4131" ht="15" customHeight="1" x14ac:dyDescent="0.25"/>
    <row r="4132" ht="15" customHeight="1" x14ac:dyDescent="0.25"/>
    <row r="4133" ht="15" customHeight="1" x14ac:dyDescent="0.25"/>
    <row r="4134" ht="15" customHeight="1" x14ac:dyDescent="0.25"/>
    <row r="4135" ht="15" customHeight="1" x14ac:dyDescent="0.25"/>
    <row r="4136" ht="15" customHeight="1" x14ac:dyDescent="0.25"/>
    <row r="4137" ht="15" customHeight="1" x14ac:dyDescent="0.25"/>
    <row r="4138" ht="15" customHeight="1" x14ac:dyDescent="0.25"/>
    <row r="4139" ht="15" customHeight="1" x14ac:dyDescent="0.25"/>
    <row r="4140" ht="15" customHeight="1" x14ac:dyDescent="0.25"/>
    <row r="4141" ht="15" customHeight="1" x14ac:dyDescent="0.25"/>
    <row r="4142" ht="15" customHeight="1" x14ac:dyDescent="0.25"/>
    <row r="4143" ht="15" customHeight="1" x14ac:dyDescent="0.25"/>
    <row r="4144" ht="15" customHeight="1" x14ac:dyDescent="0.25"/>
    <row r="4145" ht="15" customHeight="1" x14ac:dyDescent="0.25"/>
    <row r="4146" ht="15" customHeight="1" x14ac:dyDescent="0.25"/>
    <row r="4147" ht="15" customHeight="1" x14ac:dyDescent="0.25"/>
    <row r="4148" ht="15" customHeight="1" x14ac:dyDescent="0.25"/>
    <row r="4149" ht="15" customHeight="1" x14ac:dyDescent="0.25"/>
    <row r="4150" ht="15" customHeight="1" x14ac:dyDescent="0.25"/>
    <row r="4151" ht="15" customHeight="1" x14ac:dyDescent="0.25"/>
    <row r="4152" ht="15" customHeight="1" x14ac:dyDescent="0.25"/>
    <row r="4153" ht="15" customHeight="1" x14ac:dyDescent="0.25"/>
    <row r="4154" ht="15" customHeight="1" x14ac:dyDescent="0.25"/>
    <row r="4155" ht="15" customHeight="1" x14ac:dyDescent="0.25"/>
    <row r="4156" ht="15" customHeight="1" x14ac:dyDescent="0.25"/>
    <row r="4157" ht="15" customHeight="1" x14ac:dyDescent="0.25"/>
    <row r="4158" ht="15" customHeight="1" x14ac:dyDescent="0.25"/>
    <row r="4159" ht="15" customHeight="1" x14ac:dyDescent="0.25"/>
    <row r="4160" ht="15" customHeight="1" x14ac:dyDescent="0.25"/>
    <row r="4161" ht="15" customHeight="1" x14ac:dyDescent="0.25"/>
    <row r="4162" ht="15" customHeight="1" x14ac:dyDescent="0.25"/>
    <row r="4163" ht="15" customHeight="1" x14ac:dyDescent="0.25"/>
    <row r="4164" ht="15" customHeight="1" x14ac:dyDescent="0.25"/>
    <row r="4165" ht="15" customHeight="1" x14ac:dyDescent="0.25"/>
    <row r="4166" ht="15" customHeight="1" x14ac:dyDescent="0.25"/>
    <row r="4167" ht="15" customHeight="1" x14ac:dyDescent="0.25"/>
    <row r="4168" ht="15" customHeight="1" x14ac:dyDescent="0.25"/>
    <row r="4169" ht="15" customHeight="1" x14ac:dyDescent="0.25"/>
    <row r="4170" ht="15" customHeight="1" x14ac:dyDescent="0.25"/>
    <row r="4171" ht="15" customHeight="1" x14ac:dyDescent="0.25"/>
    <row r="4172" ht="15" customHeight="1" x14ac:dyDescent="0.25"/>
    <row r="4173" ht="15" customHeight="1" x14ac:dyDescent="0.25"/>
    <row r="4174" ht="15" customHeight="1" x14ac:dyDescent="0.25"/>
    <row r="4175" ht="15" customHeight="1" x14ac:dyDescent="0.25"/>
    <row r="4176" ht="15" customHeight="1" x14ac:dyDescent="0.25"/>
    <row r="4177" ht="15" customHeight="1" x14ac:dyDescent="0.25"/>
    <row r="4178" ht="15" customHeight="1" x14ac:dyDescent="0.25"/>
    <row r="4179" ht="15" customHeight="1" x14ac:dyDescent="0.25"/>
    <row r="4180" ht="15" customHeight="1" x14ac:dyDescent="0.25"/>
    <row r="4181" ht="15" customHeight="1" x14ac:dyDescent="0.25"/>
    <row r="4182" ht="15" customHeight="1" x14ac:dyDescent="0.25"/>
    <row r="4183" ht="15" customHeight="1" x14ac:dyDescent="0.25"/>
    <row r="4184" ht="15" customHeight="1" x14ac:dyDescent="0.25"/>
    <row r="4185" ht="15" customHeight="1" x14ac:dyDescent="0.25"/>
    <row r="4186" ht="15" customHeight="1" x14ac:dyDescent="0.25"/>
    <row r="4187" ht="15" customHeight="1" x14ac:dyDescent="0.25"/>
    <row r="4188" ht="15" customHeight="1" x14ac:dyDescent="0.25"/>
    <row r="4189" ht="15" customHeight="1" x14ac:dyDescent="0.25"/>
    <row r="4190" ht="15" customHeight="1" x14ac:dyDescent="0.25"/>
    <row r="4191" ht="15" customHeight="1" x14ac:dyDescent="0.25"/>
    <row r="4192" ht="15" customHeight="1" x14ac:dyDescent="0.25"/>
    <row r="4193" ht="15" customHeight="1" x14ac:dyDescent="0.25"/>
    <row r="4194" ht="15" customHeight="1" x14ac:dyDescent="0.25"/>
    <row r="4195" ht="15" customHeight="1" x14ac:dyDescent="0.25"/>
    <row r="4196" ht="15" customHeight="1" x14ac:dyDescent="0.25"/>
    <row r="4197" ht="15" customHeight="1" x14ac:dyDescent="0.25"/>
    <row r="4198" ht="15" customHeight="1" x14ac:dyDescent="0.25"/>
    <row r="4199" ht="15" customHeight="1" x14ac:dyDescent="0.25"/>
    <row r="4200" ht="15" customHeight="1" x14ac:dyDescent="0.25"/>
    <row r="4201" ht="15" customHeight="1" x14ac:dyDescent="0.25"/>
    <row r="4202" ht="15" customHeight="1" x14ac:dyDescent="0.25"/>
    <row r="4203" ht="15" customHeight="1" x14ac:dyDescent="0.25"/>
    <row r="4204" ht="15" customHeight="1" x14ac:dyDescent="0.25"/>
    <row r="4205" ht="15" customHeight="1" x14ac:dyDescent="0.25"/>
    <row r="4206" ht="15" customHeight="1" x14ac:dyDescent="0.25"/>
    <row r="4207" ht="15" customHeight="1" x14ac:dyDescent="0.25"/>
    <row r="4208" ht="15" customHeight="1" x14ac:dyDescent="0.25"/>
    <row r="4209" ht="15" customHeight="1" x14ac:dyDescent="0.25"/>
    <row r="4210" ht="15" customHeight="1" x14ac:dyDescent="0.25"/>
    <row r="4211" ht="15" customHeight="1" x14ac:dyDescent="0.25"/>
    <row r="4212" ht="15" customHeight="1" x14ac:dyDescent="0.25"/>
    <row r="4213" ht="15" customHeight="1" x14ac:dyDescent="0.25"/>
    <row r="4214" ht="15" customHeight="1" x14ac:dyDescent="0.25"/>
    <row r="4215" ht="15" customHeight="1" x14ac:dyDescent="0.25"/>
    <row r="4216" ht="15" customHeight="1" x14ac:dyDescent="0.25"/>
    <row r="4217" ht="15" customHeight="1" x14ac:dyDescent="0.25"/>
    <row r="4218" ht="15" customHeight="1" x14ac:dyDescent="0.25"/>
    <row r="4219" ht="15" customHeight="1" x14ac:dyDescent="0.25"/>
    <row r="4220" ht="15" customHeight="1" x14ac:dyDescent="0.25"/>
    <row r="4221" ht="15" customHeight="1" x14ac:dyDescent="0.25"/>
    <row r="4222" ht="15" customHeight="1" x14ac:dyDescent="0.25"/>
    <row r="4223" ht="15" customHeight="1" x14ac:dyDescent="0.25"/>
    <row r="4224" ht="15" customHeight="1" x14ac:dyDescent="0.25"/>
    <row r="4225" ht="15" customHeight="1" x14ac:dyDescent="0.25"/>
    <row r="4226" ht="15" customHeight="1" x14ac:dyDescent="0.25"/>
    <row r="4227" ht="15" customHeight="1" x14ac:dyDescent="0.25"/>
    <row r="4228" ht="15" customHeight="1" x14ac:dyDescent="0.25"/>
    <row r="4229" ht="15" customHeight="1" x14ac:dyDescent="0.25"/>
    <row r="4230" ht="15" customHeight="1" x14ac:dyDescent="0.25"/>
    <row r="4231" ht="15" customHeight="1" x14ac:dyDescent="0.25"/>
    <row r="4232" ht="15" customHeight="1" x14ac:dyDescent="0.25"/>
    <row r="4233" ht="15" customHeight="1" x14ac:dyDescent="0.25"/>
    <row r="4234" ht="15" customHeight="1" x14ac:dyDescent="0.25"/>
    <row r="4235" ht="15" customHeight="1" x14ac:dyDescent="0.25"/>
    <row r="4236" ht="15" customHeight="1" x14ac:dyDescent="0.25"/>
    <row r="4237" ht="15" customHeight="1" x14ac:dyDescent="0.25"/>
    <row r="4238" ht="15" customHeight="1" x14ac:dyDescent="0.25"/>
    <row r="4239" ht="15" customHeight="1" x14ac:dyDescent="0.25"/>
    <row r="4240" ht="15" customHeight="1" x14ac:dyDescent="0.25"/>
    <row r="4241" ht="15" customHeight="1" x14ac:dyDescent="0.25"/>
    <row r="4242" ht="15" customHeight="1" x14ac:dyDescent="0.25"/>
    <row r="4243" ht="15" customHeight="1" x14ac:dyDescent="0.25"/>
    <row r="4244" ht="15" customHeight="1" x14ac:dyDescent="0.25"/>
    <row r="4245" ht="15" customHeight="1" x14ac:dyDescent="0.25"/>
    <row r="4246" ht="15" customHeight="1" x14ac:dyDescent="0.25"/>
    <row r="4247" ht="15" customHeight="1" x14ac:dyDescent="0.25"/>
    <row r="4248" ht="15" customHeight="1" x14ac:dyDescent="0.25"/>
    <row r="4249" ht="15" customHeight="1" x14ac:dyDescent="0.25"/>
    <row r="4250" ht="15" customHeight="1" x14ac:dyDescent="0.25"/>
    <row r="4251" ht="15" customHeight="1" x14ac:dyDescent="0.25"/>
    <row r="4252" ht="15" customHeight="1" x14ac:dyDescent="0.25"/>
    <row r="4253" ht="15" customHeight="1" x14ac:dyDescent="0.25"/>
    <row r="4254" ht="15" customHeight="1" x14ac:dyDescent="0.25"/>
    <row r="4255" ht="15" customHeight="1" x14ac:dyDescent="0.25"/>
    <row r="4256" ht="15" customHeight="1" x14ac:dyDescent="0.25"/>
    <row r="4257" ht="15" customHeight="1" x14ac:dyDescent="0.25"/>
    <row r="4258" ht="15" customHeight="1" x14ac:dyDescent="0.25"/>
    <row r="4259" ht="15" customHeight="1" x14ac:dyDescent="0.25"/>
    <row r="4260" ht="15" customHeight="1" x14ac:dyDescent="0.25"/>
    <row r="4261" ht="15" customHeight="1" x14ac:dyDescent="0.25"/>
    <row r="4262" ht="15" customHeight="1" x14ac:dyDescent="0.25"/>
    <row r="4263" ht="15" customHeight="1" x14ac:dyDescent="0.25"/>
    <row r="4264" ht="15" customHeight="1" x14ac:dyDescent="0.25"/>
    <row r="4265" ht="15" customHeight="1" x14ac:dyDescent="0.25"/>
    <row r="4266" ht="15" customHeight="1" x14ac:dyDescent="0.25"/>
    <row r="4267" ht="15" customHeight="1" x14ac:dyDescent="0.25"/>
    <row r="4268" ht="15" customHeight="1" x14ac:dyDescent="0.25"/>
    <row r="4269" ht="15" customHeight="1" x14ac:dyDescent="0.25"/>
    <row r="4270" ht="15" customHeight="1" x14ac:dyDescent="0.25"/>
    <row r="4271" ht="15" customHeight="1" x14ac:dyDescent="0.25"/>
    <row r="4272" ht="15" customHeight="1" x14ac:dyDescent="0.25"/>
    <row r="4273" ht="15" customHeight="1" x14ac:dyDescent="0.25"/>
    <row r="4274" ht="15" customHeight="1" x14ac:dyDescent="0.25"/>
    <row r="4275" ht="15" customHeight="1" x14ac:dyDescent="0.25"/>
    <row r="4276" ht="15" customHeight="1" x14ac:dyDescent="0.25"/>
    <row r="4277" ht="15" customHeight="1" x14ac:dyDescent="0.25"/>
    <row r="4278" ht="15" customHeight="1" x14ac:dyDescent="0.25"/>
    <row r="4279" ht="15" customHeight="1" x14ac:dyDescent="0.25"/>
    <row r="4280" ht="15" customHeight="1" x14ac:dyDescent="0.25"/>
    <row r="4281" ht="15" customHeight="1" x14ac:dyDescent="0.25"/>
    <row r="4282" ht="15" customHeight="1" x14ac:dyDescent="0.25"/>
    <row r="4283" ht="15" customHeight="1" x14ac:dyDescent="0.25"/>
    <row r="4284" ht="15" customHeight="1" x14ac:dyDescent="0.25"/>
    <row r="4285" ht="15" customHeight="1" x14ac:dyDescent="0.25"/>
    <row r="4286" ht="15" customHeight="1" x14ac:dyDescent="0.25"/>
    <row r="4287" ht="15" customHeight="1" x14ac:dyDescent="0.25"/>
    <row r="4288" ht="15" customHeight="1" x14ac:dyDescent="0.25"/>
    <row r="4289" ht="15" customHeight="1" x14ac:dyDescent="0.25"/>
    <row r="4290" ht="15" customHeight="1" x14ac:dyDescent="0.25"/>
    <row r="4291" ht="15" customHeight="1" x14ac:dyDescent="0.25"/>
    <row r="4292" ht="15" customHeight="1" x14ac:dyDescent="0.25"/>
    <row r="4293" ht="15" customHeight="1" x14ac:dyDescent="0.25"/>
    <row r="4294" ht="15" customHeight="1" x14ac:dyDescent="0.25"/>
    <row r="4295" ht="15" customHeight="1" x14ac:dyDescent="0.25"/>
    <row r="4296" ht="15" customHeight="1" x14ac:dyDescent="0.25"/>
    <row r="4297" ht="15" customHeight="1" x14ac:dyDescent="0.25"/>
    <row r="4298" ht="15" customHeight="1" x14ac:dyDescent="0.25"/>
    <row r="4299" ht="15" customHeight="1" x14ac:dyDescent="0.25"/>
    <row r="4300" ht="15" customHeight="1" x14ac:dyDescent="0.25"/>
    <row r="4301" ht="15" customHeight="1" x14ac:dyDescent="0.25"/>
    <row r="4302" ht="15" customHeight="1" x14ac:dyDescent="0.25"/>
    <row r="4303" ht="15" customHeight="1" x14ac:dyDescent="0.25"/>
    <row r="4304" ht="15" customHeight="1" x14ac:dyDescent="0.25"/>
    <row r="4305" ht="15" customHeight="1" x14ac:dyDescent="0.25"/>
    <row r="4306" ht="15" customHeight="1" x14ac:dyDescent="0.25"/>
    <row r="4307" ht="15" customHeight="1" x14ac:dyDescent="0.25"/>
    <row r="4308" ht="15" customHeight="1" x14ac:dyDescent="0.25"/>
    <row r="4309" ht="15" customHeight="1" x14ac:dyDescent="0.25"/>
    <row r="4310" ht="15" customHeight="1" x14ac:dyDescent="0.25"/>
    <row r="4311" ht="15" customHeight="1" x14ac:dyDescent="0.25"/>
    <row r="4312" ht="15" customHeight="1" x14ac:dyDescent="0.25"/>
    <row r="4313" ht="15" customHeight="1" x14ac:dyDescent="0.25"/>
    <row r="4314" ht="15" customHeight="1" x14ac:dyDescent="0.25"/>
    <row r="4315" ht="15" customHeight="1" x14ac:dyDescent="0.25"/>
    <row r="4316" ht="15" customHeight="1" x14ac:dyDescent="0.25"/>
    <row r="4317" ht="15" customHeight="1" x14ac:dyDescent="0.25"/>
    <row r="4318" ht="15" customHeight="1" x14ac:dyDescent="0.25"/>
    <row r="4319" ht="15" customHeight="1" x14ac:dyDescent="0.25"/>
    <row r="4320" ht="15" customHeight="1" x14ac:dyDescent="0.25"/>
    <row r="4321" ht="15" customHeight="1" x14ac:dyDescent="0.25"/>
    <row r="4322" ht="15" customHeight="1" x14ac:dyDescent="0.25"/>
    <row r="4323" ht="15" customHeight="1" x14ac:dyDescent="0.25"/>
    <row r="4324" ht="15" customHeight="1" x14ac:dyDescent="0.25"/>
    <row r="4325" ht="15" customHeight="1" x14ac:dyDescent="0.25"/>
    <row r="4326" ht="15" customHeight="1" x14ac:dyDescent="0.25"/>
    <row r="4327" ht="15" customHeight="1" x14ac:dyDescent="0.25"/>
    <row r="4328" ht="15" customHeight="1" x14ac:dyDescent="0.25"/>
    <row r="4329" ht="15" customHeight="1" x14ac:dyDescent="0.25"/>
    <row r="4330" ht="15" customHeight="1" x14ac:dyDescent="0.25"/>
    <row r="4331" ht="15" customHeight="1" x14ac:dyDescent="0.25"/>
    <row r="4332" ht="15" customHeight="1" x14ac:dyDescent="0.25"/>
    <row r="4333" ht="15" customHeight="1" x14ac:dyDescent="0.25"/>
    <row r="4334" ht="15" customHeight="1" x14ac:dyDescent="0.25"/>
    <row r="4335" ht="15" customHeight="1" x14ac:dyDescent="0.25"/>
    <row r="4336" ht="15" customHeight="1" x14ac:dyDescent="0.25"/>
    <row r="4337" ht="15" customHeight="1" x14ac:dyDescent="0.25"/>
    <row r="4338" ht="15" customHeight="1" x14ac:dyDescent="0.25"/>
    <row r="4339" ht="15" customHeight="1" x14ac:dyDescent="0.25"/>
    <row r="4340" ht="15" customHeight="1" x14ac:dyDescent="0.25"/>
    <row r="4341" ht="15" customHeight="1" x14ac:dyDescent="0.25"/>
    <row r="4342" ht="15" customHeight="1" x14ac:dyDescent="0.25"/>
    <row r="4343" ht="15" customHeight="1" x14ac:dyDescent="0.25"/>
    <row r="4344" ht="15" customHeight="1" x14ac:dyDescent="0.25"/>
    <row r="4345" ht="15" customHeight="1" x14ac:dyDescent="0.25"/>
    <row r="4346" ht="15" customHeight="1" x14ac:dyDescent="0.25"/>
    <row r="4347" ht="15" customHeight="1" x14ac:dyDescent="0.25"/>
    <row r="4348" ht="15" customHeight="1" x14ac:dyDescent="0.25"/>
    <row r="4349" ht="15" customHeight="1" x14ac:dyDescent="0.25"/>
    <row r="4350" ht="15" customHeight="1" x14ac:dyDescent="0.25"/>
    <row r="4351" ht="15" customHeight="1" x14ac:dyDescent="0.25"/>
    <row r="4352" ht="15" customHeight="1" x14ac:dyDescent="0.25"/>
    <row r="4353" ht="15" customHeight="1" x14ac:dyDescent="0.25"/>
    <row r="4354" ht="15" customHeight="1" x14ac:dyDescent="0.25"/>
    <row r="4355" ht="15" customHeight="1" x14ac:dyDescent="0.25"/>
    <row r="4356" ht="15" customHeight="1" x14ac:dyDescent="0.25"/>
    <row r="4357" ht="15" customHeight="1" x14ac:dyDescent="0.25"/>
    <row r="4358" ht="15" customHeight="1" x14ac:dyDescent="0.25"/>
    <row r="4359" ht="15" customHeight="1" x14ac:dyDescent="0.25"/>
    <row r="4360" ht="15" customHeight="1" x14ac:dyDescent="0.25"/>
    <row r="4361" ht="15" customHeight="1" x14ac:dyDescent="0.25"/>
    <row r="4362" ht="15" customHeight="1" x14ac:dyDescent="0.25"/>
    <row r="4363" ht="15" customHeight="1" x14ac:dyDescent="0.25"/>
    <row r="4364" ht="15" customHeight="1" x14ac:dyDescent="0.25"/>
    <row r="4365" ht="15" customHeight="1" x14ac:dyDescent="0.25"/>
    <row r="4366" ht="15" customHeight="1" x14ac:dyDescent="0.25"/>
    <row r="4367" ht="15" customHeight="1" x14ac:dyDescent="0.25"/>
    <row r="4368" ht="15" customHeight="1" x14ac:dyDescent="0.25"/>
    <row r="4369" ht="15" customHeight="1" x14ac:dyDescent="0.25"/>
    <row r="4370" ht="15" customHeight="1" x14ac:dyDescent="0.25"/>
    <row r="4371" ht="15" customHeight="1" x14ac:dyDescent="0.25"/>
    <row r="4372" ht="15" customHeight="1" x14ac:dyDescent="0.25"/>
    <row r="4373" ht="15" customHeight="1" x14ac:dyDescent="0.25"/>
    <row r="4374" ht="15" customHeight="1" x14ac:dyDescent="0.25"/>
    <row r="4375" ht="15" customHeight="1" x14ac:dyDescent="0.25"/>
    <row r="4376" ht="15" customHeight="1" x14ac:dyDescent="0.25"/>
    <row r="4377" ht="15" customHeight="1" x14ac:dyDescent="0.25"/>
    <row r="4378" ht="15" customHeight="1" x14ac:dyDescent="0.25"/>
    <row r="4379" ht="15" customHeight="1" x14ac:dyDescent="0.25"/>
    <row r="4380" ht="15" customHeight="1" x14ac:dyDescent="0.25"/>
    <row r="4381" ht="15" customHeight="1" x14ac:dyDescent="0.25"/>
    <row r="4382" ht="15" customHeight="1" x14ac:dyDescent="0.25"/>
    <row r="4383" ht="15" customHeight="1" x14ac:dyDescent="0.25"/>
    <row r="4384" ht="15" customHeight="1" x14ac:dyDescent="0.25"/>
    <row r="4385" ht="15" customHeight="1" x14ac:dyDescent="0.25"/>
    <row r="4386" ht="15" customHeight="1" x14ac:dyDescent="0.25"/>
    <row r="4387" ht="15" customHeight="1" x14ac:dyDescent="0.25"/>
    <row r="4388" ht="15" customHeight="1" x14ac:dyDescent="0.25"/>
    <row r="4389" ht="15" customHeight="1" x14ac:dyDescent="0.25"/>
    <row r="4390" ht="15" customHeight="1" x14ac:dyDescent="0.25"/>
    <row r="4391" ht="15" customHeight="1" x14ac:dyDescent="0.25"/>
    <row r="4392" ht="15" customHeight="1" x14ac:dyDescent="0.25"/>
    <row r="4393" ht="15" customHeight="1" x14ac:dyDescent="0.25"/>
    <row r="4394" ht="15" customHeight="1" x14ac:dyDescent="0.25"/>
    <row r="4395" ht="15" customHeight="1" x14ac:dyDescent="0.25"/>
    <row r="4396" ht="15" customHeight="1" x14ac:dyDescent="0.25"/>
    <row r="4397" ht="15" customHeight="1" x14ac:dyDescent="0.25"/>
    <row r="4398" ht="15" customHeight="1" x14ac:dyDescent="0.25"/>
    <row r="4399" ht="15" customHeight="1" x14ac:dyDescent="0.25"/>
    <row r="4400" ht="15" customHeight="1" x14ac:dyDescent="0.25"/>
    <row r="4401" ht="15" customHeight="1" x14ac:dyDescent="0.25"/>
    <row r="4402" ht="15" customHeight="1" x14ac:dyDescent="0.25"/>
    <row r="4403" ht="15" customHeight="1" x14ac:dyDescent="0.25"/>
    <row r="4404" ht="15" customHeight="1" x14ac:dyDescent="0.25"/>
    <row r="4405" ht="15" customHeight="1" x14ac:dyDescent="0.25"/>
    <row r="4406" ht="15" customHeight="1" x14ac:dyDescent="0.25"/>
    <row r="4407" ht="15" customHeight="1" x14ac:dyDescent="0.25"/>
    <row r="4408" ht="15" customHeight="1" x14ac:dyDescent="0.25"/>
    <row r="4409" ht="15" customHeight="1" x14ac:dyDescent="0.25"/>
    <row r="4410" ht="15" customHeight="1" x14ac:dyDescent="0.25"/>
    <row r="4411" ht="15" customHeight="1" x14ac:dyDescent="0.25"/>
    <row r="4412" ht="15" customHeight="1" x14ac:dyDescent="0.25"/>
    <row r="4413" ht="15" customHeight="1" x14ac:dyDescent="0.25"/>
    <row r="4414" ht="15" customHeight="1" x14ac:dyDescent="0.25"/>
  </sheetData>
  <mergeCells count="1">
    <mergeCell ref="B70:K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41BB-3C11-4155-B35F-78FD37D22ED3}">
  <sheetPr>
    <tabColor theme="4" tint="0.59999389629810485"/>
  </sheetPr>
  <dimension ref="A2:AF53"/>
  <sheetViews>
    <sheetView topLeftCell="E25" workbookViewId="0">
      <selection activeCell="P45" sqref="P45"/>
    </sheetView>
  </sheetViews>
  <sheetFormatPr defaultRowHeight="13.2" x14ac:dyDescent="0.25"/>
  <cols>
    <col min="1" max="1" width="23.88671875" customWidth="1"/>
    <col min="13" max="13" width="17.88671875" bestFit="1" customWidth="1"/>
    <col min="16" max="16" width="8.21875" customWidth="1"/>
  </cols>
  <sheetData>
    <row r="2" spans="1:32" ht="15.6" x14ac:dyDescent="0.3">
      <c r="A2" s="18" t="s">
        <v>77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3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3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"/>
      <c r="Q4" s="5"/>
      <c r="R4" s="5"/>
      <c r="S4" s="5"/>
    </row>
    <row r="5" spans="1:3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3"/>
    </row>
    <row r="6" spans="1:32" x14ac:dyDescent="0.25">
      <c r="A6" s="5"/>
      <c r="B6" s="19" t="s">
        <v>78</v>
      </c>
      <c r="C6" s="19" t="s">
        <v>79</v>
      </c>
      <c r="D6" s="19">
        <v>2015</v>
      </c>
      <c r="E6" s="19">
        <v>2020</v>
      </c>
      <c r="F6" s="19">
        <v>2025</v>
      </c>
      <c r="G6" s="19">
        <v>2030</v>
      </c>
      <c r="H6" s="19">
        <v>2035</v>
      </c>
      <c r="I6" s="19">
        <v>2040</v>
      </c>
      <c r="J6" s="19">
        <v>2045</v>
      </c>
      <c r="K6" s="19">
        <v>2050</v>
      </c>
      <c r="N6" s="19" t="s">
        <v>78</v>
      </c>
      <c r="O6" s="19" t="s">
        <v>79</v>
      </c>
      <c r="P6" s="19">
        <v>2015</v>
      </c>
      <c r="Q6" s="19">
        <v>2020</v>
      </c>
      <c r="R6" s="19">
        <v>2025</v>
      </c>
      <c r="S6" s="19">
        <v>2030</v>
      </c>
      <c r="T6" s="19">
        <v>2035</v>
      </c>
      <c r="U6" s="19">
        <v>2040</v>
      </c>
      <c r="V6" s="19">
        <v>2045</v>
      </c>
      <c r="W6" s="19">
        <v>2050</v>
      </c>
      <c r="Y6" s="19">
        <v>2015</v>
      </c>
      <c r="Z6" s="19">
        <v>2020</v>
      </c>
      <c r="AA6" s="19">
        <v>2025</v>
      </c>
      <c r="AB6" s="19">
        <v>2030</v>
      </c>
      <c r="AC6" s="19">
        <v>2035</v>
      </c>
      <c r="AD6" s="19">
        <v>2040</v>
      </c>
      <c r="AE6" s="19">
        <v>2045</v>
      </c>
      <c r="AF6" s="19">
        <v>2050</v>
      </c>
    </row>
    <row r="7" spans="1:32" x14ac:dyDescent="0.25">
      <c r="A7" s="5" t="s">
        <v>80</v>
      </c>
      <c r="B7" s="5"/>
      <c r="C7" s="5"/>
      <c r="D7" s="5"/>
      <c r="E7" s="5"/>
      <c r="F7" s="5"/>
      <c r="G7" s="5"/>
      <c r="H7" s="5"/>
      <c r="I7" s="5"/>
      <c r="J7" s="5"/>
      <c r="S7" s="5"/>
    </row>
    <row r="8" spans="1:32" ht="13.8" x14ac:dyDescent="0.3">
      <c r="A8" s="5" t="s">
        <v>81</v>
      </c>
      <c r="B8" s="20">
        <v>0.81799999999999995</v>
      </c>
      <c r="C8" s="20">
        <v>0.82199999999999995</v>
      </c>
      <c r="D8" s="21">
        <v>0.81682500000000002</v>
      </c>
      <c r="E8" s="22">
        <v>0.81661499999999998</v>
      </c>
      <c r="F8" s="22">
        <v>0.81661499999999998</v>
      </c>
      <c r="G8" s="22">
        <v>0.81661499999999998</v>
      </c>
      <c r="H8" s="22">
        <v>0.81661499999999998</v>
      </c>
      <c r="I8" s="22">
        <v>0.81661499999999998</v>
      </c>
      <c r="J8" s="22">
        <v>0.81661499999999998</v>
      </c>
      <c r="K8" s="22">
        <v>0.81661499999999998</v>
      </c>
      <c r="S8" s="5"/>
    </row>
    <row r="9" spans="1:32" ht="13.8" x14ac:dyDescent="0.3">
      <c r="A9" s="5" t="s">
        <v>82</v>
      </c>
      <c r="B9" s="20">
        <v>0.8</v>
      </c>
      <c r="C9" s="20">
        <v>0.8</v>
      </c>
      <c r="D9" s="21">
        <v>0.80044999999999999</v>
      </c>
      <c r="E9" s="22">
        <v>0.81535800000000003</v>
      </c>
      <c r="F9" s="22">
        <v>0.81535800000000003</v>
      </c>
      <c r="G9" s="22">
        <v>0.81535800000000003</v>
      </c>
      <c r="H9" s="22">
        <v>0.81535800000000003</v>
      </c>
      <c r="I9" s="22">
        <v>0.81535800000000003</v>
      </c>
      <c r="J9" s="22">
        <v>0.81535800000000003</v>
      </c>
      <c r="K9" s="22">
        <v>0.81535800000000003</v>
      </c>
      <c r="L9" s="5"/>
      <c r="M9" s="5"/>
      <c r="N9" s="5"/>
      <c r="O9" s="5"/>
      <c r="P9" s="5"/>
      <c r="Q9" s="5"/>
      <c r="R9" s="5"/>
      <c r="S9" s="5"/>
    </row>
    <row r="10" spans="1:32" x14ac:dyDescent="0.25">
      <c r="A10" s="5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5"/>
      <c r="M10" s="5"/>
      <c r="N10" s="5"/>
      <c r="O10" s="5"/>
      <c r="P10" s="5"/>
      <c r="Q10" s="5"/>
      <c r="R10" s="5"/>
      <c r="S10" s="5"/>
    </row>
    <row r="11" spans="1:32" x14ac:dyDescent="0.25">
      <c r="A11" s="5" t="s">
        <v>83</v>
      </c>
      <c r="B11" s="23" t="s">
        <v>86</v>
      </c>
      <c r="C11" s="20"/>
      <c r="D11" s="20"/>
      <c r="E11" s="20"/>
      <c r="F11" s="20"/>
      <c r="G11" s="20"/>
      <c r="H11" s="20"/>
      <c r="I11" s="20"/>
      <c r="J11" s="20"/>
      <c r="K11" s="20"/>
      <c r="L11" s="5"/>
      <c r="M11" s="5"/>
      <c r="N11" s="5"/>
      <c r="O11" s="5"/>
      <c r="P11" s="5"/>
      <c r="Q11" s="5"/>
      <c r="R11" s="5"/>
      <c r="S11" s="5"/>
    </row>
    <row r="12" spans="1:32" x14ac:dyDescent="0.25">
      <c r="A12" s="5" t="s">
        <v>84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5"/>
      <c r="M12" s="5"/>
      <c r="N12" s="23"/>
      <c r="O12" s="5"/>
      <c r="P12" s="5"/>
      <c r="Q12" s="5"/>
      <c r="R12" s="5"/>
      <c r="S12" s="5"/>
    </row>
    <row r="13" spans="1:32" x14ac:dyDescent="0.25">
      <c r="A13" s="5" t="s">
        <v>85</v>
      </c>
      <c r="B13" s="20">
        <v>0.88837299999999997</v>
      </c>
      <c r="C13" s="20">
        <v>1.0625230000000001</v>
      </c>
      <c r="D13" s="22">
        <v>0.74065499999999995</v>
      </c>
      <c r="E13" s="22">
        <v>0.45046399999999998</v>
      </c>
      <c r="F13" s="22">
        <v>0.48658499999999999</v>
      </c>
      <c r="G13" s="22">
        <v>0.50604099999999996</v>
      </c>
      <c r="H13" s="22">
        <v>0.50378199999999995</v>
      </c>
      <c r="I13" s="22">
        <v>0.50751599999999997</v>
      </c>
      <c r="J13" s="22">
        <v>0.51372300000000004</v>
      </c>
      <c r="K13" s="22">
        <v>0.51607800000000004</v>
      </c>
      <c r="L13" s="5"/>
      <c r="M13" s="5" t="s">
        <v>85</v>
      </c>
      <c r="N13" s="57">
        <f>B13/B$31</f>
        <v>4.4418485651603092E-3</v>
      </c>
      <c r="O13" s="57">
        <f t="shared" ref="O13:W28" si="0">C13/C$31</f>
        <v>5.3127429574141303E-3</v>
      </c>
      <c r="P13" s="57">
        <f t="shared" si="0"/>
        <v>3.7032240621530251E-3</v>
      </c>
      <c r="Q13" s="57">
        <f t="shared" si="0"/>
        <v>2.2523200900928034E-3</v>
      </c>
      <c r="R13" s="57">
        <f t="shared" si="0"/>
        <v>2.4329247202136573E-3</v>
      </c>
      <c r="S13" s="57">
        <f t="shared" si="0"/>
        <v>2.5302051771143625E-3</v>
      </c>
      <c r="T13" s="57">
        <f t="shared" si="0"/>
        <v>2.5189098110817631E-3</v>
      </c>
      <c r="U13" s="57">
        <f t="shared" si="0"/>
        <v>2.5375800507516006E-3</v>
      </c>
      <c r="V13" s="57">
        <f t="shared" si="0"/>
        <v>2.568614293631069E-3</v>
      </c>
      <c r="W13" s="57">
        <f t="shared" si="0"/>
        <v>2.5803901290195061E-3</v>
      </c>
      <c r="Y13" s="80">
        <f>(P13-N13)/N13</f>
        <v>-0.16628763726901766</v>
      </c>
      <c r="Z13" s="80">
        <f>(Q13-P13)/P13</f>
        <v>-0.39179481114536657</v>
      </c>
      <c r="AA13" s="80">
        <f t="shared" ref="AA13:AF13" si="1">(R13-Q13)/Q13</f>
        <v>8.0186040570020586E-2</v>
      </c>
      <c r="AB13" s="80">
        <f t="shared" si="1"/>
        <v>3.9984984365715209E-2</v>
      </c>
      <c r="AC13" s="81">
        <f t="shared" si="1"/>
        <v>-4.4642095173804946E-3</v>
      </c>
      <c r="AD13" s="81">
        <f t="shared" si="1"/>
        <v>7.4120318193605528E-3</v>
      </c>
      <c r="AE13" s="81">
        <f t="shared" si="1"/>
        <v>1.2229857682825179E-2</v>
      </c>
      <c r="AF13" s="81">
        <f t="shared" si="1"/>
        <v>4.5845090162565704E-3</v>
      </c>
    </row>
    <row r="14" spans="1:32" x14ac:dyDescent="0.25">
      <c r="A14" s="5" t="s">
        <v>87</v>
      </c>
      <c r="B14" s="20">
        <v>11.767998</v>
      </c>
      <c r="C14" s="20">
        <v>13.809377</v>
      </c>
      <c r="D14" s="22">
        <v>4.4270529999999999</v>
      </c>
      <c r="E14" s="22">
        <v>4.5735450000000002</v>
      </c>
      <c r="F14" s="22">
        <v>4.6238599999999996</v>
      </c>
      <c r="G14" s="22">
        <v>4.5508420000000003</v>
      </c>
      <c r="H14" s="22">
        <v>4.4603539999999997</v>
      </c>
      <c r="I14" s="22">
        <v>4.4242549999999996</v>
      </c>
      <c r="J14" s="22">
        <v>4.4301490000000001</v>
      </c>
      <c r="K14" s="22">
        <v>4.4044249999999998</v>
      </c>
      <c r="L14" s="5"/>
      <c r="M14" s="5" t="s">
        <v>87</v>
      </c>
      <c r="N14" s="57">
        <f t="shared" ref="N14:N30" si="2">B14/B$31</f>
        <v>5.8839772292842527E-2</v>
      </c>
      <c r="O14" s="57">
        <f t="shared" si="0"/>
        <v>6.90485480342794E-2</v>
      </c>
      <c r="P14" s="57">
        <f t="shared" si="0"/>
        <v>2.213496053361786E-2</v>
      </c>
      <c r="Q14" s="57">
        <f t="shared" si="0"/>
        <v>2.2867725914709036E-2</v>
      </c>
      <c r="R14" s="57">
        <f t="shared" si="0"/>
        <v>2.3119297341280803E-2</v>
      </c>
      <c r="S14" s="57">
        <f t="shared" si="0"/>
        <v>2.2754211592794817E-2</v>
      </c>
      <c r="T14" s="57">
        <f t="shared" si="0"/>
        <v>2.2301768327367369E-2</v>
      </c>
      <c r="U14" s="57">
        <f t="shared" si="0"/>
        <v>2.2121275442425505E-2</v>
      </c>
      <c r="V14" s="57">
        <f t="shared" si="0"/>
        <v>2.2150738908546797E-2</v>
      </c>
      <c r="W14" s="57">
        <f t="shared" si="0"/>
        <v>2.20221261011063E-2</v>
      </c>
      <c r="Y14" s="80">
        <f t="shared" ref="Y14:Y30" si="3">(P14-N14)/N14</f>
        <v>-0.62380954801365818</v>
      </c>
      <c r="Z14" s="80">
        <f t="shared" ref="Z14:Z30" si="4">(Q14-P14)/P14</f>
        <v>3.3104435852879678E-2</v>
      </c>
      <c r="AA14" s="80">
        <f t="shared" ref="AA14:AA30" si="5">(R14-Q14)/Q14</f>
        <v>1.1001156280692963E-2</v>
      </c>
      <c r="AB14" s="80">
        <f t="shared" ref="AB14:AB30" si="6">(S14-R14)/R14</f>
        <v>-1.5791386005235764E-2</v>
      </c>
      <c r="AC14" s="81">
        <f t="shared" ref="AC14:AC30" si="7">(T14-S14)/S14</f>
        <v>-1.9883935050103652E-2</v>
      </c>
      <c r="AD14" s="81">
        <f t="shared" ref="AD14:AD30" si="8">(U14-T14)/T14</f>
        <v>-8.0932095738961585E-3</v>
      </c>
      <c r="AE14" s="81">
        <f t="shared" ref="AE14:AE30" si="9">(V14-U14)/U14</f>
        <v>1.3319062997960993E-3</v>
      </c>
      <c r="AF14" s="81">
        <f t="shared" ref="AF14:AF30" si="10">(W14-V14)/V14</f>
        <v>-5.8062535959408426E-3</v>
      </c>
    </row>
    <row r="15" spans="1:32" x14ac:dyDescent="0.25">
      <c r="A15" s="5" t="s">
        <v>88</v>
      </c>
      <c r="B15" s="20">
        <v>36.665260000000004</v>
      </c>
      <c r="C15" s="20">
        <v>39.855232000000001</v>
      </c>
      <c r="D15" s="22">
        <v>22.504460999999999</v>
      </c>
      <c r="E15" s="22">
        <v>14.720454999999999</v>
      </c>
      <c r="F15" s="22">
        <v>14.4741</v>
      </c>
      <c r="G15" s="22">
        <v>14.407166</v>
      </c>
      <c r="H15" s="22">
        <v>14.117388999999999</v>
      </c>
      <c r="I15" s="22">
        <v>13.982597999999999</v>
      </c>
      <c r="J15" s="22">
        <v>13.959742</v>
      </c>
      <c r="K15" s="22">
        <v>13.86565</v>
      </c>
      <c r="L15" s="5"/>
      <c r="M15" s="5" t="s">
        <v>88</v>
      </c>
      <c r="N15" s="57">
        <f t="shared" si="2"/>
        <v>0.18332562169519975</v>
      </c>
      <c r="O15" s="57">
        <f t="shared" si="0"/>
        <v>0.19928095968191395</v>
      </c>
      <c r="P15" s="57">
        <f t="shared" si="0"/>
        <v>0.11252075727698366</v>
      </c>
      <c r="Q15" s="57">
        <f t="shared" si="0"/>
        <v>7.3602277944091105E-2</v>
      </c>
      <c r="R15" s="57">
        <f t="shared" si="0"/>
        <v>7.2370491677393456E-2</v>
      </c>
      <c r="S15" s="57">
        <f t="shared" si="0"/>
        <v>7.2035835042508461E-2</v>
      </c>
      <c r="T15" s="57">
        <f t="shared" si="0"/>
        <v>7.0586939705979498E-2</v>
      </c>
      <c r="U15" s="57">
        <f t="shared" si="0"/>
        <v>6.9912991398259822E-2</v>
      </c>
      <c r="V15" s="57">
        <f t="shared" si="0"/>
        <v>6.9798690805360025E-2</v>
      </c>
      <c r="W15" s="57">
        <f t="shared" si="0"/>
        <v>6.9328253466412665E-2</v>
      </c>
      <c r="Y15" s="80">
        <f t="shared" si="3"/>
        <v>-0.38622459732299419</v>
      </c>
      <c r="Z15" s="80">
        <f t="shared" si="4"/>
        <v>-0.34587822082542458</v>
      </c>
      <c r="AA15" s="80">
        <f t="shared" si="5"/>
        <v>-1.6735708474041031E-2</v>
      </c>
      <c r="AB15" s="80">
        <f t="shared" si="6"/>
        <v>-4.6242139182471782E-3</v>
      </c>
      <c r="AC15" s="81">
        <f t="shared" si="7"/>
        <v>-2.0113535654497066E-2</v>
      </c>
      <c r="AD15" s="81">
        <f t="shared" si="8"/>
        <v>-9.5477762674925238E-3</v>
      </c>
      <c r="AE15" s="81">
        <f t="shared" si="9"/>
        <v>-1.6348977581102538E-3</v>
      </c>
      <c r="AF15" s="81">
        <f t="shared" si="10"/>
        <v>-6.739916372632512E-3</v>
      </c>
    </row>
    <row r="16" spans="1:32" x14ac:dyDescent="0.25">
      <c r="A16" s="5" t="s">
        <v>89</v>
      </c>
      <c r="B16" s="24">
        <v>40.131821000000002</v>
      </c>
      <c r="C16" s="24">
        <v>36.427886999999998</v>
      </c>
      <c r="D16" s="25">
        <v>35.548018999999996</v>
      </c>
      <c r="E16" s="26">
        <v>36.790703000000001</v>
      </c>
      <c r="F16" s="26">
        <v>34.771197999999998</v>
      </c>
      <c r="G16" s="26">
        <v>34.104323999999998</v>
      </c>
      <c r="H16" s="26">
        <v>34.005501000000002</v>
      </c>
      <c r="I16" s="26">
        <v>33.795940000000002</v>
      </c>
      <c r="J16" s="26">
        <v>33.438225000000003</v>
      </c>
      <c r="K16" s="26">
        <v>33.319206000000001</v>
      </c>
      <c r="L16" s="5"/>
      <c r="M16" s="5" t="s">
        <v>89</v>
      </c>
      <c r="N16" s="57">
        <f t="shared" si="2"/>
        <v>0.20065836256405856</v>
      </c>
      <c r="O16" s="57">
        <f t="shared" si="0"/>
        <v>0.18214382193395126</v>
      </c>
      <c r="P16" s="57">
        <f t="shared" si="0"/>
        <v>0.17773765021862123</v>
      </c>
      <c r="Q16" s="57">
        <f t="shared" si="0"/>
        <v>0.18395352235814089</v>
      </c>
      <c r="R16" s="57">
        <f t="shared" si="0"/>
        <v>0.17385597000656344</v>
      </c>
      <c r="S16" s="57">
        <f t="shared" si="0"/>
        <v>0.17052163193651423</v>
      </c>
      <c r="T16" s="57">
        <f t="shared" si="0"/>
        <v>0.17002749224793806</v>
      </c>
      <c r="U16" s="57">
        <f t="shared" si="0"/>
        <v>0.16897970337959406</v>
      </c>
      <c r="V16" s="57">
        <f t="shared" si="0"/>
        <v>0.16719107902245325</v>
      </c>
      <c r="W16" s="57">
        <f t="shared" si="0"/>
        <v>0.16659603832980191</v>
      </c>
      <c r="Y16" s="80">
        <f t="shared" si="3"/>
        <v>-0.11422754602674522</v>
      </c>
      <c r="Z16" s="80">
        <f t="shared" si="4"/>
        <v>3.497217461733064E-2</v>
      </c>
      <c r="AA16" s="80">
        <f t="shared" si="5"/>
        <v>-5.4891867370272046E-2</v>
      </c>
      <c r="AB16" s="80">
        <f t="shared" si="6"/>
        <v>-1.9178737836401765E-2</v>
      </c>
      <c r="AC16" s="81">
        <f t="shared" si="7"/>
        <v>-2.8978123359747264E-3</v>
      </c>
      <c r="AD16" s="81">
        <f t="shared" si="8"/>
        <v>-6.1624673427288544E-3</v>
      </c>
      <c r="AE16" s="81">
        <f t="shared" si="9"/>
        <v>-1.0584847300405424E-2</v>
      </c>
      <c r="AF16" s="81">
        <f t="shared" si="10"/>
        <v>-3.5590457106352662E-3</v>
      </c>
    </row>
    <row r="17" spans="1:32" x14ac:dyDescent="0.25">
      <c r="A17" s="5" t="s">
        <v>90</v>
      </c>
      <c r="B17" s="20">
        <v>9.9707039999999996</v>
      </c>
      <c r="C17" s="20">
        <v>8.2847770000000001</v>
      </c>
      <c r="D17" s="22">
        <v>9.3622440000000005</v>
      </c>
      <c r="E17" s="22">
        <v>13.754198000000001</v>
      </c>
      <c r="F17" s="22">
        <v>12.401965000000001</v>
      </c>
      <c r="G17" s="22">
        <v>11.879538</v>
      </c>
      <c r="H17" s="22">
        <v>11.783389</v>
      </c>
      <c r="I17" s="22">
        <v>11.620789</v>
      </c>
      <c r="J17" s="22">
        <v>11.389194</v>
      </c>
      <c r="K17" s="22">
        <v>11.297884</v>
      </c>
      <c r="L17" s="5"/>
      <c r="M17" s="5" t="s">
        <v>90</v>
      </c>
      <c r="N17" s="57">
        <f t="shared" si="2"/>
        <v>4.9853335542658493E-2</v>
      </c>
      <c r="O17" s="57">
        <f t="shared" si="0"/>
        <v>4.142488271830027E-2</v>
      </c>
      <c r="P17" s="57">
        <f t="shared" si="0"/>
        <v>4.6810576120525464E-2</v>
      </c>
      <c r="Q17" s="57">
        <f t="shared" si="0"/>
        <v>6.8770992750839713E-2</v>
      </c>
      <c r="R17" s="57">
        <f t="shared" si="0"/>
        <v>6.2009817868870949E-2</v>
      </c>
      <c r="S17" s="57">
        <f t="shared" si="0"/>
        <v>5.9397694157838597E-2</v>
      </c>
      <c r="T17" s="57">
        <f t="shared" si="0"/>
        <v>5.8916940581229441E-2</v>
      </c>
      <c r="U17" s="57">
        <f t="shared" si="0"/>
        <v>5.8103946162078923E-2</v>
      </c>
      <c r="V17" s="57">
        <f t="shared" si="0"/>
        <v>5.6945954339862548E-2</v>
      </c>
      <c r="W17" s="57">
        <f t="shared" si="0"/>
        <v>5.6489422824471135E-2</v>
      </c>
      <c r="Y17" s="80">
        <f t="shared" si="3"/>
        <v>-6.1034219456176632E-2</v>
      </c>
      <c r="Z17" s="80">
        <f t="shared" si="4"/>
        <v>0.46913365419326813</v>
      </c>
      <c r="AA17" s="80">
        <f t="shared" si="5"/>
        <v>-9.8314341723476251E-2</v>
      </c>
      <c r="AB17" s="80">
        <f t="shared" si="6"/>
        <v>-4.2124357090615537E-2</v>
      </c>
      <c r="AC17" s="81">
        <f t="shared" si="7"/>
        <v>-8.0938087483941931E-3</v>
      </c>
      <c r="AD17" s="81">
        <f t="shared" si="8"/>
        <v>-1.3798992465157502E-2</v>
      </c>
      <c r="AE17" s="81">
        <f t="shared" si="9"/>
        <v>-1.9929658804691126E-2</v>
      </c>
      <c r="AF17" s="81">
        <f t="shared" si="10"/>
        <v>-8.0169262361775556E-3</v>
      </c>
    </row>
    <row r="18" spans="1:32" x14ac:dyDescent="0.25">
      <c r="A18" s="5" t="s">
        <v>91</v>
      </c>
      <c r="B18" s="20">
        <v>0.57584199999999996</v>
      </c>
      <c r="C18" s="20">
        <v>0.56021900000000002</v>
      </c>
      <c r="D18" s="22">
        <v>0.91757</v>
      </c>
      <c r="E18" s="22">
        <v>0.94567900000000005</v>
      </c>
      <c r="F18" s="22">
        <v>0.93962999999999997</v>
      </c>
      <c r="G18" s="22">
        <v>0.92000099999999996</v>
      </c>
      <c r="H18" s="22">
        <v>0.91678499999999996</v>
      </c>
      <c r="I18" s="22">
        <v>0.913246</v>
      </c>
      <c r="J18" s="22">
        <v>0.90834700000000002</v>
      </c>
      <c r="K18" s="22">
        <v>0.90615900000000005</v>
      </c>
      <c r="L18" s="5"/>
      <c r="M18" s="5" t="s">
        <v>91</v>
      </c>
      <c r="N18" s="57">
        <f t="shared" si="2"/>
        <v>2.8791993469624165E-3</v>
      </c>
      <c r="O18" s="57">
        <f t="shared" si="0"/>
        <v>2.8011624659979935E-3</v>
      </c>
      <c r="P18" s="57">
        <f t="shared" si="0"/>
        <v>4.5877868949912599E-3</v>
      </c>
      <c r="Q18" s="57">
        <f t="shared" si="0"/>
        <v>4.7283951891358075E-3</v>
      </c>
      <c r="R18" s="57">
        <f t="shared" si="0"/>
        <v>4.6981494597128116E-3</v>
      </c>
      <c r="S18" s="57">
        <f t="shared" si="0"/>
        <v>4.6000053220003724E-3</v>
      </c>
      <c r="T18" s="57">
        <f t="shared" si="0"/>
        <v>4.5839246562056494E-3</v>
      </c>
      <c r="U18" s="57">
        <f t="shared" si="0"/>
        <v>4.5662300913246016E-3</v>
      </c>
      <c r="V18" s="57">
        <f t="shared" si="0"/>
        <v>4.5417337510232176E-3</v>
      </c>
      <c r="W18" s="57">
        <f t="shared" si="0"/>
        <v>4.5307952265397607E-3</v>
      </c>
      <c r="Y18" s="80">
        <f t="shared" si="3"/>
        <v>0.59342453999630829</v>
      </c>
      <c r="Z18" s="80">
        <f t="shared" si="4"/>
        <v>3.0648392648328433E-2</v>
      </c>
      <c r="AA18" s="80">
        <f t="shared" si="5"/>
        <v>-6.3966162330276362E-3</v>
      </c>
      <c r="AB18" s="80">
        <f t="shared" si="6"/>
        <v>-2.0889956472018783E-2</v>
      </c>
      <c r="AC18" s="81">
        <f t="shared" si="7"/>
        <v>-3.4957928674156837E-3</v>
      </c>
      <c r="AD18" s="81">
        <f t="shared" si="8"/>
        <v>-3.8601343189821127E-3</v>
      </c>
      <c r="AE18" s="81">
        <f t="shared" si="9"/>
        <v>-5.3646749750794875E-3</v>
      </c>
      <c r="AF18" s="81">
        <f t="shared" si="10"/>
        <v>-2.4084468802233437E-3</v>
      </c>
    </row>
    <row r="19" spans="1:32" x14ac:dyDescent="0.25">
      <c r="A19" s="27" t="s">
        <v>92</v>
      </c>
      <c r="B19" s="24"/>
      <c r="C19" s="24"/>
      <c r="D19" s="26">
        <f>22</f>
        <v>22</v>
      </c>
      <c r="E19" s="26">
        <v>23.842644</v>
      </c>
      <c r="F19" s="26">
        <v>26.687304000000001</v>
      </c>
      <c r="G19" s="26">
        <v>27.802261000000001</v>
      </c>
      <c r="H19" s="26">
        <v>28.128895</v>
      </c>
      <c r="I19" s="26">
        <v>28.519258000000001</v>
      </c>
      <c r="J19" s="26">
        <v>29.031044000000001</v>
      </c>
      <c r="K19" s="26">
        <v>29.250595000000001</v>
      </c>
      <c r="L19" s="5"/>
      <c r="M19" s="27" t="s">
        <v>92</v>
      </c>
      <c r="N19" s="57">
        <f t="shared" si="2"/>
        <v>0</v>
      </c>
      <c r="O19" s="57">
        <f t="shared" si="0"/>
        <v>0</v>
      </c>
      <c r="P19" s="57">
        <f t="shared" si="0"/>
        <v>0.10999848697081173</v>
      </c>
      <c r="Q19" s="57">
        <f t="shared" si="0"/>
        <v>0.11921322476852898</v>
      </c>
      <c r="R19" s="57">
        <f t="shared" si="0"/>
        <v>0.13343650465480197</v>
      </c>
      <c r="S19" s="57">
        <f t="shared" si="0"/>
        <v>0.13901131473079206</v>
      </c>
      <c r="T19" s="57">
        <f t="shared" si="0"/>
        <v>0.14064446445166515</v>
      </c>
      <c r="U19" s="57">
        <f t="shared" si="0"/>
        <v>0.14259629285192585</v>
      </c>
      <c r="V19" s="57">
        <f t="shared" si="0"/>
        <v>0.14515518008232547</v>
      </c>
      <c r="W19" s="57">
        <f t="shared" si="0"/>
        <v>0.1462529823126491</v>
      </c>
      <c r="Y19" s="80" t="e">
        <f t="shared" si="3"/>
        <v>#DIV/0!</v>
      </c>
      <c r="Z19" s="80">
        <f t="shared" si="4"/>
        <v>8.3771495876687821E-2</v>
      </c>
      <c r="AA19" s="80">
        <f t="shared" si="5"/>
        <v>0.11930958091176294</v>
      </c>
      <c r="AB19" s="80">
        <f t="shared" si="6"/>
        <v>4.1778747805272853E-2</v>
      </c>
      <c r="AC19" s="81">
        <f t="shared" si="7"/>
        <v>1.1748322242947097E-2</v>
      </c>
      <c r="AD19" s="81">
        <f t="shared" si="8"/>
        <v>1.3877747751184912E-2</v>
      </c>
      <c r="AE19" s="81">
        <f t="shared" si="9"/>
        <v>1.7944977244652587E-2</v>
      </c>
      <c r="AF19" s="81">
        <f t="shared" si="10"/>
        <v>7.5629559324097576E-3</v>
      </c>
    </row>
    <row r="20" spans="1:32" x14ac:dyDescent="0.25">
      <c r="A20" s="27" t="s">
        <v>93</v>
      </c>
      <c r="B20" s="24"/>
      <c r="C20" s="24"/>
      <c r="D20" s="26">
        <f>4.5</f>
        <v>4.5</v>
      </c>
      <c r="E20" s="26">
        <v>4.922301</v>
      </c>
      <c r="F20" s="26">
        <v>5.615386</v>
      </c>
      <c r="G20" s="26">
        <v>5.8298199999999998</v>
      </c>
      <c r="H20" s="26">
        <v>6.0839109999999996</v>
      </c>
      <c r="I20" s="26">
        <v>6.2363910000000002</v>
      </c>
      <c r="J20" s="26">
        <v>6.3296049999999999</v>
      </c>
      <c r="K20" s="26">
        <v>6.44</v>
      </c>
      <c r="L20" s="5"/>
      <c r="M20" s="27" t="s">
        <v>93</v>
      </c>
      <c r="N20" s="57">
        <f t="shared" si="2"/>
        <v>0</v>
      </c>
      <c r="O20" s="57">
        <f t="shared" si="0"/>
        <v>0</v>
      </c>
      <c r="P20" s="57">
        <f t="shared" si="0"/>
        <v>2.2499690516756942E-2</v>
      </c>
      <c r="Q20" s="57">
        <f t="shared" si="0"/>
        <v>2.4611505984460238E-2</v>
      </c>
      <c r="R20" s="57">
        <f t="shared" si="0"/>
        <v>2.8076926771153421E-2</v>
      </c>
      <c r="S20" s="57">
        <f t="shared" si="0"/>
        <v>2.9149102040437146E-2</v>
      </c>
      <c r="T20" s="57">
        <f t="shared" si="0"/>
        <v>3.0419552718533537E-2</v>
      </c>
      <c r="U20" s="57">
        <f t="shared" si="0"/>
        <v>3.1181955623639113E-2</v>
      </c>
      <c r="V20" s="57">
        <f t="shared" si="0"/>
        <v>3.1648016296795513E-2</v>
      </c>
      <c r="W20" s="57">
        <f t="shared" si="0"/>
        <v>3.2200001610000077E-2</v>
      </c>
      <c r="Y20" s="80" t="e">
        <f t="shared" si="3"/>
        <v>#DIV/0!</v>
      </c>
      <c r="Z20" s="80">
        <f t="shared" si="4"/>
        <v>9.3859756254446841E-2</v>
      </c>
      <c r="AA20" s="80">
        <f t="shared" si="5"/>
        <v>0.14080490600133361</v>
      </c>
      <c r="AB20" s="80">
        <f t="shared" si="6"/>
        <v>3.8187059360972921E-2</v>
      </c>
      <c r="AC20" s="82">
        <f t="shared" si="7"/>
        <v>4.3584556269827997E-2</v>
      </c>
      <c r="AD20" s="82">
        <f t="shared" si="8"/>
        <v>2.5062922921975494E-2</v>
      </c>
      <c r="AE20" s="81">
        <f t="shared" si="9"/>
        <v>1.4946486319898351E-2</v>
      </c>
      <c r="AF20" s="81">
        <f t="shared" si="10"/>
        <v>1.744138741676694E-2</v>
      </c>
    </row>
    <row r="21" spans="1:32" x14ac:dyDescent="0.25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5"/>
      <c r="M21" s="5"/>
      <c r="N21" s="57"/>
      <c r="O21" s="57"/>
      <c r="P21" s="57"/>
      <c r="Q21" s="57"/>
      <c r="R21" s="57"/>
      <c r="S21" s="57"/>
      <c r="T21" s="57"/>
      <c r="U21" s="57"/>
      <c r="V21" s="57"/>
      <c r="W21" s="57"/>
      <c r="Y21" s="80"/>
      <c r="Z21" s="80"/>
      <c r="AA21" s="80"/>
      <c r="AB21" s="80"/>
      <c r="AC21" s="82"/>
      <c r="AD21" s="82"/>
      <c r="AE21" s="82"/>
      <c r="AF21" s="82"/>
    </row>
    <row r="22" spans="1:32" ht="13.8" x14ac:dyDescent="0.3">
      <c r="A22" s="5" t="s">
        <v>94</v>
      </c>
      <c r="B22" s="20"/>
      <c r="C22" s="20"/>
      <c r="D22" s="28"/>
      <c r="E22" s="28"/>
      <c r="F22" s="28"/>
      <c r="G22" s="28"/>
      <c r="H22" s="28"/>
      <c r="I22" s="28"/>
      <c r="J22" s="28"/>
      <c r="K22" s="20"/>
      <c r="L22" s="5"/>
      <c r="M22" s="5"/>
      <c r="N22" s="57"/>
      <c r="O22" s="57"/>
      <c r="P22" s="57"/>
      <c r="Q22" s="57"/>
      <c r="R22" s="57"/>
      <c r="S22" s="57"/>
      <c r="T22" s="57"/>
      <c r="U22" s="57"/>
      <c r="V22" s="57"/>
      <c r="W22" s="57"/>
      <c r="Y22" s="80"/>
      <c r="Z22" s="80"/>
      <c r="AA22" s="80"/>
      <c r="AB22" s="80"/>
      <c r="AC22" s="82"/>
      <c r="AD22" s="82"/>
      <c r="AE22" s="82"/>
      <c r="AF22" s="82"/>
    </row>
    <row r="23" spans="1:32" x14ac:dyDescent="0.25">
      <c r="A23" s="5" t="s">
        <v>95</v>
      </c>
      <c r="B23" s="20">
        <v>4.2962829999999999</v>
      </c>
      <c r="C23" s="20">
        <v>3.6814580000000001</v>
      </c>
      <c r="D23" s="22">
        <v>4.8057420000000004</v>
      </c>
      <c r="E23" s="29">
        <v>3.6252209999999998</v>
      </c>
      <c r="F23" s="29">
        <v>3.4710239999999999</v>
      </c>
      <c r="G23" s="29">
        <v>3.415575</v>
      </c>
      <c r="H23" s="29">
        <v>3.412992</v>
      </c>
      <c r="I23" s="29">
        <v>3.3948140000000002</v>
      </c>
      <c r="J23" s="29">
        <v>3.3562880000000002</v>
      </c>
      <c r="K23" s="29">
        <v>3.3475769999999998</v>
      </c>
      <c r="L23" s="5"/>
      <c r="M23" s="5" t="s">
        <v>95</v>
      </c>
      <c r="N23" s="57">
        <f t="shared" si="2"/>
        <v>2.1481335519058582E-2</v>
      </c>
      <c r="O23" s="57">
        <f t="shared" si="0"/>
        <v>1.8407733350257742E-2</v>
      </c>
      <c r="P23" s="57">
        <f t="shared" si="0"/>
        <v>2.4028379489640123E-2</v>
      </c>
      <c r="Q23" s="57">
        <f t="shared" si="0"/>
        <v>1.8126105725044226E-2</v>
      </c>
      <c r="R23" s="57">
        <f t="shared" si="0"/>
        <v>1.7355118004161427E-2</v>
      </c>
      <c r="S23" s="57">
        <f t="shared" si="0"/>
        <v>1.7077876195451334E-2</v>
      </c>
      <c r="T23" s="57">
        <f t="shared" si="0"/>
        <v>1.7064958720128091E-2</v>
      </c>
      <c r="U23" s="57">
        <f t="shared" si="0"/>
        <v>1.6974070339481406E-2</v>
      </c>
      <c r="V23" s="57">
        <f t="shared" si="0"/>
        <v>1.6781435385105268E-2</v>
      </c>
      <c r="W23" s="57">
        <f t="shared" si="0"/>
        <v>1.6737885836894287E-2</v>
      </c>
      <c r="Y23" s="80">
        <f t="shared" si="3"/>
        <v>0.11857009394605672</v>
      </c>
      <c r="Z23" s="80">
        <f t="shared" si="4"/>
        <v>-0.2456376122718002</v>
      </c>
      <c r="AA23" s="80">
        <f t="shared" si="5"/>
        <v>-4.2534658716988007E-2</v>
      </c>
      <c r="AB23" s="80">
        <f t="shared" si="6"/>
        <v>-1.5974642675642747E-2</v>
      </c>
      <c r="AC23" s="81">
        <f t="shared" si="7"/>
        <v>-7.5638651875719178E-4</v>
      </c>
      <c r="AD23" s="81">
        <f t="shared" si="8"/>
        <v>-5.3260240553340684E-3</v>
      </c>
      <c r="AE23" s="81">
        <f t="shared" si="9"/>
        <v>-1.1348777902025774E-2</v>
      </c>
      <c r="AF23" s="81">
        <f t="shared" si="10"/>
        <v>-2.5951026960204971E-3</v>
      </c>
    </row>
    <row r="24" spans="1:32" x14ac:dyDescent="0.25">
      <c r="A24" s="5" t="s">
        <v>96</v>
      </c>
      <c r="B24" s="20">
        <v>23.124727</v>
      </c>
      <c r="C24" s="20">
        <v>23.398491</v>
      </c>
      <c r="D24" s="22">
        <v>22.435198</v>
      </c>
      <c r="E24" s="29">
        <v>19.811509999999998</v>
      </c>
      <c r="F24" s="29">
        <v>20.655066999999999</v>
      </c>
      <c r="G24" s="29">
        <v>20.935188</v>
      </c>
      <c r="H24" s="29">
        <v>21.121120000000001</v>
      </c>
      <c r="I24" s="29">
        <v>21.241116999999999</v>
      </c>
      <c r="J24" s="29">
        <v>21.344678999999999</v>
      </c>
      <c r="K24" s="29">
        <v>21.422118999999999</v>
      </c>
      <c r="L24" s="5"/>
      <c r="M24" s="5" t="s">
        <v>96</v>
      </c>
      <c r="N24" s="57">
        <f t="shared" si="2"/>
        <v>0.1156232071941334</v>
      </c>
      <c r="O24" s="57">
        <f t="shared" si="0"/>
        <v>0.11699527283114614</v>
      </c>
      <c r="P24" s="57">
        <f t="shared" si="0"/>
        <v>0.11217444704048096</v>
      </c>
      <c r="Q24" s="57">
        <f t="shared" si="0"/>
        <v>9.9057553962302147E-2</v>
      </c>
      <c r="R24" s="57">
        <f t="shared" si="0"/>
        <v>0.10327532312333784</v>
      </c>
      <c r="S24" s="57">
        <f t="shared" si="0"/>
        <v>0.10467594732731632</v>
      </c>
      <c r="T24" s="57">
        <f t="shared" si="0"/>
        <v>0.10560559207958058</v>
      </c>
      <c r="U24" s="57">
        <f t="shared" si="0"/>
        <v>0.10620558712411174</v>
      </c>
      <c r="V24" s="57">
        <f t="shared" si="0"/>
        <v>0.10672336565107443</v>
      </c>
      <c r="W24" s="57">
        <f t="shared" si="0"/>
        <v>0.10711060035552999</v>
      </c>
      <c r="Y24" s="80">
        <f t="shared" si="3"/>
        <v>-2.9827577329366969E-2</v>
      </c>
      <c r="Z24" s="80">
        <f t="shared" si="4"/>
        <v>-0.11693298629272722</v>
      </c>
      <c r="AA24" s="80">
        <f t="shared" si="5"/>
        <v>4.2578975477638288E-2</v>
      </c>
      <c r="AB24" s="80">
        <f t="shared" si="6"/>
        <v>1.3562041363024961E-2</v>
      </c>
      <c r="AC24" s="81">
        <f t="shared" si="7"/>
        <v>8.8811687498495401E-3</v>
      </c>
      <c r="AD24" s="81">
        <f t="shared" si="8"/>
        <v>5.6814703910662966E-3</v>
      </c>
      <c r="AE24" s="81">
        <f t="shared" si="9"/>
        <v>4.8752475362488865E-3</v>
      </c>
      <c r="AF24" s="81">
        <f t="shared" si="10"/>
        <v>3.6283966692130373E-3</v>
      </c>
    </row>
    <row r="25" spans="1:32" x14ac:dyDescent="0.25">
      <c r="A25" s="5" t="s">
        <v>97</v>
      </c>
      <c r="B25" s="20">
        <v>0.98439600000000005</v>
      </c>
      <c r="C25" s="20">
        <v>1.185597</v>
      </c>
      <c r="D25" s="22">
        <v>1.3182860000000001</v>
      </c>
      <c r="E25" s="29">
        <v>3.6015039999999998</v>
      </c>
      <c r="F25" s="29">
        <v>3.7747869999999999</v>
      </c>
      <c r="G25" s="29">
        <v>3.8654410000000001</v>
      </c>
      <c r="H25" s="29">
        <v>3.8462619999999998</v>
      </c>
      <c r="I25" s="29">
        <v>3.8348770000000001</v>
      </c>
      <c r="J25" s="29">
        <v>3.8629519999999999</v>
      </c>
      <c r="K25" s="29">
        <v>3.8525969999999998</v>
      </c>
      <c r="L25" s="5"/>
      <c r="M25" s="5" t="s">
        <v>97</v>
      </c>
      <c r="N25" s="57">
        <f t="shared" si="2"/>
        <v>4.9219617887413828E-3</v>
      </c>
      <c r="O25" s="57">
        <f t="shared" si="0"/>
        <v>5.9281277789575565E-3</v>
      </c>
      <c r="P25" s="57">
        <f t="shared" si="0"/>
        <v>6.5913393361274322E-3</v>
      </c>
      <c r="Q25" s="57">
        <f t="shared" si="0"/>
        <v>1.8007520720300825E-2</v>
      </c>
      <c r="R25" s="57">
        <f t="shared" si="0"/>
        <v>1.8873932829497723E-2</v>
      </c>
      <c r="S25" s="57">
        <f t="shared" si="0"/>
        <v>1.9327206352904448E-2</v>
      </c>
      <c r="T25" s="57">
        <f t="shared" si="0"/>
        <v>1.9231308557651854E-2</v>
      </c>
      <c r="U25" s="57">
        <f t="shared" si="0"/>
        <v>1.9174385383487706E-2</v>
      </c>
      <c r="V25" s="57">
        <f t="shared" si="0"/>
        <v>1.9314754688442456E-2</v>
      </c>
      <c r="W25" s="57">
        <f t="shared" si="0"/>
        <v>1.9262985963149296E-2</v>
      </c>
      <c r="Y25" s="80">
        <f t="shared" si="3"/>
        <v>0.33916914007837784</v>
      </c>
      <c r="Z25" s="80">
        <f t="shared" si="4"/>
        <v>1.7319972166507618</v>
      </c>
      <c r="AA25" s="80">
        <f t="shared" si="5"/>
        <v>4.8113903221566008E-2</v>
      </c>
      <c r="AB25" s="80">
        <f t="shared" si="6"/>
        <v>2.4015849134437519E-2</v>
      </c>
      <c r="AC25" s="81">
        <f t="shared" si="7"/>
        <v>-4.9618032477923369E-3</v>
      </c>
      <c r="AD25" s="81">
        <f t="shared" si="8"/>
        <v>-2.9599220455281956E-3</v>
      </c>
      <c r="AE25" s="81">
        <f t="shared" si="9"/>
        <v>7.3206677631310821E-3</v>
      </c>
      <c r="AF25" s="81">
        <f t="shared" si="10"/>
        <v>-2.6802683300004237E-3</v>
      </c>
    </row>
    <row r="26" spans="1:32" x14ac:dyDescent="0.25">
      <c r="A26" s="5" t="s">
        <v>98</v>
      </c>
      <c r="B26" s="20">
        <v>8.7353360000000002</v>
      </c>
      <c r="C26" s="20">
        <v>8.8096219999999992</v>
      </c>
      <c r="D26" s="22">
        <v>7.3835230000000003</v>
      </c>
      <c r="E26" s="29">
        <v>4.1534849999999999</v>
      </c>
      <c r="F26" s="29">
        <v>4.0759020000000001</v>
      </c>
      <c r="G26" s="29">
        <v>4.0320539999999996</v>
      </c>
      <c r="H26" s="29">
        <v>4.0037760000000002</v>
      </c>
      <c r="I26" s="29">
        <v>3.9764370000000002</v>
      </c>
      <c r="J26" s="29">
        <v>3.9553229999999999</v>
      </c>
      <c r="K26" s="29">
        <v>3.9383900000000001</v>
      </c>
      <c r="L26" s="5"/>
      <c r="M26" s="5" t="s">
        <v>98</v>
      </c>
      <c r="N26" s="57">
        <f t="shared" si="2"/>
        <v>4.3676518396881935E-2</v>
      </c>
      <c r="O26" s="57">
        <f t="shared" si="0"/>
        <v>4.4049170924281705E-2</v>
      </c>
      <c r="P26" s="57">
        <f t="shared" si="0"/>
        <v>3.6917107205190397E-2</v>
      </c>
      <c r="Q26" s="57">
        <f t="shared" si="0"/>
        <v>2.0767425830697031E-2</v>
      </c>
      <c r="R26" s="57">
        <f t="shared" si="0"/>
        <v>2.037950765635662E-2</v>
      </c>
      <c r="S26" s="57">
        <f t="shared" si="0"/>
        <v>2.0160271411219E-2</v>
      </c>
      <c r="T26" s="57">
        <f t="shared" si="0"/>
        <v>2.0018878498584108E-2</v>
      </c>
      <c r="U26" s="57">
        <f t="shared" si="0"/>
        <v>1.988218539764371E-2</v>
      </c>
      <c r="V26" s="57">
        <f t="shared" si="0"/>
        <v>1.9776609561432366E-2</v>
      </c>
      <c r="W26" s="57">
        <f t="shared" si="0"/>
        <v>1.9691950984597546E-2</v>
      </c>
      <c r="Y26" s="80">
        <f t="shared" si="3"/>
        <v>-0.15476076023894092</v>
      </c>
      <c r="Z26" s="80">
        <f t="shared" si="4"/>
        <v>-0.4374579320294843</v>
      </c>
      <c r="AA26" s="80">
        <f t="shared" si="5"/>
        <v>-1.8679165030025834E-2</v>
      </c>
      <c r="AB26" s="80">
        <f t="shared" si="6"/>
        <v>-1.0757681139035621E-2</v>
      </c>
      <c r="AC26" s="81">
        <f t="shared" si="7"/>
        <v>-7.0134429120933392E-3</v>
      </c>
      <c r="AD26" s="81">
        <f t="shared" si="8"/>
        <v>-6.828209729634287E-3</v>
      </c>
      <c r="AE26" s="81">
        <f t="shared" si="9"/>
        <v>-5.3100720116942175E-3</v>
      </c>
      <c r="AF26" s="81">
        <f t="shared" si="10"/>
        <v>-4.2807426910990319E-3</v>
      </c>
    </row>
    <row r="27" spans="1:32" x14ac:dyDescent="0.25">
      <c r="A27" s="5" t="s">
        <v>99</v>
      </c>
      <c r="B27" s="30">
        <v>5.16</v>
      </c>
      <c r="C27" s="30">
        <v>5</v>
      </c>
      <c r="D27" s="30">
        <v>4.8</v>
      </c>
      <c r="E27" s="29">
        <v>4.7375350000000003</v>
      </c>
      <c r="F27" s="29">
        <v>4.3427740000000004</v>
      </c>
      <c r="G27" s="29">
        <v>4.173527</v>
      </c>
      <c r="H27" s="29">
        <v>4.0789210000000002</v>
      </c>
      <c r="I27" s="29">
        <v>4.0103989999999996</v>
      </c>
      <c r="J27" s="29">
        <v>3.9482819999999998</v>
      </c>
      <c r="K27" s="29">
        <v>3.9039860000000002</v>
      </c>
      <c r="L27" s="5"/>
      <c r="M27" s="5" t="s">
        <v>99</v>
      </c>
      <c r="N27" s="57">
        <f t="shared" si="2"/>
        <v>2.5799904540353205E-2</v>
      </c>
      <c r="O27" s="57">
        <f t="shared" si="0"/>
        <v>2.5000602139502531E-2</v>
      </c>
      <c r="P27" s="57">
        <f t="shared" si="0"/>
        <v>2.3999669884540737E-2</v>
      </c>
      <c r="Q27" s="57">
        <f t="shared" si="0"/>
        <v>2.3687675947507036E-2</v>
      </c>
      <c r="R27" s="57">
        <f t="shared" si="0"/>
        <v>2.171386750290524E-2</v>
      </c>
      <c r="S27" s="57">
        <f t="shared" si="0"/>
        <v>2.0867636460734553E-2</v>
      </c>
      <c r="T27" s="57">
        <f t="shared" si="0"/>
        <v>2.0394603470404737E-2</v>
      </c>
      <c r="U27" s="57">
        <f t="shared" si="0"/>
        <v>2.0051995401039906E-2</v>
      </c>
      <c r="V27" s="57">
        <f t="shared" si="0"/>
        <v>1.974140457111374E-2</v>
      </c>
      <c r="W27" s="57">
        <f t="shared" si="0"/>
        <v>1.9519930975996549E-2</v>
      </c>
      <c r="Y27" s="80">
        <f t="shared" si="3"/>
        <v>-6.9776795220181945E-2</v>
      </c>
      <c r="Z27" s="80">
        <f t="shared" si="4"/>
        <v>-1.2999926187929356E-2</v>
      </c>
      <c r="AA27" s="80">
        <f t="shared" si="5"/>
        <v>-8.3326386639864788E-2</v>
      </c>
      <c r="AB27" s="80">
        <f t="shared" si="6"/>
        <v>-3.8971917004534715E-2</v>
      </c>
      <c r="AC27" s="81">
        <f t="shared" si="7"/>
        <v>-2.2668259111178965E-2</v>
      </c>
      <c r="AD27" s="81">
        <f t="shared" si="8"/>
        <v>-1.6798957129124898E-2</v>
      </c>
      <c r="AE27" s="81">
        <f t="shared" si="9"/>
        <v>-1.5489272948369921E-2</v>
      </c>
      <c r="AF27" s="81">
        <f t="shared" si="10"/>
        <v>-1.1218735441005994E-2</v>
      </c>
    </row>
    <row r="28" spans="1:32" x14ac:dyDescent="0.25">
      <c r="A28" s="5" t="s">
        <v>100</v>
      </c>
      <c r="B28" s="30">
        <v>5.2</v>
      </c>
      <c r="C28" s="30">
        <v>5.0999999999999996</v>
      </c>
      <c r="D28" s="30">
        <v>4.9000000000000004</v>
      </c>
      <c r="E28" s="29">
        <v>4.8219000000000003</v>
      </c>
      <c r="F28" s="29">
        <v>4.6057220000000001</v>
      </c>
      <c r="G28" s="29">
        <v>4.4955629999999998</v>
      </c>
      <c r="H28" s="29">
        <v>4.4288850000000002</v>
      </c>
      <c r="I28" s="29">
        <v>4.382504</v>
      </c>
      <c r="J28" s="29">
        <v>4.3473769999999998</v>
      </c>
      <c r="K28" s="29">
        <v>4.3163010000000002</v>
      </c>
      <c r="L28" s="5"/>
      <c r="M28" s="5" t="s">
        <v>100</v>
      </c>
      <c r="N28" s="57">
        <f t="shared" si="2"/>
        <v>2.5999903800355943E-2</v>
      </c>
      <c r="O28" s="57">
        <f t="shared" si="0"/>
        <v>2.5500614182292578E-2</v>
      </c>
      <c r="P28" s="57">
        <f t="shared" si="0"/>
        <v>2.4499663007135339E-2</v>
      </c>
      <c r="Q28" s="57">
        <f t="shared" si="0"/>
        <v>2.4109500964380037E-2</v>
      </c>
      <c r="R28" s="57">
        <f t="shared" si="0"/>
        <v>2.3028607351710154E-2</v>
      </c>
      <c r="S28" s="57">
        <f t="shared" si="0"/>
        <v>2.2477816573447162E-2</v>
      </c>
      <c r="T28" s="57">
        <f t="shared" si="0"/>
        <v>2.2144423339168245E-2</v>
      </c>
      <c r="U28" s="57">
        <f t="shared" si="0"/>
        <v>2.1912520438250406E-2</v>
      </c>
      <c r="V28" s="57">
        <f t="shared" si="0"/>
        <v>2.1736879022358265E-2</v>
      </c>
      <c r="W28" s="57">
        <f t="shared" si="0"/>
        <v>2.1581506079075302E-2</v>
      </c>
      <c r="Y28" s="80">
        <f t="shared" si="3"/>
        <v>-5.7701782465828397E-2</v>
      </c>
      <c r="Z28" s="80">
        <f t="shared" si="4"/>
        <v>-1.59252003850694E-2</v>
      </c>
      <c r="AA28" s="80">
        <f t="shared" si="5"/>
        <v>-4.4832682943824573E-2</v>
      </c>
      <c r="AB28" s="80">
        <f t="shared" si="6"/>
        <v>-2.3917676386196591E-2</v>
      </c>
      <c r="AC28" s="81">
        <f t="shared" si="7"/>
        <v>-1.4832100492925604E-2</v>
      </c>
      <c r="AD28" s="81">
        <f t="shared" si="8"/>
        <v>-1.0472293514532757E-2</v>
      </c>
      <c r="AE28" s="81">
        <f t="shared" si="9"/>
        <v>-8.0155733972775631E-3</v>
      </c>
      <c r="AF28" s="81">
        <f t="shared" si="10"/>
        <v>-7.1478956626270249E-3</v>
      </c>
    </row>
    <row r="29" spans="1:32" x14ac:dyDescent="0.25">
      <c r="A29" s="27" t="s">
        <v>92</v>
      </c>
      <c r="B29" s="30">
        <v>21</v>
      </c>
      <c r="C29" s="30">
        <v>21</v>
      </c>
      <c r="D29" s="30">
        <v>22</v>
      </c>
      <c r="E29" s="29">
        <v>22.595912999999999</v>
      </c>
      <c r="F29" s="29">
        <v>22.502846000000002</v>
      </c>
      <c r="G29" s="29">
        <v>22.578990999999998</v>
      </c>
      <c r="H29" s="29">
        <v>22.615632999999999</v>
      </c>
      <c r="I29" s="29">
        <v>22.645882</v>
      </c>
      <c r="J29" s="29">
        <v>22.642022999999998</v>
      </c>
      <c r="K29" s="29">
        <v>22.659421999999999</v>
      </c>
      <c r="L29" s="5"/>
      <c r="M29" s="27" t="s">
        <v>92</v>
      </c>
      <c r="N29" s="57">
        <f t="shared" si="2"/>
        <v>0.10499961150143745</v>
      </c>
      <c r="O29" s="57">
        <f t="shared" ref="O29:O30" si="11">C29/C$31</f>
        <v>0.10500252898591063</v>
      </c>
      <c r="P29" s="57">
        <f t="shared" ref="P29:P30" si="12">D29/D$31</f>
        <v>0.10999848697081173</v>
      </c>
      <c r="Q29" s="57">
        <f t="shared" ref="Q29:Q30" si="13">E29/E$31</f>
        <v>0.11297956951918277</v>
      </c>
      <c r="R29" s="57">
        <f t="shared" ref="R29:R30" si="14">F29/F$31</f>
        <v>0.11251421706086505</v>
      </c>
      <c r="S29" s="57">
        <f t="shared" ref="S29:S30" si="15">G29/G$31</f>
        <v>0.1128949629026474</v>
      </c>
      <c r="T29" s="57">
        <f t="shared" ref="T29:T30" si="16">H29/H$31</f>
        <v>0.11307815651913823</v>
      </c>
      <c r="U29" s="57">
        <f t="shared" ref="U29:U30" si="17">I29/I$31</f>
        <v>0.11322941226458824</v>
      </c>
      <c r="V29" s="57">
        <f t="shared" ref="V29:V30" si="18">J29/J$31</f>
        <v>0.1132100838672269</v>
      </c>
      <c r="W29" s="57">
        <f t="shared" ref="W29:W30" si="19">K29/K$31</f>
        <v>0.11329711566485577</v>
      </c>
      <c r="Y29" s="80">
        <f t="shared" si="3"/>
        <v>4.76085139544144E-2</v>
      </c>
      <c r="Z29" s="80">
        <f t="shared" si="4"/>
        <v>2.7101123210559012E-2</v>
      </c>
      <c r="AA29" s="80">
        <f t="shared" si="5"/>
        <v>-4.1189080494655915E-3</v>
      </c>
      <c r="AB29" s="80">
        <f t="shared" si="6"/>
        <v>3.3839798358672115E-3</v>
      </c>
      <c r="AC29" s="81">
        <f t="shared" si="7"/>
        <v>1.6226907895687244E-3</v>
      </c>
      <c r="AD29" s="81">
        <f t="shared" si="8"/>
        <v>1.3376212533532988E-3</v>
      </c>
      <c r="AE29" s="81">
        <f t="shared" si="9"/>
        <v>-1.7070120717549745E-4</v>
      </c>
      <c r="AF29" s="81">
        <f t="shared" si="10"/>
        <v>7.6876365298817525E-4</v>
      </c>
    </row>
    <row r="30" spans="1:32" x14ac:dyDescent="0.25">
      <c r="A30" s="27" t="s">
        <v>93</v>
      </c>
      <c r="B30" s="30">
        <v>31.5</v>
      </c>
      <c r="C30" s="30">
        <v>31.82</v>
      </c>
      <c r="D30" s="30">
        <v>32.36</v>
      </c>
      <c r="E30" s="29">
        <v>36.652934999999999</v>
      </c>
      <c r="F30" s="29">
        <v>36.571872999999997</v>
      </c>
      <c r="G30" s="29">
        <v>36.503653999999997</v>
      </c>
      <c r="H30" s="29">
        <v>36.492420000000003</v>
      </c>
      <c r="I30" s="29">
        <v>36.513973</v>
      </c>
      <c r="J30" s="29">
        <v>36.543101999999998</v>
      </c>
      <c r="K30" s="29">
        <v>36.559601000000001</v>
      </c>
      <c r="L30" s="5"/>
      <c r="M30" s="27" t="s">
        <v>93</v>
      </c>
      <c r="N30" s="57">
        <f t="shared" si="2"/>
        <v>0.15749941725215619</v>
      </c>
      <c r="O30" s="57">
        <f t="shared" si="11"/>
        <v>0.15910383201579412</v>
      </c>
      <c r="P30" s="57">
        <f t="shared" si="12"/>
        <v>0.16179777447161214</v>
      </c>
      <c r="Q30" s="57">
        <f t="shared" si="13"/>
        <v>0.18326468233058726</v>
      </c>
      <c r="R30" s="57">
        <f t="shared" si="14"/>
        <v>0.18285934397117543</v>
      </c>
      <c r="S30" s="57">
        <f t="shared" si="15"/>
        <v>0.18251828277627979</v>
      </c>
      <c r="T30" s="57">
        <f t="shared" si="16"/>
        <v>0.1824620863153435</v>
      </c>
      <c r="U30" s="57">
        <f t="shared" si="17"/>
        <v>0.18256986865139738</v>
      </c>
      <c r="V30" s="57">
        <f t="shared" si="18"/>
        <v>0.18271545975324852</v>
      </c>
      <c r="W30" s="57">
        <f t="shared" si="19"/>
        <v>0.18279801413990068</v>
      </c>
      <c r="Y30" s="80">
        <f t="shared" si="3"/>
        <v>2.7291257926207412E-2</v>
      </c>
      <c r="Z30" s="80">
        <f t="shared" si="4"/>
        <v>0.13267739886460272</v>
      </c>
      <c r="AA30" s="80">
        <f t="shared" si="5"/>
        <v>-2.2117647233341853E-3</v>
      </c>
      <c r="AB30" s="80">
        <f t="shared" si="6"/>
        <v>-1.8651559580646496E-3</v>
      </c>
      <c r="AC30" s="81">
        <f t="shared" si="7"/>
        <v>-3.0789496855599839E-4</v>
      </c>
      <c r="AD30" s="81">
        <f t="shared" si="8"/>
        <v>5.9071086070781333E-4</v>
      </c>
      <c r="AE30" s="81">
        <f t="shared" si="9"/>
        <v>7.974541633106705E-4</v>
      </c>
      <c r="AF30" s="81">
        <f t="shared" si="10"/>
        <v>4.518193849806376E-4</v>
      </c>
    </row>
    <row r="31" spans="1:32" ht="13.8" thickBot="1" x14ac:dyDescent="0.3">
      <c r="A31" s="5"/>
      <c r="B31" s="31">
        <f>SUM(B13:B30)</f>
        <v>200.00073999999998</v>
      </c>
      <c r="C31" s="31">
        <f t="shared" ref="C31:K31" si="20">SUM(C13:C30)</f>
        <v>199.995183</v>
      </c>
      <c r="D31" s="31">
        <f t="shared" si="20"/>
        <v>200.00275099999999</v>
      </c>
      <c r="E31" s="31">
        <f t="shared" si="20"/>
        <v>199.99999200000002</v>
      </c>
      <c r="F31" s="31">
        <f t="shared" si="20"/>
        <v>200.000023</v>
      </c>
      <c r="G31" s="31">
        <f t="shared" si="20"/>
        <v>199.99998599999998</v>
      </c>
      <c r="H31" s="31">
        <f t="shared" si="20"/>
        <v>200.00001500000005</v>
      </c>
      <c r="I31" s="31">
        <f t="shared" si="20"/>
        <v>199.99999600000001</v>
      </c>
      <c r="J31" s="31">
        <f t="shared" si="20"/>
        <v>200.00005500000003</v>
      </c>
      <c r="K31" s="31">
        <f t="shared" si="20"/>
        <v>199.99999000000003</v>
      </c>
      <c r="L31" s="5"/>
      <c r="M31" s="5"/>
      <c r="N31" s="41">
        <f>SUM(N13:N30)</f>
        <v>1.0000000000000002</v>
      </c>
      <c r="O31" s="41">
        <f t="shared" ref="O31:W31" si="21">SUM(O13:O30)</f>
        <v>1</v>
      </c>
      <c r="P31" s="41">
        <f t="shared" si="21"/>
        <v>1</v>
      </c>
      <c r="Q31" s="41">
        <f t="shared" si="21"/>
        <v>0.99999999999999978</v>
      </c>
      <c r="R31" s="41">
        <f t="shared" si="21"/>
        <v>1</v>
      </c>
      <c r="S31" s="41">
        <f t="shared" si="21"/>
        <v>1</v>
      </c>
      <c r="T31" s="41">
        <f t="shared" si="21"/>
        <v>0.99999999999999978</v>
      </c>
      <c r="U31" s="41">
        <f t="shared" si="21"/>
        <v>1</v>
      </c>
      <c r="V31" s="41">
        <f t="shared" si="21"/>
        <v>0.99999999999999978</v>
      </c>
      <c r="W31" s="41">
        <f t="shared" si="21"/>
        <v>0.99999999999999989</v>
      </c>
    </row>
    <row r="32" spans="1:32" x14ac:dyDescent="0.25">
      <c r="A32" s="90" t="s">
        <v>101</v>
      </c>
      <c r="B32" s="90"/>
      <c r="C32" s="90"/>
      <c r="D32" s="90"/>
      <c r="E32" s="90"/>
      <c r="F32" s="90"/>
      <c r="G32" s="90"/>
      <c r="H32" s="90"/>
      <c r="M32" s="5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x14ac:dyDescent="0.25">
      <c r="A33" s="32" t="s">
        <v>102</v>
      </c>
      <c r="N33" s="19" t="s">
        <v>78</v>
      </c>
      <c r="O33" s="19" t="s">
        <v>79</v>
      </c>
      <c r="P33" s="19">
        <v>2015</v>
      </c>
      <c r="Q33" s="19">
        <v>2020</v>
      </c>
      <c r="R33" s="19">
        <v>2025</v>
      </c>
      <c r="S33" s="19">
        <v>2030</v>
      </c>
      <c r="T33" s="19">
        <v>2035</v>
      </c>
      <c r="U33" s="19">
        <v>2040</v>
      </c>
      <c r="V33" s="19">
        <v>2045</v>
      </c>
      <c r="W33" s="19">
        <v>2050</v>
      </c>
    </row>
    <row r="34" spans="1:23" x14ac:dyDescent="0.25">
      <c r="A34" s="32" t="s">
        <v>103</v>
      </c>
      <c r="M34" t="s">
        <v>401</v>
      </c>
      <c r="N34" s="60">
        <f>N13</f>
        <v>4.4418485651603092E-3</v>
      </c>
      <c r="O34" s="60">
        <f t="shared" ref="O34:W34" si="22">O13</f>
        <v>5.3127429574141303E-3</v>
      </c>
      <c r="P34" s="60">
        <f t="shared" si="22"/>
        <v>3.7032240621530251E-3</v>
      </c>
      <c r="Q34" s="60">
        <f t="shared" si="22"/>
        <v>2.2523200900928034E-3</v>
      </c>
      <c r="R34" s="84">
        <f t="shared" si="22"/>
        <v>2.4329247202136573E-3</v>
      </c>
      <c r="S34" s="83">
        <f t="shared" si="22"/>
        <v>2.5302051771143625E-3</v>
      </c>
      <c r="T34" s="83">
        <f t="shared" si="22"/>
        <v>2.5189098110817631E-3</v>
      </c>
      <c r="U34" s="83">
        <f t="shared" si="22"/>
        <v>2.5375800507516006E-3</v>
      </c>
      <c r="V34" s="83">
        <f t="shared" si="22"/>
        <v>2.568614293631069E-3</v>
      </c>
      <c r="W34" s="83">
        <f t="shared" si="22"/>
        <v>2.5803901290195061E-3</v>
      </c>
    </row>
    <row r="35" spans="1:23" x14ac:dyDescent="0.25">
      <c r="M35" t="s">
        <v>410</v>
      </c>
      <c r="N35" s="60">
        <f>N14+N15+N18</f>
        <v>0.2450445933350047</v>
      </c>
      <c r="O35" s="60">
        <f t="shared" ref="O35:W35" si="23">O14+O15+O18</f>
        <v>0.27113067018219134</v>
      </c>
      <c r="P35" s="60">
        <f t="shared" si="23"/>
        <v>0.13924350470559277</v>
      </c>
      <c r="Q35" s="60">
        <f t="shared" si="23"/>
        <v>0.10119839904793596</v>
      </c>
      <c r="R35" s="84">
        <f t="shared" si="23"/>
        <v>0.10018793847838707</v>
      </c>
      <c r="S35" s="83">
        <f t="shared" si="23"/>
        <v>9.9390051957303646E-2</v>
      </c>
      <c r="T35" s="83">
        <f t="shared" si="23"/>
        <v>9.7472632689552516E-2</v>
      </c>
      <c r="U35" s="83">
        <f t="shared" si="23"/>
        <v>9.6600496932009935E-2</v>
      </c>
      <c r="V35" s="83">
        <f t="shared" si="23"/>
        <v>9.6491163464930044E-2</v>
      </c>
      <c r="W35" s="83">
        <f t="shared" si="23"/>
        <v>9.5881174794058721E-2</v>
      </c>
    </row>
    <row r="36" spans="1:23" x14ac:dyDescent="0.25">
      <c r="M36" t="s">
        <v>403</v>
      </c>
      <c r="N36" s="60">
        <f>N16+N17</f>
        <v>0.25051169810671703</v>
      </c>
      <c r="O36" s="60">
        <f t="shared" ref="O36:W36" si="24">O16+O17</f>
        <v>0.22356870465225154</v>
      </c>
      <c r="P36" s="60">
        <f t="shared" si="24"/>
        <v>0.2245482263391467</v>
      </c>
      <c r="Q36" s="60">
        <f t="shared" si="24"/>
        <v>0.25272451510898059</v>
      </c>
      <c r="R36" s="84">
        <f t="shared" si="24"/>
        <v>0.23586578787543439</v>
      </c>
      <c r="S36" s="83">
        <f t="shared" si="24"/>
        <v>0.22991932609435284</v>
      </c>
      <c r="T36" s="83">
        <f t="shared" si="24"/>
        <v>0.22894443282916749</v>
      </c>
      <c r="U36" s="83">
        <f t="shared" si="24"/>
        <v>0.22708364954167298</v>
      </c>
      <c r="V36" s="83">
        <f t="shared" si="24"/>
        <v>0.2241370333623158</v>
      </c>
      <c r="W36" s="83">
        <f t="shared" si="24"/>
        <v>0.22308546115427305</v>
      </c>
    </row>
    <row r="37" spans="1:23" x14ac:dyDescent="0.25">
      <c r="M37" t="s">
        <v>406</v>
      </c>
      <c r="N37" s="60">
        <f>N23+N24</f>
        <v>0.13710454271319197</v>
      </c>
      <c r="O37" s="60">
        <f t="shared" ref="O37:W37" si="25">O23+O24</f>
        <v>0.13540300618140388</v>
      </c>
      <c r="P37" s="60">
        <f t="shared" si="25"/>
        <v>0.13620282653012108</v>
      </c>
      <c r="Q37" s="60">
        <f t="shared" si="25"/>
        <v>0.11718365968734637</v>
      </c>
      <c r="R37" s="84">
        <f t="shared" si="25"/>
        <v>0.12063044112749927</v>
      </c>
      <c r="S37" s="83">
        <f t="shared" si="25"/>
        <v>0.12175382352276765</v>
      </c>
      <c r="T37" s="83">
        <f t="shared" si="25"/>
        <v>0.12267055079970866</v>
      </c>
      <c r="U37" s="83">
        <f t="shared" si="25"/>
        <v>0.12317965746359315</v>
      </c>
      <c r="V37" s="83">
        <f t="shared" si="25"/>
        <v>0.1235048010361797</v>
      </c>
      <c r="W37" s="83">
        <f t="shared" si="25"/>
        <v>0.12384848619242428</v>
      </c>
    </row>
    <row r="38" spans="1:23" x14ac:dyDescent="0.25">
      <c r="M38" t="s">
        <v>407</v>
      </c>
      <c r="N38" s="60">
        <f>N25+N26</f>
        <v>4.8598480185623315E-2</v>
      </c>
      <c r="O38" s="60">
        <f t="shared" ref="O38:W38" si="26">O25+O26</f>
        <v>4.9977298703239262E-2</v>
      </c>
      <c r="P38" s="60">
        <f t="shared" si="26"/>
        <v>4.350844654131783E-2</v>
      </c>
      <c r="Q38" s="60">
        <f t="shared" si="26"/>
        <v>3.8774946550997856E-2</v>
      </c>
      <c r="R38" s="84">
        <f t="shared" si="26"/>
        <v>3.9253440485854343E-2</v>
      </c>
      <c r="S38" s="83">
        <f t="shared" si="26"/>
        <v>3.9487477764123452E-2</v>
      </c>
      <c r="T38" s="83">
        <f t="shared" si="26"/>
        <v>3.9250187056235966E-2</v>
      </c>
      <c r="U38" s="83">
        <f t="shared" si="26"/>
        <v>3.9056570781131415E-2</v>
      </c>
      <c r="V38" s="83">
        <f t="shared" si="26"/>
        <v>3.9091364249874819E-2</v>
      </c>
      <c r="W38" s="83">
        <f t="shared" si="26"/>
        <v>3.8954936947746842E-2</v>
      </c>
    </row>
    <row r="39" spans="1:23" x14ac:dyDescent="0.25">
      <c r="M39" t="s">
        <v>408</v>
      </c>
      <c r="N39" s="60">
        <f>N27</f>
        <v>2.5799904540353205E-2</v>
      </c>
      <c r="O39" s="60">
        <f t="shared" ref="O39:W39" si="27">O27</f>
        <v>2.5000602139502531E-2</v>
      </c>
      <c r="P39" s="60">
        <f t="shared" si="27"/>
        <v>2.3999669884540737E-2</v>
      </c>
      <c r="Q39" s="60">
        <f t="shared" si="27"/>
        <v>2.3687675947507036E-2</v>
      </c>
      <c r="R39" s="84">
        <f t="shared" si="27"/>
        <v>2.171386750290524E-2</v>
      </c>
      <c r="S39" s="83">
        <f t="shared" si="27"/>
        <v>2.0867636460734553E-2</v>
      </c>
      <c r="T39" s="83">
        <f t="shared" si="27"/>
        <v>2.0394603470404737E-2</v>
      </c>
      <c r="U39" s="83">
        <f t="shared" si="27"/>
        <v>2.0051995401039906E-2</v>
      </c>
      <c r="V39" s="83">
        <f t="shared" si="27"/>
        <v>1.974140457111374E-2</v>
      </c>
      <c r="W39" s="83">
        <f t="shared" si="27"/>
        <v>1.9519930975996549E-2</v>
      </c>
    </row>
    <row r="40" spans="1:23" x14ac:dyDescent="0.25">
      <c r="M40" t="s">
        <v>409</v>
      </c>
      <c r="N40" s="60">
        <f>N28</f>
        <v>2.5999903800355943E-2</v>
      </c>
      <c r="O40" s="60">
        <f t="shared" ref="O40:W40" si="28">O28</f>
        <v>2.5500614182292578E-2</v>
      </c>
      <c r="P40" s="60">
        <f t="shared" si="28"/>
        <v>2.4499663007135339E-2</v>
      </c>
      <c r="Q40" s="60">
        <f t="shared" si="28"/>
        <v>2.4109500964380037E-2</v>
      </c>
      <c r="R40" s="84">
        <f t="shared" si="28"/>
        <v>2.3028607351710154E-2</v>
      </c>
      <c r="S40" s="83">
        <f t="shared" si="28"/>
        <v>2.2477816573447162E-2</v>
      </c>
      <c r="T40" s="83">
        <f t="shared" si="28"/>
        <v>2.2144423339168245E-2</v>
      </c>
      <c r="U40" s="83">
        <f t="shared" si="28"/>
        <v>2.1912520438250406E-2</v>
      </c>
      <c r="V40" s="83">
        <f t="shared" si="28"/>
        <v>2.1736879022358265E-2</v>
      </c>
      <c r="W40" s="83">
        <f t="shared" si="28"/>
        <v>2.1581506079075302E-2</v>
      </c>
    </row>
    <row r="41" spans="1:23" x14ac:dyDescent="0.25">
      <c r="M41" t="s">
        <v>404</v>
      </c>
      <c r="N41" s="60">
        <f>N19+N20</f>
        <v>0</v>
      </c>
      <c r="O41" s="60">
        <f t="shared" ref="O41:W41" si="29">O19+O20</f>
        <v>0</v>
      </c>
      <c r="P41" s="60">
        <f t="shared" si="29"/>
        <v>0.13249817748756867</v>
      </c>
      <c r="Q41" s="60">
        <f t="shared" si="29"/>
        <v>0.14382473075298921</v>
      </c>
      <c r="R41" s="84">
        <f t="shared" si="29"/>
        <v>0.16151343142595539</v>
      </c>
      <c r="S41" s="83">
        <f t="shared" si="29"/>
        <v>0.1681604167712292</v>
      </c>
      <c r="T41" s="83">
        <f t="shared" si="29"/>
        <v>0.17106401717019867</v>
      </c>
      <c r="U41" s="83">
        <f t="shared" si="29"/>
        <v>0.17377824847556497</v>
      </c>
      <c r="V41" s="83">
        <f t="shared" si="29"/>
        <v>0.17680319637912098</v>
      </c>
      <c r="W41" s="83">
        <f t="shared" si="29"/>
        <v>0.17845298392264919</v>
      </c>
    </row>
    <row r="42" spans="1:23" x14ac:dyDescent="0.25">
      <c r="M42" t="s">
        <v>405</v>
      </c>
      <c r="N42" s="60">
        <f>N29+N30</f>
        <v>0.26249902875359366</v>
      </c>
      <c r="O42" s="60">
        <f t="shared" ref="O42:W42" si="30">O29+O30</f>
        <v>0.26410636100170476</v>
      </c>
      <c r="P42" s="60">
        <f t="shared" si="30"/>
        <v>0.27179626144242386</v>
      </c>
      <c r="Q42" s="60">
        <f t="shared" si="30"/>
        <v>0.29624425184977005</v>
      </c>
      <c r="R42" s="84">
        <f t="shared" si="30"/>
        <v>0.29537356103204049</v>
      </c>
      <c r="S42" s="83">
        <f t="shared" si="30"/>
        <v>0.29541324567892718</v>
      </c>
      <c r="T42" s="83">
        <f t="shared" si="30"/>
        <v>0.29554024283448171</v>
      </c>
      <c r="U42" s="83">
        <f t="shared" si="30"/>
        <v>0.29579928091598562</v>
      </c>
      <c r="V42" s="83">
        <f t="shared" si="30"/>
        <v>0.29592554362047541</v>
      </c>
      <c r="W42" s="83">
        <f t="shared" si="30"/>
        <v>0.29609512980475644</v>
      </c>
    </row>
    <row r="43" spans="1:23" x14ac:dyDescent="0.25">
      <c r="N43" s="60">
        <f>SUM(N34:N42)</f>
        <v>1</v>
      </c>
      <c r="O43" s="60">
        <f t="shared" ref="O43:W43" si="31">SUM(O34:O42)</f>
        <v>1</v>
      </c>
      <c r="P43" s="60">
        <f t="shared" si="31"/>
        <v>1</v>
      </c>
      <c r="Q43" s="60">
        <f t="shared" si="31"/>
        <v>0.99999999999999978</v>
      </c>
      <c r="R43" s="60">
        <f t="shared" si="31"/>
        <v>1</v>
      </c>
      <c r="S43" s="60">
        <f t="shared" si="31"/>
        <v>1</v>
      </c>
      <c r="T43" s="60">
        <f t="shared" si="31"/>
        <v>0.99999999999999978</v>
      </c>
      <c r="U43" s="60">
        <f t="shared" si="31"/>
        <v>1</v>
      </c>
      <c r="V43" s="60">
        <f t="shared" si="31"/>
        <v>0.99999999999999978</v>
      </c>
      <c r="W43" s="60">
        <f t="shared" si="31"/>
        <v>0.99999999999999978</v>
      </c>
    </row>
    <row r="45" spans="1:23" x14ac:dyDescent="0.25">
      <c r="M45" t="s">
        <v>401</v>
      </c>
      <c r="P45" s="80">
        <f>(P34-N34)/N34</f>
        <v>-0.16628763726901766</v>
      </c>
      <c r="Q45" s="80">
        <f>(Q34-P34)/P34</f>
        <v>-0.39179481114536657</v>
      </c>
      <c r="R45" s="80">
        <f>(R34-Q34)/Q34</f>
        <v>8.0186040570020586E-2</v>
      </c>
      <c r="S45" s="60"/>
      <c r="T45" s="60"/>
      <c r="U45" s="60"/>
      <c r="V45" s="60"/>
      <c r="W45" s="60"/>
    </row>
    <row r="46" spans="1:23" x14ac:dyDescent="0.25">
      <c r="M46" t="s">
        <v>402</v>
      </c>
      <c r="P46" s="80">
        <f t="shared" ref="P46:P51" si="32">(P35-N35)/N35</f>
        <v>-0.43176259141032924</v>
      </c>
      <c r="Q46" s="80">
        <f t="shared" ref="Q46:R46" si="33">(Q35-P35)/P35</f>
        <v>-0.2732271479240404</v>
      </c>
      <c r="R46" s="80">
        <f t="shared" si="33"/>
        <v>-9.9849461953468947E-3</v>
      </c>
      <c r="S46" s="60"/>
      <c r="T46" s="60"/>
      <c r="U46" s="60"/>
      <c r="V46" s="60"/>
      <c r="W46" s="60"/>
    </row>
    <row r="47" spans="1:23" x14ac:dyDescent="0.25">
      <c r="M47" t="s">
        <v>403</v>
      </c>
      <c r="P47" s="80">
        <f t="shared" si="32"/>
        <v>-0.10364175391326431</v>
      </c>
      <c r="Q47" s="80">
        <f t="shared" ref="Q47:R47" si="34">(Q36-P36)/P36</f>
        <v>0.12547989903637802</v>
      </c>
      <c r="R47" s="80">
        <f t="shared" si="34"/>
        <v>-6.6707921969011721E-2</v>
      </c>
      <c r="S47" s="60"/>
      <c r="T47" s="60"/>
      <c r="U47" s="60"/>
      <c r="V47" s="60"/>
      <c r="W47" s="60"/>
    </row>
    <row r="48" spans="1:23" x14ac:dyDescent="0.25">
      <c r="M48" t="s">
        <v>406</v>
      </c>
      <c r="P48" s="80">
        <f t="shared" si="32"/>
        <v>-6.5768512496130957E-3</v>
      </c>
      <c r="Q48" s="80">
        <f t="shared" ref="Q48:R48" si="35">(Q37-P37)/P37</f>
        <v>-0.13963856204238648</v>
      </c>
      <c r="R48" s="80">
        <f t="shared" si="35"/>
        <v>2.9413498855976453E-2</v>
      </c>
      <c r="S48" s="60"/>
      <c r="T48" s="60"/>
      <c r="U48" s="60"/>
      <c r="V48" s="60"/>
      <c r="W48" s="60"/>
    </row>
    <row r="49" spans="13:23" x14ac:dyDescent="0.25">
      <c r="M49" t="s">
        <v>407</v>
      </c>
      <c r="P49" s="80">
        <f t="shared" si="32"/>
        <v>-0.10473647786646728</v>
      </c>
      <c r="Q49" s="80">
        <f t="shared" ref="Q49:R49" si="36">(Q38-P38)/P38</f>
        <v>-0.10879496664687401</v>
      </c>
      <c r="R49" s="80">
        <f t="shared" si="36"/>
        <v>1.2340286123338925E-2</v>
      </c>
      <c r="S49" s="60"/>
      <c r="T49" s="60"/>
      <c r="U49" s="60"/>
      <c r="V49" s="60"/>
      <c r="W49" s="60"/>
    </row>
    <row r="50" spans="13:23" x14ac:dyDescent="0.25">
      <c r="M50" t="s">
        <v>408</v>
      </c>
      <c r="P50" s="80">
        <f t="shared" si="32"/>
        <v>-6.9776795220181945E-2</v>
      </c>
      <c r="Q50" s="80">
        <f t="shared" ref="Q50:R50" si="37">(Q39-P39)/P39</f>
        <v>-1.2999926187929356E-2</v>
      </c>
      <c r="R50" s="80">
        <f t="shared" si="37"/>
        <v>-8.3326386639864788E-2</v>
      </c>
      <c r="S50" s="60"/>
      <c r="T50" s="60"/>
      <c r="U50" s="60"/>
      <c r="V50" s="60"/>
      <c r="W50" s="60"/>
    </row>
    <row r="51" spans="13:23" x14ac:dyDescent="0.25">
      <c r="M51" t="s">
        <v>409</v>
      </c>
      <c r="P51" s="80">
        <f t="shared" si="32"/>
        <v>-5.7701782465828397E-2</v>
      </c>
      <c r="Q51" s="80">
        <f t="shared" ref="Q51:R51" si="38">(Q40-P40)/P40</f>
        <v>-1.59252003850694E-2</v>
      </c>
      <c r="R51" s="80">
        <f t="shared" si="38"/>
        <v>-4.4832682943824573E-2</v>
      </c>
      <c r="S51" s="60"/>
      <c r="T51" s="60"/>
      <c r="U51" s="60"/>
      <c r="V51" s="60"/>
      <c r="W51" s="60"/>
    </row>
    <row r="52" spans="13:23" x14ac:dyDescent="0.25">
      <c r="M52" t="s">
        <v>404</v>
      </c>
      <c r="P52" s="80"/>
      <c r="Q52" s="80">
        <f t="shared" ref="Q52:R52" si="39">(Q41-P41)/P41</f>
        <v>8.5484596695552459E-2</v>
      </c>
      <c r="R52" s="80">
        <f t="shared" si="39"/>
        <v>0.12298789353094998</v>
      </c>
    </row>
    <row r="53" spans="13:23" x14ac:dyDescent="0.25">
      <c r="M53" t="s">
        <v>405</v>
      </c>
      <c r="P53" s="80">
        <f t="shared" ref="P53" si="40">(P42-N42)/N42</f>
        <v>3.5418160337490096E-2</v>
      </c>
      <c r="Q53" s="80">
        <f t="shared" ref="Q53:R53" si="41">(Q42-P42)/P42</f>
        <v>8.9949693485850774E-2</v>
      </c>
      <c r="R53" s="80">
        <f t="shared" si="41"/>
        <v>-2.9390977623798709E-3</v>
      </c>
    </row>
  </sheetData>
  <mergeCells count="1">
    <mergeCell ref="A32:H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063F-04E8-4D2F-B839-E2F0FA536243}">
  <sheetPr>
    <tabColor theme="4" tint="0.59999389629810485"/>
  </sheetPr>
  <dimension ref="A1:O24"/>
  <sheetViews>
    <sheetView workbookViewId="0">
      <selection activeCell="A14" sqref="A14"/>
    </sheetView>
  </sheetViews>
  <sheetFormatPr defaultRowHeight="13.2" x14ac:dyDescent="0.25"/>
  <cols>
    <col min="1" max="1" width="27.6640625" customWidth="1"/>
    <col min="2" max="4" width="8.6640625" customWidth="1"/>
  </cols>
  <sheetData>
    <row r="1" spans="1:15" ht="15.6" x14ac:dyDescent="0.3">
      <c r="A1" s="42" t="s">
        <v>113</v>
      </c>
      <c r="B1" s="42"/>
      <c r="C1" s="42"/>
      <c r="D1" s="42"/>
    </row>
    <row r="2" spans="1:15" x14ac:dyDescent="0.25">
      <c r="A2" s="43" t="s">
        <v>114</v>
      </c>
      <c r="B2" s="43"/>
      <c r="C2" s="43"/>
      <c r="D2" s="43"/>
    </row>
    <row r="3" spans="1:15" x14ac:dyDescent="0.25">
      <c r="A3" s="43" t="s">
        <v>112</v>
      </c>
      <c r="B3" s="43"/>
      <c r="C3" s="43"/>
      <c r="D3" s="43"/>
      <c r="E3" s="47" t="s">
        <v>112</v>
      </c>
      <c r="F3" s="47" t="s">
        <v>112</v>
      </c>
      <c r="G3" s="47" t="s">
        <v>112</v>
      </c>
      <c r="H3" s="47" t="s">
        <v>112</v>
      </c>
      <c r="I3" s="47" t="s">
        <v>112</v>
      </c>
      <c r="J3" s="47" t="s">
        <v>112</v>
      </c>
      <c r="K3" s="47" t="s">
        <v>112</v>
      </c>
    </row>
    <row r="4" spans="1:15" ht="13.8" thickBot="1" x14ac:dyDescent="0.3">
      <c r="A4" s="44" t="s">
        <v>115</v>
      </c>
      <c r="B4" s="44">
        <v>2010</v>
      </c>
      <c r="C4" s="44">
        <v>2011</v>
      </c>
      <c r="D4" s="44">
        <v>2015</v>
      </c>
      <c r="E4" s="44">
        <v>2020</v>
      </c>
      <c r="F4" s="44">
        <v>2025</v>
      </c>
      <c r="G4" s="44">
        <v>2030</v>
      </c>
      <c r="H4" s="44">
        <v>2035</v>
      </c>
      <c r="I4" s="44">
        <v>2040</v>
      </c>
      <c r="J4" s="44">
        <v>2045</v>
      </c>
      <c r="K4" s="44">
        <v>2050</v>
      </c>
      <c r="M4" s="50">
        <v>2011</v>
      </c>
      <c r="N4" s="50">
        <v>2015</v>
      </c>
      <c r="O4" s="50">
        <v>2020</v>
      </c>
    </row>
    <row r="5" spans="1:15" ht="13.8" thickTop="1" x14ac:dyDescent="0.25">
      <c r="A5" s="45" t="s">
        <v>116</v>
      </c>
      <c r="B5" s="48"/>
      <c r="C5" s="48"/>
      <c r="D5" s="48"/>
    </row>
    <row r="6" spans="1:15" x14ac:dyDescent="0.25">
      <c r="A6" s="46" t="s">
        <v>117</v>
      </c>
      <c r="B6" s="49">
        <v>2491.23999</v>
      </c>
      <c r="C6" s="49">
        <v>2438.2558589999999</v>
      </c>
      <c r="D6" s="29">
        <v>2439.2565920000002</v>
      </c>
      <c r="E6" s="29">
        <v>2619.2202149999998</v>
      </c>
      <c r="F6" s="29">
        <v>2678.8188479999999</v>
      </c>
      <c r="G6" s="29">
        <v>2755.6813959999999</v>
      </c>
      <c r="H6" s="29">
        <v>2793.9609380000002</v>
      </c>
      <c r="I6" s="29">
        <v>2805.608643</v>
      </c>
      <c r="J6" s="29">
        <v>2824.719482</v>
      </c>
      <c r="K6" s="29">
        <v>2859.9472660000001</v>
      </c>
      <c r="M6" s="40">
        <f t="shared" ref="M6:O7" si="0">C6/C$24*0.95</f>
        <v>0.8809399363503273</v>
      </c>
      <c r="N6" s="40">
        <f t="shared" si="0"/>
        <v>0.84120979545656704</v>
      </c>
      <c r="O6" s="40">
        <f t="shared" si="0"/>
        <v>0.83787767445654038</v>
      </c>
    </row>
    <row r="7" spans="1:15" x14ac:dyDescent="0.25">
      <c r="A7" s="46" t="s">
        <v>118</v>
      </c>
      <c r="B7" s="49">
        <v>9.4312389999999997</v>
      </c>
      <c r="C7" s="49">
        <v>16.446852</v>
      </c>
      <c r="D7" s="29">
        <v>15.09309</v>
      </c>
      <c r="E7" s="29">
        <v>15.833532</v>
      </c>
      <c r="F7" s="29">
        <v>20.855039999999999</v>
      </c>
      <c r="G7" s="29">
        <v>24.296980000000001</v>
      </c>
      <c r="H7" s="29">
        <v>26.775666999999999</v>
      </c>
      <c r="I7" s="29">
        <v>28.416264000000002</v>
      </c>
      <c r="J7" s="29">
        <v>29.459896000000001</v>
      </c>
      <c r="K7" s="29">
        <v>30.198005999999999</v>
      </c>
      <c r="M7" s="40">
        <f t="shared" si="0"/>
        <v>5.9422347743216296E-3</v>
      </c>
      <c r="N7" s="40">
        <f t="shared" si="0"/>
        <v>5.2050510771798116E-3</v>
      </c>
      <c r="O7" s="40">
        <f t="shared" si="0"/>
        <v>5.0650811621783453E-3</v>
      </c>
    </row>
    <row r="8" spans="1:15" x14ac:dyDescent="0.25">
      <c r="M8" s="40"/>
      <c r="N8" s="40"/>
      <c r="O8" s="40"/>
    </row>
    <row r="9" spans="1:15" x14ac:dyDescent="0.25">
      <c r="A9" s="45" t="s">
        <v>119</v>
      </c>
      <c r="M9" s="40"/>
      <c r="N9" s="40"/>
      <c r="O9" s="40"/>
    </row>
    <row r="10" spans="1:15" x14ac:dyDescent="0.25">
      <c r="A10" s="46" t="s">
        <v>120</v>
      </c>
      <c r="B10" s="49">
        <v>117.109604</v>
      </c>
      <c r="C10" s="49">
        <v>135.36729399999999</v>
      </c>
      <c r="D10" s="29">
        <v>241.70822100000001</v>
      </c>
      <c r="E10" s="29">
        <v>244.649506</v>
      </c>
      <c r="F10" s="29">
        <v>218.937408</v>
      </c>
      <c r="G10" s="29">
        <v>190.45347599999999</v>
      </c>
      <c r="H10" s="29">
        <v>170.011154</v>
      </c>
      <c r="I10" s="29">
        <v>159.57792699999999</v>
      </c>
      <c r="J10" s="29">
        <v>155.20985400000001</v>
      </c>
      <c r="K10" s="29">
        <v>153.494507</v>
      </c>
      <c r="M10" s="40">
        <f t="shared" ref="M10:O11" si="1">C10/C$24*0.95</f>
        <v>4.8908097532136818E-2</v>
      </c>
      <c r="N10" s="40">
        <f t="shared" si="1"/>
        <v>8.3356266747184715E-2</v>
      </c>
      <c r="O10" s="40">
        <f t="shared" si="1"/>
        <v>7.8262361435012612E-2</v>
      </c>
    </row>
    <row r="11" spans="1:15" x14ac:dyDescent="0.25">
      <c r="A11" s="46" t="s">
        <v>121</v>
      </c>
      <c r="B11" s="49">
        <v>0.26333299999999998</v>
      </c>
      <c r="C11" s="49">
        <v>0.276059</v>
      </c>
      <c r="D11" s="29">
        <v>2.745044</v>
      </c>
      <c r="E11" s="29">
        <v>2.4492630000000002</v>
      </c>
      <c r="F11" s="29">
        <v>2.094198</v>
      </c>
      <c r="G11" s="29">
        <v>1.675519</v>
      </c>
      <c r="H11" s="29">
        <v>1.4334279999999999</v>
      </c>
      <c r="I11" s="29">
        <v>1.565928</v>
      </c>
      <c r="J11" s="29">
        <v>1.862501</v>
      </c>
      <c r="K11" s="29">
        <v>2.1479629999999998</v>
      </c>
      <c r="M11" s="40">
        <f t="shared" si="1"/>
        <v>9.9739900958825098E-5</v>
      </c>
      <c r="N11" s="40">
        <f t="shared" si="1"/>
        <v>9.4666461467505841E-4</v>
      </c>
      <c r="O11" s="40">
        <f t="shared" si="1"/>
        <v>7.8350906686647194E-4</v>
      </c>
    </row>
    <row r="12" spans="1:15" x14ac:dyDescent="0.25">
      <c r="A12" s="46" t="s">
        <v>122</v>
      </c>
      <c r="B12" s="49">
        <v>0</v>
      </c>
      <c r="C12" s="49">
        <v>0</v>
      </c>
      <c r="D12" s="29">
        <v>1.3594170000000001</v>
      </c>
      <c r="E12" s="29">
        <v>4.5322789999999999</v>
      </c>
      <c r="F12" s="29">
        <v>12.438354</v>
      </c>
      <c r="G12" s="29">
        <v>27.824649999999998</v>
      </c>
      <c r="H12" s="29">
        <v>47.76144</v>
      </c>
      <c r="I12" s="29">
        <v>74.628310999999997</v>
      </c>
      <c r="J12" s="29">
        <v>103.13279</v>
      </c>
      <c r="K12" s="29">
        <v>131.34913599999999</v>
      </c>
      <c r="M12" s="40"/>
      <c r="N12" s="40">
        <f>D12/D$24*0.95</f>
        <v>4.6881287530827344E-4</v>
      </c>
      <c r="O12" s="40">
        <f>E12/E$24*0.95</f>
        <v>1.4498572387156895E-3</v>
      </c>
    </row>
    <row r="13" spans="1:15" x14ac:dyDescent="0.25">
      <c r="A13" s="46" t="s">
        <v>123</v>
      </c>
      <c r="B13" s="49"/>
      <c r="C13" s="49"/>
      <c r="D13" s="29"/>
      <c r="E13" s="29">
        <v>9.5408000000000008</v>
      </c>
      <c r="F13" s="29">
        <v>33.471263999999998</v>
      </c>
      <c r="G13" s="29">
        <v>55.339534999999998</v>
      </c>
      <c r="H13" s="29">
        <v>83.749908000000005</v>
      </c>
      <c r="I13" s="29">
        <v>114.39913900000001</v>
      </c>
      <c r="J13" s="29">
        <v>143.82710299999999</v>
      </c>
      <c r="K13" s="29">
        <v>173.43197599999999</v>
      </c>
      <c r="M13" s="40"/>
      <c r="N13" s="40"/>
      <c r="O13" s="40">
        <f>E13/E$24*0.95</f>
        <v>3.0520623163619565E-3</v>
      </c>
    </row>
    <row r="14" spans="1:15" x14ac:dyDescent="0.25">
      <c r="A14" s="46" t="s">
        <v>124</v>
      </c>
      <c r="B14" s="49">
        <v>0</v>
      </c>
      <c r="C14" s="49">
        <v>0</v>
      </c>
      <c r="D14" s="29">
        <v>1.9552480000000001</v>
      </c>
      <c r="E14" s="29">
        <v>4.1369040000000004</v>
      </c>
      <c r="F14" s="29">
        <v>3.6217510000000002</v>
      </c>
      <c r="G14" s="29">
        <v>3.2492220000000001</v>
      </c>
      <c r="H14" s="29">
        <v>2.994675</v>
      </c>
      <c r="I14" s="29">
        <v>3.3565900000000002</v>
      </c>
      <c r="J14" s="29">
        <v>4.4404139999999996</v>
      </c>
      <c r="K14" s="29">
        <v>6.6743790000000001</v>
      </c>
      <c r="M14" s="40"/>
      <c r="N14" s="40">
        <f>D14/D$24*0.95</f>
        <v>6.7429305122765934E-4</v>
      </c>
      <c r="O14" s="40">
        <f>E14/E$24*0.95</f>
        <v>1.3233784174080836E-3</v>
      </c>
    </row>
    <row r="15" spans="1:15" x14ac:dyDescent="0.25">
      <c r="A15" s="46" t="s">
        <v>125</v>
      </c>
      <c r="B15" s="49">
        <v>0</v>
      </c>
      <c r="C15" s="49">
        <v>5.1477000000000002E-2</v>
      </c>
      <c r="D15" s="29">
        <v>1.623688</v>
      </c>
      <c r="E15" s="29">
        <v>5.6189710000000002</v>
      </c>
      <c r="F15" s="29">
        <v>8.6537330000000008</v>
      </c>
      <c r="G15" s="29">
        <v>13.703238000000001</v>
      </c>
      <c r="H15" s="29">
        <v>19.139738000000001</v>
      </c>
      <c r="I15" s="29">
        <v>24.444071000000001</v>
      </c>
      <c r="J15" s="29">
        <v>29.063569999999999</v>
      </c>
      <c r="K15" s="29">
        <v>32.746845</v>
      </c>
      <c r="M15" s="40"/>
      <c r="N15" s="40">
        <f>D15/D$24*0.95</f>
        <v>5.5995021386634112E-4</v>
      </c>
      <c r="O15" s="40">
        <f>E15/E$24*0.95</f>
        <v>1.7974854986825696E-3</v>
      </c>
    </row>
    <row r="16" spans="1:15" x14ac:dyDescent="0.25">
      <c r="A16" s="46" t="s">
        <v>126</v>
      </c>
      <c r="B16" s="49">
        <v>0</v>
      </c>
      <c r="C16" s="49">
        <v>0</v>
      </c>
      <c r="D16" s="29">
        <v>0</v>
      </c>
      <c r="E16" s="29">
        <v>0</v>
      </c>
      <c r="F16" s="29">
        <v>0</v>
      </c>
      <c r="G16" s="29">
        <v>2.7628E-2</v>
      </c>
      <c r="H16" s="29">
        <v>1.51349</v>
      </c>
      <c r="I16" s="29">
        <v>3.267112</v>
      </c>
      <c r="J16" s="29">
        <v>4.8332300000000004</v>
      </c>
      <c r="K16" s="29">
        <v>5.9740640000000003</v>
      </c>
      <c r="M16" s="40"/>
      <c r="N16" s="40"/>
      <c r="O16" s="40"/>
    </row>
    <row r="17" spans="1:15" x14ac:dyDescent="0.25">
      <c r="A17" s="46" t="s">
        <v>127</v>
      </c>
      <c r="B17" s="49">
        <v>25.707820999999999</v>
      </c>
      <c r="C17" s="49">
        <v>28.393736000000001</v>
      </c>
      <c r="D17" s="29">
        <v>44.660254999999999</v>
      </c>
      <c r="E17" s="29">
        <v>61.238773000000002</v>
      </c>
      <c r="F17" s="29">
        <v>76.295631</v>
      </c>
      <c r="G17" s="29">
        <v>92.835059999999999</v>
      </c>
      <c r="H17" s="29">
        <v>110.654747</v>
      </c>
      <c r="I17" s="29">
        <v>129.673889</v>
      </c>
      <c r="J17" s="29">
        <v>148.02522300000001</v>
      </c>
      <c r="K17" s="29">
        <v>166.157196</v>
      </c>
      <c r="M17" s="40">
        <f t="shared" ref="M17:O21" si="2">C17/C$24*0.95</f>
        <v>1.0258634626985634E-2</v>
      </c>
      <c r="N17" s="40">
        <f t="shared" si="2"/>
        <v>1.5401677747556998E-2</v>
      </c>
      <c r="O17" s="40">
        <f t="shared" si="2"/>
        <v>1.9590029281983067E-2</v>
      </c>
    </row>
    <row r="18" spans="1:15" x14ac:dyDescent="0.25">
      <c r="A18" s="46" t="s">
        <v>128</v>
      </c>
      <c r="B18" s="49">
        <v>1.231625</v>
      </c>
      <c r="C18" s="49">
        <v>1.300262</v>
      </c>
      <c r="D18" s="29">
        <v>1.723101</v>
      </c>
      <c r="E18" s="29">
        <v>0.39159500000000003</v>
      </c>
      <c r="F18" s="29">
        <v>0.29071200000000003</v>
      </c>
      <c r="G18" s="29">
        <v>0.243757</v>
      </c>
      <c r="H18" s="29">
        <v>0.226109</v>
      </c>
      <c r="I18" s="29">
        <v>0.222108</v>
      </c>
      <c r="J18" s="29">
        <v>0.227075</v>
      </c>
      <c r="K18" s="29">
        <v>0.23580699999999999</v>
      </c>
      <c r="M18" s="40">
        <f t="shared" si="2"/>
        <v>4.697836444402242E-4</v>
      </c>
      <c r="N18" s="40">
        <f t="shared" si="2"/>
        <v>5.942340975996042E-4</v>
      </c>
      <c r="O18" s="40">
        <f t="shared" si="2"/>
        <v>1.2526961499829788E-4</v>
      </c>
    </row>
    <row r="19" spans="1:15" x14ac:dyDescent="0.25">
      <c r="A19" s="46" t="s">
        <v>129</v>
      </c>
      <c r="B19" s="49">
        <v>2.0693700000000002</v>
      </c>
      <c r="C19" s="49">
        <v>2.1487959999999999</v>
      </c>
      <c r="D19" s="29">
        <v>1.7084029999999999</v>
      </c>
      <c r="E19" s="29">
        <v>0.98121199999999997</v>
      </c>
      <c r="F19" s="29">
        <v>0.87027600000000005</v>
      </c>
      <c r="G19" s="29">
        <v>0.78246899999999997</v>
      </c>
      <c r="H19" s="29">
        <v>0.746479</v>
      </c>
      <c r="I19" s="29">
        <v>0.74054399999999998</v>
      </c>
      <c r="J19" s="29">
        <v>0.75436300000000001</v>
      </c>
      <c r="K19" s="29">
        <v>0.77503599999999995</v>
      </c>
      <c r="M19" s="40">
        <f t="shared" si="2"/>
        <v>7.7635831550762534E-4</v>
      </c>
      <c r="N19" s="40">
        <f t="shared" si="2"/>
        <v>5.8916529851787947E-4</v>
      </c>
      <c r="O19" s="40">
        <f t="shared" si="2"/>
        <v>3.1388564581189709E-4</v>
      </c>
    </row>
    <row r="20" spans="1:15" x14ac:dyDescent="0.25">
      <c r="A20" s="46" t="s">
        <v>130</v>
      </c>
      <c r="B20" s="49">
        <v>1.541919</v>
      </c>
      <c r="C20" s="49">
        <v>1.5886579999999999</v>
      </c>
      <c r="D20" s="29">
        <v>0.51920999999999995</v>
      </c>
      <c r="E20" s="29">
        <v>0.23087199999999999</v>
      </c>
      <c r="F20" s="29">
        <v>0.22131000000000001</v>
      </c>
      <c r="G20" s="29">
        <v>0.223722</v>
      </c>
      <c r="H20" s="29">
        <v>0.233546</v>
      </c>
      <c r="I20" s="29">
        <v>0.24879299999999999</v>
      </c>
      <c r="J20" s="29">
        <v>0.27147100000000002</v>
      </c>
      <c r="K20" s="29">
        <v>0.30341899999999999</v>
      </c>
      <c r="M20" s="40">
        <f t="shared" si="2"/>
        <v>5.7398089385763611E-4</v>
      </c>
      <c r="N20" s="40">
        <f t="shared" si="2"/>
        <v>1.7905641388095677E-4</v>
      </c>
      <c r="O20" s="40">
        <f t="shared" si="2"/>
        <v>7.3854994455718336E-5</v>
      </c>
    </row>
    <row r="21" spans="1:15" x14ac:dyDescent="0.25">
      <c r="A21" s="46" t="s">
        <v>131</v>
      </c>
      <c r="B21" s="49">
        <v>5.5177050000000003</v>
      </c>
      <c r="C21" s="49">
        <v>5.5705499999999999</v>
      </c>
      <c r="D21" s="29">
        <v>2.2954680000000001</v>
      </c>
      <c r="E21" s="29">
        <v>0.79747900000000005</v>
      </c>
      <c r="F21" s="29">
        <v>0.55904200000000004</v>
      </c>
      <c r="G21" s="29">
        <v>0.40821099999999999</v>
      </c>
      <c r="H21" s="29">
        <v>0.33327699999999999</v>
      </c>
      <c r="I21" s="29">
        <v>0.30722899999999997</v>
      </c>
      <c r="J21" s="29">
        <v>0.30798399999999998</v>
      </c>
      <c r="K21" s="29">
        <v>0.312475</v>
      </c>
      <c r="M21" s="40">
        <f t="shared" si="2"/>
        <v>2.0126353615936561E-3</v>
      </c>
      <c r="N21" s="40">
        <f t="shared" si="2"/>
        <v>7.9162240376435763E-4</v>
      </c>
      <c r="O21" s="40">
        <f t="shared" si="2"/>
        <v>2.5511022178329037E-4</v>
      </c>
    </row>
    <row r="22" spans="1:15" x14ac:dyDescent="0.25">
      <c r="A22" s="46" t="s">
        <v>132</v>
      </c>
      <c r="B22" s="49">
        <v>0</v>
      </c>
      <c r="C22" s="4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M22" s="40"/>
      <c r="N22" s="40"/>
      <c r="O22" s="40"/>
    </row>
    <row r="23" spans="1:15" x14ac:dyDescent="0.25">
      <c r="A23" s="46" t="s">
        <v>133</v>
      </c>
      <c r="B23" s="49">
        <v>0</v>
      </c>
      <c r="C23" s="49">
        <v>0</v>
      </c>
      <c r="D23" s="29">
        <v>6.7881999999999998E-2</v>
      </c>
      <c r="E23" s="29">
        <v>9.5158000000000006E-2</v>
      </c>
      <c r="F23" s="29">
        <v>0.101934</v>
      </c>
      <c r="G23" s="29">
        <v>0.124517</v>
      </c>
      <c r="H23" s="29">
        <v>0.16700300000000001</v>
      </c>
      <c r="I23" s="29">
        <v>0.23346800000000001</v>
      </c>
      <c r="J23" s="29">
        <v>0.31733299999999998</v>
      </c>
      <c r="K23" s="29">
        <v>0.40934500000000001</v>
      </c>
      <c r="M23" s="40"/>
      <c r="N23" s="40"/>
      <c r="O23" s="40"/>
    </row>
    <row r="24" spans="1:15" x14ac:dyDescent="0.25">
      <c r="B24" s="49">
        <f>SUM(B6:B23)</f>
        <v>2654.1126060000001</v>
      </c>
      <c r="C24" s="49">
        <f t="shared" ref="C24:K24" si="3">SUM(C6:C23)</f>
        <v>2629.399543</v>
      </c>
      <c r="D24" s="49">
        <f t="shared" si="3"/>
        <v>2754.7156189999996</v>
      </c>
      <c r="E24" s="49">
        <f t="shared" si="3"/>
        <v>2969.7165590000004</v>
      </c>
      <c r="F24" s="49">
        <f t="shared" si="3"/>
        <v>3057.2295009999993</v>
      </c>
      <c r="G24" s="49">
        <f t="shared" si="3"/>
        <v>3166.8693800000005</v>
      </c>
      <c r="H24" s="49">
        <f t="shared" si="3"/>
        <v>3259.701599</v>
      </c>
      <c r="I24" s="49">
        <f t="shared" si="3"/>
        <v>3346.6900159999996</v>
      </c>
      <c r="J24" s="49">
        <f t="shared" si="3"/>
        <v>3446.4522890000003</v>
      </c>
      <c r="K24" s="49">
        <f t="shared" si="3"/>
        <v>3564.15742</v>
      </c>
      <c r="M24" s="40">
        <f>SUM(M6:M23)</f>
        <v>0.94998140140012932</v>
      </c>
      <c r="N24" s="40">
        <f t="shared" ref="N24:O24" si="4">SUM(N6:N23)</f>
        <v>0.94997658999732881</v>
      </c>
      <c r="O24" s="40">
        <f t="shared" si="4"/>
        <v>0.94996955935079808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5FAA-E731-4825-9188-F956A289654F}">
  <sheetPr>
    <tabColor theme="0" tint="-4.9989318521683403E-2"/>
  </sheetPr>
  <dimension ref="A1:P7255"/>
  <sheetViews>
    <sheetView topLeftCell="A321" workbookViewId="0">
      <selection activeCell="C343" sqref="C343"/>
    </sheetView>
  </sheetViews>
  <sheetFormatPr defaultRowHeight="13.2" x14ac:dyDescent="0.25"/>
  <cols>
    <col min="3" max="3" width="26.6640625" bestFit="1" customWidth="1"/>
    <col min="4" max="4" width="9.5546875" bestFit="1" customWidth="1"/>
    <col min="6" max="6" width="12.21875" bestFit="1" customWidth="1"/>
    <col min="14" max="14" width="13.33203125" bestFit="1" customWidth="1"/>
    <col min="15" max="16" width="9.21875" bestFit="1" customWidth="1"/>
  </cols>
  <sheetData>
    <row r="1" spans="1:16" x14ac:dyDescent="0.25">
      <c r="A1" t="s">
        <v>214</v>
      </c>
    </row>
    <row r="2" spans="1:16" x14ac:dyDescent="0.25">
      <c r="C2" s="55"/>
    </row>
    <row r="3" spans="1:16" x14ac:dyDescent="0.25">
      <c r="C3" s="55"/>
    </row>
    <row r="4" spans="1:16" x14ac:dyDescent="0.25">
      <c r="C4" t="s">
        <v>55</v>
      </c>
    </row>
    <row r="5" spans="1:16" x14ac:dyDescent="0.25">
      <c r="C5" s="55" t="s">
        <v>56</v>
      </c>
    </row>
    <row r="6" spans="1:16" x14ac:dyDescent="0.25">
      <c r="C6" t="s">
        <v>57</v>
      </c>
    </row>
    <row r="7" spans="1:16" x14ac:dyDescent="0.25">
      <c r="C7" s="55" t="s">
        <v>156</v>
      </c>
      <c r="D7" t="s">
        <v>12</v>
      </c>
      <c r="E7" t="s">
        <v>58</v>
      </c>
      <c r="F7" t="s">
        <v>59</v>
      </c>
      <c r="G7" t="s">
        <v>42</v>
      </c>
      <c r="H7" t="s">
        <v>60</v>
      </c>
      <c r="I7">
        <v>2010</v>
      </c>
      <c r="J7">
        <v>2011</v>
      </c>
      <c r="K7">
        <v>2015</v>
      </c>
      <c r="L7">
        <v>2020</v>
      </c>
      <c r="N7" s="56" t="s">
        <v>203</v>
      </c>
      <c r="O7" s="58">
        <f>SUMIFS(I:I,F:F,$N7)/SUMIFS(I:I,H:H,"TL")</f>
        <v>1.1901873319090213E-4</v>
      </c>
    </row>
    <row r="8" spans="1:16" x14ac:dyDescent="0.25">
      <c r="A8" t="str">
        <f>LEFT(F8,4)</f>
        <v>TLCC</v>
      </c>
      <c r="C8" s="55" t="s">
        <v>411</v>
      </c>
      <c r="D8" t="s">
        <v>76</v>
      </c>
      <c r="E8" t="s">
        <v>61</v>
      </c>
      <c r="F8" t="s">
        <v>157</v>
      </c>
      <c r="G8" t="s">
        <v>30</v>
      </c>
      <c r="H8" t="s">
        <v>41</v>
      </c>
      <c r="K8">
        <v>4.0708762381142502E-2</v>
      </c>
      <c r="L8">
        <v>4.0708762381142502E-2</v>
      </c>
      <c r="N8" s="56" t="s">
        <v>204</v>
      </c>
      <c r="O8" s="58">
        <f t="shared" ref="O8:O49" si="0">SUMIFS(I:I,F:F,$N8)/SUMIFS(I:I,H:H,"TL")</f>
        <v>5.0127795260006378E-4</v>
      </c>
    </row>
    <row r="9" spans="1:16" x14ac:dyDescent="0.25">
      <c r="A9" t="str">
        <f t="shared" ref="A9:A72" si="1">LEFT(F9,4)</f>
        <v>TLCC</v>
      </c>
      <c r="C9" s="55" t="s">
        <v>411</v>
      </c>
      <c r="D9" t="s">
        <v>76</v>
      </c>
      <c r="E9" t="s">
        <v>61</v>
      </c>
      <c r="F9" t="s">
        <v>157</v>
      </c>
      <c r="G9" t="s">
        <v>31</v>
      </c>
      <c r="H9" t="s">
        <v>41</v>
      </c>
      <c r="K9">
        <v>0.113480864079555</v>
      </c>
      <c r="L9">
        <v>0.113480864079555</v>
      </c>
      <c r="N9" s="56" t="s">
        <v>182</v>
      </c>
      <c r="O9" s="58">
        <f t="shared" si="0"/>
        <v>0.24276401556884272</v>
      </c>
    </row>
    <row r="10" spans="1:16" x14ac:dyDescent="0.25">
      <c r="A10" t="str">
        <f t="shared" si="1"/>
        <v>TLCC</v>
      </c>
      <c r="C10" s="55" t="s">
        <v>411</v>
      </c>
      <c r="D10" t="s">
        <v>76</v>
      </c>
      <c r="E10" t="s">
        <v>61</v>
      </c>
      <c r="F10" t="s">
        <v>157</v>
      </c>
      <c r="G10" t="s">
        <v>32</v>
      </c>
      <c r="H10" t="s">
        <v>41</v>
      </c>
      <c r="K10">
        <v>0.123765615641065</v>
      </c>
      <c r="L10">
        <v>0.123765615641065</v>
      </c>
      <c r="N10" s="56" t="s">
        <v>159</v>
      </c>
      <c r="O10" s="58">
        <f t="shared" si="0"/>
        <v>1.6328531053650492E-3</v>
      </c>
    </row>
    <row r="11" spans="1:16" x14ac:dyDescent="0.25">
      <c r="A11" t="str">
        <f t="shared" si="1"/>
        <v>TLCC</v>
      </c>
      <c r="C11" s="55" t="s">
        <v>411</v>
      </c>
      <c r="D11" t="s">
        <v>76</v>
      </c>
      <c r="E11" t="s">
        <v>61</v>
      </c>
      <c r="F11" t="s">
        <v>157</v>
      </c>
      <c r="G11" t="s">
        <v>33</v>
      </c>
      <c r="H11" t="s">
        <v>41</v>
      </c>
      <c r="K11">
        <v>5.9690217971210498E-2</v>
      </c>
      <c r="L11">
        <v>5.9690217971210498E-2</v>
      </c>
      <c r="N11" s="56" t="s">
        <v>176</v>
      </c>
      <c r="O11" s="58">
        <f t="shared" si="0"/>
        <v>3.4271628176751763E-5</v>
      </c>
    </row>
    <row r="12" spans="1:16" x14ac:dyDescent="0.25">
      <c r="A12" t="str">
        <f t="shared" si="1"/>
        <v>TLCC</v>
      </c>
      <c r="C12" s="55" t="s">
        <v>411</v>
      </c>
      <c r="D12" t="s">
        <v>76</v>
      </c>
      <c r="E12" t="s">
        <v>61</v>
      </c>
      <c r="F12" t="s">
        <v>157</v>
      </c>
      <c r="G12" t="s">
        <v>34</v>
      </c>
      <c r="H12" t="s">
        <v>41</v>
      </c>
      <c r="K12">
        <v>0.180973648486278</v>
      </c>
      <c r="L12">
        <v>0.180973648486278</v>
      </c>
      <c r="N12" s="56" t="s">
        <v>164</v>
      </c>
      <c r="O12" s="58">
        <f t="shared" si="0"/>
        <v>4.5206957221043658E-3</v>
      </c>
    </row>
    <row r="13" spans="1:16" x14ac:dyDescent="0.25">
      <c r="A13" t="str">
        <f t="shared" si="1"/>
        <v>TLCC</v>
      </c>
      <c r="C13" s="55" t="s">
        <v>411</v>
      </c>
      <c r="D13" t="s">
        <v>76</v>
      </c>
      <c r="E13" t="s">
        <v>61</v>
      </c>
      <c r="F13" t="s">
        <v>157</v>
      </c>
      <c r="G13" t="s">
        <v>35</v>
      </c>
      <c r="H13" t="s">
        <v>41</v>
      </c>
      <c r="K13">
        <v>5.08688248202184E-2</v>
      </c>
      <c r="L13">
        <v>5.08688248202184E-2</v>
      </c>
      <c r="N13" s="56" t="s">
        <v>183</v>
      </c>
      <c r="O13" s="58">
        <f t="shared" si="0"/>
        <v>4.1376545322858328E-3</v>
      </c>
    </row>
    <row r="14" spans="1:16" x14ac:dyDescent="0.25">
      <c r="A14" t="str">
        <f t="shared" si="1"/>
        <v>TLCC</v>
      </c>
      <c r="C14" s="55" t="s">
        <v>411</v>
      </c>
      <c r="D14" t="s">
        <v>76</v>
      </c>
      <c r="E14" t="s">
        <v>61</v>
      </c>
      <c r="F14" t="s">
        <v>157</v>
      </c>
      <c r="G14" t="s">
        <v>36</v>
      </c>
      <c r="H14" t="s">
        <v>41</v>
      </c>
      <c r="K14">
        <v>0.115410437936409</v>
      </c>
      <c r="L14">
        <v>0.115410437936409</v>
      </c>
      <c r="N14" s="56" t="s">
        <v>210</v>
      </c>
      <c r="O14" s="58">
        <f t="shared" si="0"/>
        <v>5.0127795260006378E-4</v>
      </c>
      <c r="P14" s="57"/>
    </row>
    <row r="15" spans="1:16" x14ac:dyDescent="0.25">
      <c r="A15" t="str">
        <f t="shared" si="1"/>
        <v>TLCC</v>
      </c>
      <c r="C15" s="55" t="s">
        <v>411</v>
      </c>
      <c r="D15" t="s">
        <v>76</v>
      </c>
      <c r="E15" t="s">
        <v>61</v>
      </c>
      <c r="F15" t="s">
        <v>157</v>
      </c>
      <c r="G15" t="s">
        <v>37</v>
      </c>
      <c r="H15" t="s">
        <v>41</v>
      </c>
      <c r="K15">
        <v>6.6266714877859401E-2</v>
      </c>
      <c r="L15">
        <v>6.6266714877859401E-2</v>
      </c>
      <c r="N15" s="56" t="s">
        <v>62</v>
      </c>
      <c r="O15" s="58">
        <f t="shared" si="0"/>
        <v>1.2312075010864444E-4</v>
      </c>
      <c r="P15" s="60"/>
    </row>
    <row r="16" spans="1:16" x14ac:dyDescent="0.25">
      <c r="A16" t="str">
        <f t="shared" si="1"/>
        <v>TLCC</v>
      </c>
      <c r="C16" s="55" t="s">
        <v>411</v>
      </c>
      <c r="D16" t="s">
        <v>76</v>
      </c>
      <c r="E16" t="s">
        <v>61</v>
      </c>
      <c r="F16" t="s">
        <v>157</v>
      </c>
      <c r="G16" t="s">
        <v>38</v>
      </c>
      <c r="H16" t="s">
        <v>41</v>
      </c>
      <c r="K16">
        <v>0.146137765615802</v>
      </c>
      <c r="L16">
        <v>0.146137765615802</v>
      </c>
      <c r="N16" s="56" t="s">
        <v>205</v>
      </c>
      <c r="O16" s="58">
        <f t="shared" si="0"/>
        <v>5.1855465003187507E-4</v>
      </c>
      <c r="P16" s="60"/>
    </row>
    <row r="17" spans="1:16" x14ac:dyDescent="0.25">
      <c r="A17" t="str">
        <f t="shared" si="1"/>
        <v>TLEC</v>
      </c>
      <c r="C17" s="55" t="s">
        <v>411</v>
      </c>
      <c r="D17" t="s">
        <v>76</v>
      </c>
      <c r="E17" t="s">
        <v>61</v>
      </c>
      <c r="F17" t="s">
        <v>203</v>
      </c>
      <c r="G17" t="s">
        <v>30</v>
      </c>
      <c r="H17" t="s">
        <v>41</v>
      </c>
      <c r="I17">
        <v>1.5920457665926101E-2</v>
      </c>
      <c r="J17">
        <v>5.3374055648544401E-3</v>
      </c>
      <c r="K17">
        <v>3.2696039219538499E-3</v>
      </c>
      <c r="L17">
        <v>2.3235630140598699E-3</v>
      </c>
      <c r="N17" s="56" t="s">
        <v>184</v>
      </c>
      <c r="O17" s="58">
        <f t="shared" si="0"/>
        <v>0.25113095136276697</v>
      </c>
      <c r="P17" s="60"/>
    </row>
    <row r="18" spans="1:16" x14ac:dyDescent="0.25">
      <c r="A18" t="str">
        <f t="shared" si="1"/>
        <v>TLEC</v>
      </c>
      <c r="C18" s="55" t="s">
        <v>411</v>
      </c>
      <c r="D18" t="s">
        <v>76</v>
      </c>
      <c r="E18" t="s">
        <v>61</v>
      </c>
      <c r="F18" t="s">
        <v>203</v>
      </c>
      <c r="G18" t="s">
        <v>31</v>
      </c>
      <c r="H18" t="s">
        <v>41</v>
      </c>
      <c r="I18">
        <v>4.7175752661644699E-2</v>
      </c>
      <c r="J18">
        <v>1.7283724234469298E-2</v>
      </c>
      <c r="K18">
        <v>8.6946069238262296E-3</v>
      </c>
      <c r="L18">
        <v>5.8944006007729203E-3</v>
      </c>
      <c r="N18" s="56" t="s">
        <v>63</v>
      </c>
      <c r="O18" s="58">
        <f t="shared" si="0"/>
        <v>1.6891298853543995E-3</v>
      </c>
      <c r="P18" s="60"/>
    </row>
    <row r="19" spans="1:16" x14ac:dyDescent="0.25">
      <c r="A19" t="str">
        <f t="shared" si="1"/>
        <v>TLEC</v>
      </c>
      <c r="C19" s="55" t="s">
        <v>411</v>
      </c>
      <c r="D19" t="s">
        <v>76</v>
      </c>
      <c r="E19" t="s">
        <v>61</v>
      </c>
      <c r="F19" t="s">
        <v>203</v>
      </c>
      <c r="G19" t="s">
        <v>32</v>
      </c>
      <c r="H19" t="s">
        <v>41</v>
      </c>
      <c r="J19">
        <v>2.21787209033385E-2</v>
      </c>
      <c r="K19">
        <v>1.04873543654284E-2</v>
      </c>
      <c r="L19">
        <v>7.35985480264443E-3</v>
      </c>
      <c r="N19" s="56" t="s">
        <v>67</v>
      </c>
      <c r="O19" s="58">
        <f t="shared" si="0"/>
        <v>4.6765028781282272E-3</v>
      </c>
      <c r="P19" s="60"/>
    </row>
    <row r="20" spans="1:16" x14ac:dyDescent="0.25">
      <c r="A20" t="str">
        <f t="shared" si="1"/>
        <v>TLEC</v>
      </c>
      <c r="C20" s="55" t="s">
        <v>411</v>
      </c>
      <c r="D20" t="s">
        <v>76</v>
      </c>
      <c r="E20" t="s">
        <v>61</v>
      </c>
      <c r="F20" t="s">
        <v>203</v>
      </c>
      <c r="G20" t="s">
        <v>33</v>
      </c>
      <c r="H20" t="s">
        <v>41</v>
      </c>
      <c r="I20">
        <v>2.4772277917456401E-2</v>
      </c>
      <c r="J20">
        <v>8.8515679005200399E-3</v>
      </c>
      <c r="K20">
        <v>5.2106649813654796E-3</v>
      </c>
      <c r="L20">
        <v>3.7467287905233499E-3</v>
      </c>
      <c r="N20" s="56" t="s">
        <v>185</v>
      </c>
      <c r="O20" s="58">
        <f t="shared" si="0"/>
        <v>4.2802600569471156E-3</v>
      </c>
      <c r="P20" s="60"/>
    </row>
    <row r="21" spans="1:16" x14ac:dyDescent="0.25">
      <c r="A21" t="str">
        <f t="shared" si="1"/>
        <v>TLEC</v>
      </c>
      <c r="C21" s="55" t="s">
        <v>411</v>
      </c>
      <c r="D21" t="s">
        <v>76</v>
      </c>
      <c r="E21" t="s">
        <v>61</v>
      </c>
      <c r="F21" t="s">
        <v>203</v>
      </c>
      <c r="G21" t="s">
        <v>34</v>
      </c>
      <c r="H21" t="s">
        <v>41</v>
      </c>
      <c r="I21">
        <v>6.7601510349992303E-2</v>
      </c>
      <c r="J21">
        <v>2.7483522284213701E-2</v>
      </c>
      <c r="K21">
        <v>1.4507304792844501E-2</v>
      </c>
      <c r="L21">
        <v>1.03834744604662E-2</v>
      </c>
      <c r="N21" s="56" t="s">
        <v>211</v>
      </c>
      <c r="O21" s="58">
        <f t="shared" si="0"/>
        <v>5.1855465003187507E-4</v>
      </c>
      <c r="P21" s="60"/>
    </row>
    <row r="22" spans="1:16" x14ac:dyDescent="0.25">
      <c r="A22" t="str">
        <f t="shared" si="1"/>
        <v>TLEC</v>
      </c>
      <c r="C22" s="55" t="s">
        <v>411</v>
      </c>
      <c r="D22" t="s">
        <v>76</v>
      </c>
      <c r="E22" t="s">
        <v>61</v>
      </c>
      <c r="F22" t="s">
        <v>203</v>
      </c>
      <c r="G22" t="s">
        <v>35</v>
      </c>
      <c r="H22" t="s">
        <v>41</v>
      </c>
      <c r="I22">
        <v>2.2579103742698101E-2</v>
      </c>
      <c r="J22">
        <v>8.3420052973668894E-3</v>
      </c>
      <c r="K22">
        <v>4.5707644288462898E-3</v>
      </c>
      <c r="L22">
        <v>3.4369699376336701E-3</v>
      </c>
      <c r="N22" s="56" t="s">
        <v>186</v>
      </c>
      <c r="O22" s="58">
        <f t="shared" si="0"/>
        <v>2.2789000121396459E-2</v>
      </c>
      <c r="P22" s="60"/>
    </row>
    <row r="23" spans="1:16" x14ac:dyDescent="0.25">
      <c r="A23" t="str">
        <f t="shared" si="1"/>
        <v>TLEC</v>
      </c>
      <c r="C23" s="55" t="s">
        <v>411</v>
      </c>
      <c r="D23" t="s">
        <v>76</v>
      </c>
      <c r="E23" t="s">
        <v>61</v>
      </c>
      <c r="F23" t="s">
        <v>203</v>
      </c>
      <c r="G23" t="s">
        <v>36</v>
      </c>
      <c r="H23" t="s">
        <v>41</v>
      </c>
      <c r="I23">
        <v>4.5800484805955499E-2</v>
      </c>
      <c r="J23">
        <v>1.9113999901577899E-2</v>
      </c>
      <c r="K23">
        <v>8.9416225310379807E-3</v>
      </c>
      <c r="L23">
        <v>6.4028996785853703E-3</v>
      </c>
      <c r="N23" s="56" t="s">
        <v>160</v>
      </c>
      <c r="O23" s="58">
        <f t="shared" si="0"/>
        <v>6.9397281441898175E-4</v>
      </c>
      <c r="P23" s="60"/>
    </row>
    <row r="24" spans="1:16" x14ac:dyDescent="0.25">
      <c r="A24" t="str">
        <f t="shared" si="1"/>
        <v>TLEC</v>
      </c>
      <c r="C24" s="55" t="s">
        <v>411</v>
      </c>
      <c r="D24" t="s">
        <v>76</v>
      </c>
      <c r="E24" t="s">
        <v>61</v>
      </c>
      <c r="F24" t="s">
        <v>203</v>
      </c>
      <c r="G24" t="s">
        <v>37</v>
      </c>
      <c r="H24" t="s">
        <v>41</v>
      </c>
      <c r="I24">
        <v>2.88402439961036E-2</v>
      </c>
      <c r="J24">
        <v>1.30463735162001E-2</v>
      </c>
      <c r="K24">
        <v>5.8157165583541098E-3</v>
      </c>
      <c r="L24">
        <v>4.1703766048165197E-3</v>
      </c>
      <c r="N24" s="56" t="s">
        <v>165</v>
      </c>
      <c r="O24" s="58">
        <f t="shared" si="0"/>
        <v>7.9498233388334042E-4</v>
      </c>
      <c r="P24" s="60"/>
    </row>
    <row r="25" spans="1:16" x14ac:dyDescent="0.25">
      <c r="A25" t="str">
        <f t="shared" si="1"/>
        <v>TLEC</v>
      </c>
      <c r="C25" s="55" t="s">
        <v>411</v>
      </c>
      <c r="D25" t="s">
        <v>76</v>
      </c>
      <c r="E25" t="s">
        <v>61</v>
      </c>
      <c r="F25" t="s">
        <v>203</v>
      </c>
      <c r="G25" t="s">
        <v>38</v>
      </c>
      <c r="H25" t="s">
        <v>41</v>
      </c>
      <c r="I25">
        <v>6.3199311228850502E-2</v>
      </c>
      <c r="J25">
        <v>2.8642064880435698E-2</v>
      </c>
      <c r="K25">
        <v>1.22854458113548E-2</v>
      </c>
      <c r="L25">
        <v>8.3731962864592498E-3</v>
      </c>
      <c r="N25" s="56" t="s">
        <v>187</v>
      </c>
      <c r="O25" s="58">
        <f t="shared" si="0"/>
        <v>1.0399885581426211E-4</v>
      </c>
      <c r="P25" s="60"/>
    </row>
    <row r="26" spans="1:16" x14ac:dyDescent="0.25">
      <c r="A26" t="str">
        <f t="shared" si="1"/>
        <v>TLEC</v>
      </c>
      <c r="C26" s="55" t="s">
        <v>411</v>
      </c>
      <c r="D26" t="s">
        <v>76</v>
      </c>
      <c r="E26" t="s">
        <v>61</v>
      </c>
      <c r="F26" t="s">
        <v>204</v>
      </c>
      <c r="G26" t="s">
        <v>30</v>
      </c>
      <c r="H26" t="s">
        <v>41</v>
      </c>
      <c r="I26">
        <v>6.3439144509076104E-2</v>
      </c>
      <c r="J26">
        <v>5.9722211107303899E-2</v>
      </c>
      <c r="K26">
        <v>1.4371256935502201E-2</v>
      </c>
      <c r="L26">
        <v>5.1646194807864398E-3</v>
      </c>
      <c r="N26" s="56" t="s">
        <v>188</v>
      </c>
      <c r="O26" s="58">
        <f t="shared" si="0"/>
        <v>7.3391452017564666E-3</v>
      </c>
      <c r="P26" s="60"/>
    </row>
    <row r="27" spans="1:16" x14ac:dyDescent="0.25">
      <c r="A27" t="str">
        <f t="shared" si="1"/>
        <v>TLEC</v>
      </c>
      <c r="C27" s="55" t="s">
        <v>411</v>
      </c>
      <c r="D27" t="s">
        <v>76</v>
      </c>
      <c r="E27" t="s">
        <v>61</v>
      </c>
      <c r="F27" t="s">
        <v>204</v>
      </c>
      <c r="G27" t="s">
        <v>31</v>
      </c>
      <c r="H27" t="s">
        <v>41</v>
      </c>
      <c r="I27">
        <v>0.17751447525973699</v>
      </c>
      <c r="J27">
        <v>0.16656413995045</v>
      </c>
      <c r="K27">
        <v>4.0041030508210097E-2</v>
      </c>
      <c r="L27">
        <v>1.3579648978760401E-2</v>
      </c>
      <c r="N27" s="56" t="s">
        <v>206</v>
      </c>
      <c r="O27" s="58">
        <f t="shared" si="0"/>
        <v>6.6015881671605594E-5</v>
      </c>
      <c r="P27" s="60"/>
    </row>
    <row r="28" spans="1:16" x14ac:dyDescent="0.25">
      <c r="A28" t="str">
        <f t="shared" si="1"/>
        <v>TLEC</v>
      </c>
      <c r="C28" s="55" t="s">
        <v>411</v>
      </c>
      <c r="D28" t="s">
        <v>76</v>
      </c>
      <c r="E28" t="s">
        <v>61</v>
      </c>
      <c r="F28" t="s">
        <v>204</v>
      </c>
      <c r="G28" t="s">
        <v>32</v>
      </c>
      <c r="H28" t="s">
        <v>41</v>
      </c>
      <c r="I28">
        <v>0.19720469540468599</v>
      </c>
      <c r="J28">
        <v>0.18523952333892901</v>
      </c>
      <c r="K28">
        <v>4.4954073742234299E-2</v>
      </c>
      <c r="L28">
        <v>1.6716245959858701E-2</v>
      </c>
      <c r="N28" s="56" t="s">
        <v>207</v>
      </c>
      <c r="O28" s="58">
        <f t="shared" si="0"/>
        <v>3.5345318637110019E-4</v>
      </c>
      <c r="P28" s="60"/>
    </row>
    <row r="29" spans="1:16" x14ac:dyDescent="0.25">
      <c r="A29" t="str">
        <f t="shared" si="1"/>
        <v>TLEC</v>
      </c>
      <c r="C29" s="55" t="s">
        <v>411</v>
      </c>
      <c r="D29" t="s">
        <v>76</v>
      </c>
      <c r="E29" t="s">
        <v>61</v>
      </c>
      <c r="F29" t="s">
        <v>204</v>
      </c>
      <c r="G29" t="s">
        <v>33</v>
      </c>
      <c r="H29" t="s">
        <v>41</v>
      </c>
      <c r="I29">
        <v>9.4539062290367001E-2</v>
      </c>
      <c r="J29">
        <v>8.8466043141402106E-2</v>
      </c>
      <c r="K29">
        <v>2.12269039833499E-2</v>
      </c>
      <c r="L29">
        <v>7.9794240134454398E-3</v>
      </c>
      <c r="N29" s="56" t="s">
        <v>189</v>
      </c>
      <c r="O29" s="58">
        <f t="shared" si="0"/>
        <v>0.11203409574434055</v>
      </c>
      <c r="P29" s="60"/>
    </row>
    <row r="30" spans="1:16" x14ac:dyDescent="0.25">
      <c r="A30" t="str">
        <f t="shared" si="1"/>
        <v>TLEC</v>
      </c>
      <c r="C30" s="55" t="s">
        <v>411</v>
      </c>
      <c r="D30" t="s">
        <v>76</v>
      </c>
      <c r="E30" t="s">
        <v>61</v>
      </c>
      <c r="F30" t="s">
        <v>204</v>
      </c>
      <c r="G30" t="s">
        <v>34</v>
      </c>
      <c r="H30" t="s">
        <v>41</v>
      </c>
      <c r="I30">
        <v>0.24451094262772999</v>
      </c>
      <c r="J30">
        <v>0.229914533613891</v>
      </c>
      <c r="K30">
        <v>5.8609617813010897E-2</v>
      </c>
      <c r="L30">
        <v>2.2097001128747198E-2</v>
      </c>
      <c r="N30" s="56" t="s">
        <v>64</v>
      </c>
      <c r="O30" s="58">
        <f t="shared" si="0"/>
        <v>4.3107334067809247E-3</v>
      </c>
      <c r="P30" s="60"/>
    </row>
    <row r="31" spans="1:16" x14ac:dyDescent="0.25">
      <c r="A31" t="str">
        <f t="shared" si="1"/>
        <v>TLEC</v>
      </c>
      <c r="C31" s="55" t="s">
        <v>411</v>
      </c>
      <c r="D31" t="s">
        <v>76</v>
      </c>
      <c r="E31" t="s">
        <v>61</v>
      </c>
      <c r="F31" t="s">
        <v>204</v>
      </c>
      <c r="G31" t="s">
        <v>35</v>
      </c>
      <c r="H31" t="s">
        <v>41</v>
      </c>
      <c r="I31">
        <v>8.2618897204734504E-2</v>
      </c>
      <c r="J31">
        <v>7.7759869576744495E-2</v>
      </c>
      <c r="K31">
        <v>1.8006770245744302E-2</v>
      </c>
      <c r="L31">
        <v>7.0107547821398998E-3</v>
      </c>
      <c r="N31" s="56" t="s">
        <v>166</v>
      </c>
      <c r="O31" s="58">
        <f t="shared" si="0"/>
        <v>4.9394770237123093E-3</v>
      </c>
      <c r="P31" s="60"/>
    </row>
    <row r="32" spans="1:16" x14ac:dyDescent="0.25">
      <c r="A32" t="str">
        <f t="shared" si="1"/>
        <v>TLEC</v>
      </c>
      <c r="C32" s="55" t="s">
        <v>411</v>
      </c>
      <c r="D32" t="s">
        <v>76</v>
      </c>
      <c r="E32" t="s">
        <v>61</v>
      </c>
      <c r="F32" t="s">
        <v>204</v>
      </c>
      <c r="G32" t="s">
        <v>36</v>
      </c>
      <c r="H32" t="s">
        <v>41</v>
      </c>
      <c r="I32">
        <v>0.16106963594913001</v>
      </c>
      <c r="J32">
        <v>0.15041072079974699</v>
      </c>
      <c r="K32">
        <v>3.71232769359362E-2</v>
      </c>
      <c r="L32">
        <v>1.38131185132453E-2</v>
      </c>
      <c r="N32" s="56" t="s">
        <v>200</v>
      </c>
      <c r="O32" s="58">
        <f t="shared" si="0"/>
        <v>4.9486213094745036E-5</v>
      </c>
      <c r="P32" s="60"/>
    </row>
    <row r="33" spans="1:16" x14ac:dyDescent="0.25">
      <c r="A33" t="str">
        <f t="shared" si="1"/>
        <v>TLEC</v>
      </c>
      <c r="C33" s="55" t="s">
        <v>411</v>
      </c>
      <c r="D33" t="s">
        <v>76</v>
      </c>
      <c r="E33" t="s">
        <v>61</v>
      </c>
      <c r="F33" t="s">
        <v>204</v>
      </c>
      <c r="G33" t="s">
        <v>37</v>
      </c>
      <c r="H33" t="s">
        <v>41</v>
      </c>
      <c r="I33">
        <v>9.7035457118778007E-2</v>
      </c>
      <c r="J33">
        <v>9.0902999040520294E-2</v>
      </c>
      <c r="K33">
        <v>2.3307757818230301E-2</v>
      </c>
      <c r="L33">
        <v>9.0942884840528593E-3</v>
      </c>
      <c r="N33" s="56" t="s">
        <v>212</v>
      </c>
      <c r="O33" s="58">
        <f t="shared" si="0"/>
        <v>7.5411302556549281E-4</v>
      </c>
      <c r="P33" s="60"/>
    </row>
    <row r="34" spans="1:16" x14ac:dyDescent="0.25">
      <c r="A34" t="str">
        <f t="shared" si="1"/>
        <v>TLEC</v>
      </c>
      <c r="C34" s="55" t="s">
        <v>411</v>
      </c>
      <c r="D34" t="s">
        <v>76</v>
      </c>
      <c r="E34" t="s">
        <v>61</v>
      </c>
      <c r="F34" t="s">
        <v>204</v>
      </c>
      <c r="G34" t="s">
        <v>38</v>
      </c>
      <c r="H34" t="s">
        <v>41</v>
      </c>
      <c r="I34">
        <v>0.21251591648043899</v>
      </c>
      <c r="J34">
        <v>0.19901798248436101</v>
      </c>
      <c r="K34">
        <v>5.10456391848065E-2</v>
      </c>
      <c r="L34">
        <v>1.9007357156856901E-2</v>
      </c>
      <c r="N34" s="56" t="s">
        <v>190</v>
      </c>
      <c r="O34" s="58">
        <f t="shared" si="0"/>
        <v>9.2032500490254909E-2</v>
      </c>
      <c r="P34" s="60"/>
    </row>
    <row r="35" spans="1:16" x14ac:dyDescent="0.25">
      <c r="A35" t="str">
        <f t="shared" si="1"/>
        <v>TLEF</v>
      </c>
      <c r="C35" s="55" t="s">
        <v>411</v>
      </c>
      <c r="D35" t="s">
        <v>76</v>
      </c>
      <c r="E35" t="s">
        <v>61</v>
      </c>
      <c r="F35" t="s">
        <v>62</v>
      </c>
      <c r="G35" t="s">
        <v>30</v>
      </c>
      <c r="H35" t="s">
        <v>41</v>
      </c>
      <c r="I35">
        <v>1.6469161092126101E-2</v>
      </c>
      <c r="J35">
        <v>5.5213608745515097E-3</v>
      </c>
      <c r="K35">
        <v>3.3822918177379398E-3</v>
      </c>
      <c r="L35">
        <v>2.4036453215889402E-3</v>
      </c>
      <c r="N35" s="56" t="s">
        <v>161</v>
      </c>
      <c r="O35" s="58">
        <f t="shared" si="0"/>
        <v>2.8025825197689654E-3</v>
      </c>
      <c r="P35" s="60"/>
    </row>
    <row r="36" spans="1:16" x14ac:dyDescent="0.25">
      <c r="A36" t="str">
        <f t="shared" si="1"/>
        <v>TLEF</v>
      </c>
      <c r="C36" s="55" t="s">
        <v>411</v>
      </c>
      <c r="D36" t="s">
        <v>76</v>
      </c>
      <c r="E36" t="s">
        <v>61</v>
      </c>
      <c r="F36" t="s">
        <v>62</v>
      </c>
      <c r="G36" t="s">
        <v>31</v>
      </c>
      <c r="H36" t="s">
        <v>41</v>
      </c>
      <c r="I36">
        <v>4.8801679356855802E-2</v>
      </c>
      <c r="J36">
        <v>1.7879413058493901E-2</v>
      </c>
      <c r="K36">
        <v>8.9942692016749502E-3</v>
      </c>
      <c r="L36">
        <v>6.0975529141615902E-3</v>
      </c>
      <c r="N36" s="56" t="s">
        <v>177</v>
      </c>
      <c r="O36" s="58">
        <f t="shared" si="0"/>
        <v>1.6396336055992679E-5</v>
      </c>
      <c r="P36" s="60"/>
    </row>
    <row r="37" spans="1:16" x14ac:dyDescent="0.25">
      <c r="A37" t="str">
        <f t="shared" si="1"/>
        <v>TLEF</v>
      </c>
      <c r="C37" s="55" t="s">
        <v>411</v>
      </c>
      <c r="D37" t="s">
        <v>76</v>
      </c>
      <c r="E37" t="s">
        <v>61</v>
      </c>
      <c r="F37" t="s">
        <v>62</v>
      </c>
      <c r="G37" t="s">
        <v>32</v>
      </c>
      <c r="H37" t="s">
        <v>41</v>
      </c>
      <c r="K37">
        <v>1.0848804230302499E-2</v>
      </c>
      <c r="L37">
        <v>7.6135144417883802E-3</v>
      </c>
      <c r="N37" s="56" t="s">
        <v>167</v>
      </c>
      <c r="O37" s="58">
        <f t="shared" si="0"/>
        <v>3.7828299358031846E-3</v>
      </c>
      <c r="P37" s="60"/>
    </row>
    <row r="38" spans="1:16" x14ac:dyDescent="0.25">
      <c r="A38" t="str">
        <f t="shared" si="1"/>
        <v>TLEF</v>
      </c>
      <c r="C38" s="55" t="s">
        <v>411</v>
      </c>
      <c r="D38" t="s">
        <v>76</v>
      </c>
      <c r="E38" t="s">
        <v>61</v>
      </c>
      <c r="F38" t="s">
        <v>62</v>
      </c>
      <c r="G38" t="s">
        <v>33</v>
      </c>
      <c r="H38" t="s">
        <v>41</v>
      </c>
      <c r="I38">
        <v>2.5626062026764901E-2</v>
      </c>
      <c r="J38">
        <v>9.1566398862740692E-3</v>
      </c>
      <c r="K38">
        <v>5.3902521382205703E-3</v>
      </c>
      <c r="L38">
        <v>3.8758609403359901E-3</v>
      </c>
      <c r="N38" s="56" t="s">
        <v>191</v>
      </c>
      <c r="O38" s="58">
        <f t="shared" si="0"/>
        <v>0.1659017482248171</v>
      </c>
      <c r="P38" s="60"/>
    </row>
    <row r="39" spans="1:16" x14ac:dyDescent="0.25">
      <c r="A39" t="str">
        <f t="shared" si="1"/>
        <v>TLEF</v>
      </c>
      <c r="C39" s="55" t="s">
        <v>411</v>
      </c>
      <c r="D39" t="s">
        <v>76</v>
      </c>
      <c r="E39" t="s">
        <v>61</v>
      </c>
      <c r="F39" t="s">
        <v>62</v>
      </c>
      <c r="G39" t="s">
        <v>34</v>
      </c>
      <c r="H39" t="s">
        <v>41</v>
      </c>
      <c r="I39">
        <v>6.9931417009944805E-2</v>
      </c>
      <c r="J39">
        <v>2.8430750257041899E-2</v>
      </c>
      <c r="K39">
        <v>1.5007303474528E-2</v>
      </c>
      <c r="L39">
        <v>1.0741344072752E-2</v>
      </c>
      <c r="N39" s="56" t="s">
        <v>162</v>
      </c>
      <c r="O39" s="58">
        <f t="shared" si="0"/>
        <v>7.0064562994224082E-3</v>
      </c>
      <c r="P39" s="60"/>
    </row>
    <row r="40" spans="1:16" x14ac:dyDescent="0.25">
      <c r="A40" t="str">
        <f t="shared" si="1"/>
        <v>TLEF</v>
      </c>
      <c r="C40" s="55" t="s">
        <v>411</v>
      </c>
      <c r="D40" t="s">
        <v>76</v>
      </c>
      <c r="E40" t="s">
        <v>61</v>
      </c>
      <c r="F40" t="s">
        <v>62</v>
      </c>
      <c r="G40" t="s">
        <v>35</v>
      </c>
      <c r="H40" t="s">
        <v>41</v>
      </c>
      <c r="I40">
        <v>2.33572994355681E-2</v>
      </c>
      <c r="J40">
        <v>8.6295150526825397E-3</v>
      </c>
      <c r="K40">
        <v>4.7282972181095497E-3</v>
      </c>
      <c r="L40">
        <v>3.5554261541633101E-3</v>
      </c>
      <c r="N40" s="56" t="s">
        <v>168</v>
      </c>
      <c r="O40" s="58">
        <f t="shared" si="0"/>
        <v>9.4570748395079642E-3</v>
      </c>
      <c r="P40" s="60"/>
    </row>
    <row r="41" spans="1:16" x14ac:dyDescent="0.25">
      <c r="A41" t="str">
        <f t="shared" si="1"/>
        <v>TLEF</v>
      </c>
      <c r="C41" s="55" t="s">
        <v>411</v>
      </c>
      <c r="D41" t="s">
        <v>76</v>
      </c>
      <c r="E41" t="s">
        <v>61</v>
      </c>
      <c r="F41" t="s">
        <v>62</v>
      </c>
      <c r="G41" t="s">
        <v>36</v>
      </c>
      <c r="H41" t="s">
        <v>41</v>
      </c>
      <c r="I41">
        <v>4.7379012475322398E-2</v>
      </c>
      <c r="J41">
        <v>1.97727697343591E-2</v>
      </c>
      <c r="K41">
        <v>9.2497982770825306E-3</v>
      </c>
      <c r="L41">
        <v>6.62357756768738E-3</v>
      </c>
      <c r="N41" s="56" t="s">
        <v>192</v>
      </c>
      <c r="O41" s="58">
        <f t="shared" si="0"/>
        <v>1.0499884481247617E-3</v>
      </c>
      <c r="P41" s="60"/>
    </row>
    <row r="42" spans="1:16" x14ac:dyDescent="0.25">
      <c r="A42" t="str">
        <f t="shared" si="1"/>
        <v>TLEF</v>
      </c>
      <c r="C42" s="55" t="s">
        <v>411</v>
      </c>
      <c r="D42" t="s">
        <v>76</v>
      </c>
      <c r="E42" t="s">
        <v>61</v>
      </c>
      <c r="F42" t="s">
        <v>62</v>
      </c>
      <c r="G42" t="s">
        <v>37</v>
      </c>
      <c r="H42" t="s">
        <v>41</v>
      </c>
      <c r="I42">
        <v>2.9834231796276801E-2</v>
      </c>
      <c r="J42">
        <v>1.34960207561249E-2</v>
      </c>
      <c r="K42">
        <v>6.0161570022369999E-3</v>
      </c>
      <c r="L42">
        <v>4.3141099056816399E-3</v>
      </c>
      <c r="N42" s="56" t="s">
        <v>208</v>
      </c>
      <c r="O42" s="58">
        <f t="shared" si="0"/>
        <v>2.3400183931653816E-5</v>
      </c>
      <c r="P42" s="60"/>
    </row>
    <row r="43" spans="1:16" x14ac:dyDescent="0.25">
      <c r="A43" t="str">
        <f t="shared" si="1"/>
        <v>TLEF</v>
      </c>
      <c r="C43" s="55" t="s">
        <v>411</v>
      </c>
      <c r="D43" t="s">
        <v>76</v>
      </c>
      <c r="E43" t="s">
        <v>61</v>
      </c>
      <c r="F43" t="s">
        <v>62</v>
      </c>
      <c r="G43" t="s">
        <v>38</v>
      </c>
      <c r="H43" t="s">
        <v>41</v>
      </c>
      <c r="I43">
        <v>6.5377494754250601E-2</v>
      </c>
      <c r="J43">
        <v>2.96292223769801E-2</v>
      </c>
      <c r="K43">
        <v>1.27088674459924E-2</v>
      </c>
      <c r="L43">
        <v>8.6617810487213502E-3</v>
      </c>
      <c r="N43" s="56" t="s">
        <v>209</v>
      </c>
      <c r="O43" s="58">
        <f t="shared" si="0"/>
        <v>1.252860578831031E-4</v>
      </c>
      <c r="P43" s="60"/>
    </row>
    <row r="44" spans="1:16" x14ac:dyDescent="0.25">
      <c r="A44" t="str">
        <f t="shared" si="1"/>
        <v>TLEF</v>
      </c>
      <c r="C44" s="55" t="s">
        <v>411</v>
      </c>
      <c r="D44" t="s">
        <v>76</v>
      </c>
      <c r="E44" t="s">
        <v>61</v>
      </c>
      <c r="F44" t="s">
        <v>205</v>
      </c>
      <c r="G44" t="s">
        <v>30</v>
      </c>
      <c r="H44" t="s">
        <v>41</v>
      </c>
      <c r="I44">
        <v>6.5625593961583101E-2</v>
      </c>
      <c r="J44">
        <v>6.1780555317153603E-2</v>
      </c>
      <c r="K44">
        <v>1.48665666863134E-2</v>
      </c>
      <c r="L44">
        <v>5.3426196654288603E-3</v>
      </c>
      <c r="N44" s="56" t="s">
        <v>193</v>
      </c>
      <c r="O44" s="58">
        <f t="shared" si="0"/>
        <v>4.2596725716911671E-2</v>
      </c>
      <c r="P44" s="60"/>
    </row>
    <row r="45" spans="1:16" x14ac:dyDescent="0.25">
      <c r="A45" t="str">
        <f t="shared" si="1"/>
        <v>TLEF</v>
      </c>
      <c r="C45" s="55" t="s">
        <v>411</v>
      </c>
      <c r="D45" t="s">
        <v>76</v>
      </c>
      <c r="E45" t="s">
        <v>61</v>
      </c>
      <c r="F45" t="s">
        <v>205</v>
      </c>
      <c r="G45" t="s">
        <v>31</v>
      </c>
      <c r="H45" t="s">
        <v>41</v>
      </c>
      <c r="I45">
        <v>0.18363256575807599</v>
      </c>
      <c r="J45">
        <v>0.172304823804562</v>
      </c>
      <c r="K45">
        <v>4.1421056829655301E-2</v>
      </c>
      <c r="L45">
        <v>1.4047675720051001E-2</v>
      </c>
      <c r="N45" s="56" t="s">
        <v>163</v>
      </c>
      <c r="O45" s="58">
        <f t="shared" si="0"/>
        <v>1.2971595714304303E-3</v>
      </c>
      <c r="P45" s="60"/>
    </row>
    <row r="46" spans="1:16" x14ac:dyDescent="0.25">
      <c r="A46" t="str">
        <f t="shared" si="1"/>
        <v>TLEF</v>
      </c>
      <c r="C46" s="55" t="s">
        <v>411</v>
      </c>
      <c r="D46" t="s">
        <v>76</v>
      </c>
      <c r="E46" t="s">
        <v>61</v>
      </c>
      <c r="F46" t="s">
        <v>205</v>
      </c>
      <c r="G46" t="s">
        <v>32</v>
      </c>
      <c r="H46" t="s">
        <v>41</v>
      </c>
      <c r="I46">
        <v>0.20400141534213301</v>
      </c>
      <c r="J46">
        <v>0.191623859974003</v>
      </c>
      <c r="K46">
        <v>4.6503429596293902E-2</v>
      </c>
      <c r="L46">
        <v>1.72923764721747E-2</v>
      </c>
      <c r="N46" s="56" t="s">
        <v>169</v>
      </c>
      <c r="O46" s="58">
        <f t="shared" si="0"/>
        <v>1.7508615798849602E-3</v>
      </c>
      <c r="P46" s="60"/>
    </row>
    <row r="47" spans="1:16" x14ac:dyDescent="0.25">
      <c r="A47" t="str">
        <f t="shared" si="1"/>
        <v>TLEF</v>
      </c>
      <c r="C47" s="55" t="s">
        <v>411</v>
      </c>
      <c r="D47" t="s">
        <v>76</v>
      </c>
      <c r="E47" t="s">
        <v>61</v>
      </c>
      <c r="F47" t="s">
        <v>205</v>
      </c>
      <c r="G47" t="s">
        <v>33</v>
      </c>
      <c r="H47" t="s">
        <v>41</v>
      </c>
      <c r="I47">
        <v>9.7797379888829E-2</v>
      </c>
      <c r="J47">
        <v>9.1515052283766996E-2</v>
      </c>
      <c r="K47">
        <v>2.1958495699347401E-2</v>
      </c>
      <c r="L47">
        <v>8.2544372942916708E-3</v>
      </c>
      <c r="N47" s="56" t="s">
        <v>194</v>
      </c>
      <c r="O47" s="58">
        <f t="shared" si="0"/>
        <v>4.9553040493891367E-4</v>
      </c>
      <c r="P47" s="60"/>
    </row>
    <row r="48" spans="1:16" x14ac:dyDescent="0.25">
      <c r="A48" t="str">
        <f t="shared" si="1"/>
        <v>TLEF</v>
      </c>
      <c r="C48" s="55" t="s">
        <v>411</v>
      </c>
      <c r="D48" t="s">
        <v>76</v>
      </c>
      <c r="E48" t="s">
        <v>61</v>
      </c>
      <c r="F48" t="s">
        <v>205</v>
      </c>
      <c r="G48" t="s">
        <v>34</v>
      </c>
      <c r="H48" t="s">
        <v>41</v>
      </c>
      <c r="I48">
        <v>0.252938086795223</v>
      </c>
      <c r="J48">
        <v>0.23783860809556401</v>
      </c>
      <c r="K48">
        <v>6.0629616155841198E-2</v>
      </c>
      <c r="L48">
        <v>2.2858581008076799E-2</v>
      </c>
      <c r="N48" s="56" t="s">
        <v>201</v>
      </c>
      <c r="O48" s="58">
        <f t="shared" si="0"/>
        <v>1.7541028903596629E-5</v>
      </c>
      <c r="P48" s="60"/>
    </row>
    <row r="49" spans="1:16" x14ac:dyDescent="0.25">
      <c r="A49" t="str">
        <f t="shared" si="1"/>
        <v>TLEF</v>
      </c>
      <c r="C49" s="55" t="s">
        <v>411</v>
      </c>
      <c r="D49" t="s">
        <v>76</v>
      </c>
      <c r="E49" t="s">
        <v>61</v>
      </c>
      <c r="F49" t="s">
        <v>205</v>
      </c>
      <c r="G49" t="s">
        <v>35</v>
      </c>
      <c r="H49" t="s">
        <v>41</v>
      </c>
      <c r="I49">
        <v>8.5466382680112904E-2</v>
      </c>
      <c r="J49">
        <v>8.0439887183835199E-2</v>
      </c>
      <c r="K49">
        <v>1.8627379070940499E-2</v>
      </c>
      <c r="L49">
        <v>7.2523825826673396E-3</v>
      </c>
      <c r="N49" s="56" t="s">
        <v>213</v>
      </c>
      <c r="O49" s="58">
        <f t="shared" si="0"/>
        <v>2.6730512501930921E-4</v>
      </c>
      <c r="P49" s="60"/>
    </row>
    <row r="50" spans="1:16" x14ac:dyDescent="0.25">
      <c r="A50" t="str">
        <f t="shared" si="1"/>
        <v>TLEF</v>
      </c>
      <c r="C50" s="55" t="s">
        <v>411</v>
      </c>
      <c r="D50" t="s">
        <v>76</v>
      </c>
      <c r="E50" t="s">
        <v>61</v>
      </c>
      <c r="F50" t="s">
        <v>205</v>
      </c>
      <c r="G50" t="s">
        <v>36</v>
      </c>
      <c r="H50" t="s">
        <v>41</v>
      </c>
      <c r="I50">
        <v>0.166620950048047</v>
      </c>
      <c r="J50">
        <v>0.15559467213907799</v>
      </c>
      <c r="K50">
        <v>3.84027419911473E-2</v>
      </c>
      <c r="L50">
        <v>1.42891918532062E-2</v>
      </c>
      <c r="O50" s="59">
        <f>SUM(O7:O49)</f>
        <v>1</v>
      </c>
    </row>
    <row r="51" spans="1:16" x14ac:dyDescent="0.25">
      <c r="A51" t="str">
        <f t="shared" si="1"/>
        <v>TLEF</v>
      </c>
      <c r="C51" s="55" t="s">
        <v>411</v>
      </c>
      <c r="D51" t="s">
        <v>76</v>
      </c>
      <c r="E51" t="s">
        <v>61</v>
      </c>
      <c r="F51" t="s">
        <v>205</v>
      </c>
      <c r="G51" t="s">
        <v>37</v>
      </c>
      <c r="H51" t="s">
        <v>41</v>
      </c>
      <c r="I51">
        <v>0.10037981372593199</v>
      </c>
      <c r="J51">
        <v>9.4035998610761298E-2</v>
      </c>
      <c r="K51">
        <v>2.41110667959159E-2</v>
      </c>
      <c r="L51">
        <v>9.4077259087024592E-3</v>
      </c>
    </row>
    <row r="52" spans="1:16" x14ac:dyDescent="0.25">
      <c r="A52" t="str">
        <f t="shared" si="1"/>
        <v>TLEF</v>
      </c>
      <c r="C52" s="55" t="s">
        <v>411</v>
      </c>
      <c r="D52" t="s">
        <v>76</v>
      </c>
      <c r="E52" t="s">
        <v>61</v>
      </c>
      <c r="F52" t="s">
        <v>205</v>
      </c>
      <c r="G52" t="s">
        <v>38</v>
      </c>
      <c r="H52" t="s">
        <v>41</v>
      </c>
      <c r="I52">
        <v>0.219840342319302</v>
      </c>
      <c r="J52">
        <v>0.20587719791372</v>
      </c>
      <c r="K52">
        <v>5.2804942698625602E-2</v>
      </c>
      <c r="L52">
        <v>1.96624515149353E-2</v>
      </c>
    </row>
    <row r="53" spans="1:16" x14ac:dyDescent="0.25">
      <c r="A53" t="str">
        <f t="shared" si="1"/>
        <v>TLEP</v>
      </c>
      <c r="C53" s="55" t="s">
        <v>411</v>
      </c>
      <c r="D53" t="s">
        <v>76</v>
      </c>
      <c r="E53" t="s">
        <v>61</v>
      </c>
      <c r="F53" t="s">
        <v>206</v>
      </c>
      <c r="G53" t="s">
        <v>30</v>
      </c>
      <c r="H53" t="s">
        <v>41</v>
      </c>
      <c r="I53">
        <v>8.1462288223473397E-3</v>
      </c>
      <c r="L53">
        <v>1.1889278808979299E-3</v>
      </c>
    </row>
    <row r="54" spans="1:16" x14ac:dyDescent="0.25">
      <c r="A54" t="str">
        <f t="shared" si="1"/>
        <v>TLEP</v>
      </c>
      <c r="C54" s="55" t="s">
        <v>411</v>
      </c>
      <c r="D54" t="s">
        <v>76</v>
      </c>
      <c r="E54" t="s">
        <v>61</v>
      </c>
      <c r="F54" t="s">
        <v>206</v>
      </c>
      <c r="G54" t="s">
        <v>31</v>
      </c>
      <c r="H54" t="s">
        <v>41</v>
      </c>
      <c r="I54">
        <v>2.4961115893434999E-2</v>
      </c>
      <c r="J54">
        <v>9.1449742578779501E-3</v>
      </c>
      <c r="L54">
        <v>3.1187804797409699E-3</v>
      </c>
    </row>
    <row r="55" spans="1:16" x14ac:dyDescent="0.25">
      <c r="A55" t="str">
        <f t="shared" si="1"/>
        <v>TLEP</v>
      </c>
      <c r="C55" s="55" t="s">
        <v>411</v>
      </c>
      <c r="D55" t="s">
        <v>76</v>
      </c>
      <c r="E55" t="s">
        <v>61</v>
      </c>
      <c r="F55" t="s">
        <v>206</v>
      </c>
      <c r="G55" t="s">
        <v>32</v>
      </c>
      <c r="H55" t="s">
        <v>41</v>
      </c>
      <c r="L55">
        <v>4.1620698335412204E-3</v>
      </c>
    </row>
    <row r="56" spans="1:16" x14ac:dyDescent="0.25">
      <c r="A56" t="str">
        <f t="shared" si="1"/>
        <v>TLEP</v>
      </c>
      <c r="C56" s="55" t="s">
        <v>411</v>
      </c>
      <c r="D56" t="s">
        <v>76</v>
      </c>
      <c r="E56" t="s">
        <v>61</v>
      </c>
      <c r="F56" t="s">
        <v>206</v>
      </c>
      <c r="G56" t="s">
        <v>33</v>
      </c>
      <c r="H56" t="s">
        <v>41</v>
      </c>
      <c r="I56">
        <v>1.33106152079651E-2</v>
      </c>
      <c r="J56">
        <v>4.7561154732554001E-3</v>
      </c>
      <c r="L56">
        <v>2.0131885079537901E-3</v>
      </c>
    </row>
    <row r="57" spans="1:16" x14ac:dyDescent="0.25">
      <c r="A57" t="str">
        <f t="shared" si="1"/>
        <v>TLEP</v>
      </c>
      <c r="C57" s="55" t="s">
        <v>411</v>
      </c>
      <c r="D57" t="s">
        <v>76</v>
      </c>
      <c r="E57" t="s">
        <v>61</v>
      </c>
      <c r="F57" t="s">
        <v>206</v>
      </c>
      <c r="G57" t="s">
        <v>34</v>
      </c>
      <c r="H57" t="s">
        <v>41</v>
      </c>
      <c r="I57">
        <v>3.9601169314691403E-2</v>
      </c>
      <c r="J57">
        <v>1.6099930514960201E-2</v>
      </c>
      <c r="L57">
        <v>6.0826707577213502E-3</v>
      </c>
    </row>
    <row r="58" spans="1:16" x14ac:dyDescent="0.25">
      <c r="A58" t="str">
        <f t="shared" si="1"/>
        <v>TLEP</v>
      </c>
      <c r="C58" s="55" t="s">
        <v>411</v>
      </c>
      <c r="D58" t="s">
        <v>76</v>
      </c>
      <c r="E58" t="s">
        <v>61</v>
      </c>
      <c r="F58" t="s">
        <v>206</v>
      </c>
      <c r="G58" t="s">
        <v>35</v>
      </c>
      <c r="H58" t="s">
        <v>41</v>
      </c>
      <c r="I58">
        <v>1.2830795967969299E-2</v>
      </c>
      <c r="L58">
        <v>1.9530916957712699E-3</v>
      </c>
    </row>
    <row r="59" spans="1:16" x14ac:dyDescent="0.25">
      <c r="A59" t="str">
        <f t="shared" si="1"/>
        <v>TLEP</v>
      </c>
      <c r="C59" s="55" t="s">
        <v>411</v>
      </c>
      <c r="D59" t="s">
        <v>76</v>
      </c>
      <c r="E59" t="s">
        <v>61</v>
      </c>
      <c r="F59" t="s">
        <v>206</v>
      </c>
      <c r="G59" t="s">
        <v>36</v>
      </c>
      <c r="H59" t="s">
        <v>41</v>
      </c>
      <c r="I59">
        <v>2.66016079351417E-2</v>
      </c>
      <c r="J59">
        <v>1.11016975826421E-2</v>
      </c>
      <c r="L59">
        <v>3.7189000863070499E-3</v>
      </c>
    </row>
    <row r="60" spans="1:16" x14ac:dyDescent="0.25">
      <c r="A60" t="str">
        <f t="shared" si="1"/>
        <v>TLEP</v>
      </c>
      <c r="C60" s="55" t="s">
        <v>411</v>
      </c>
      <c r="D60" t="s">
        <v>76</v>
      </c>
      <c r="E60" t="s">
        <v>61</v>
      </c>
      <c r="F60" t="s">
        <v>206</v>
      </c>
      <c r="G60" t="s">
        <v>37</v>
      </c>
      <c r="H60" t="s">
        <v>41</v>
      </c>
      <c r="I60">
        <v>1.54811856698097E-2</v>
      </c>
      <c r="L60">
        <v>2.2386209541402501E-3</v>
      </c>
    </row>
    <row r="61" spans="1:16" x14ac:dyDescent="0.25">
      <c r="A61" t="str">
        <f t="shared" si="1"/>
        <v>TLEP</v>
      </c>
      <c r="C61" s="55" t="s">
        <v>411</v>
      </c>
      <c r="D61" t="s">
        <v>76</v>
      </c>
      <c r="E61" t="s">
        <v>61</v>
      </c>
      <c r="F61" t="s">
        <v>206</v>
      </c>
      <c r="G61" t="s">
        <v>38</v>
      </c>
      <c r="H61" t="s">
        <v>41</v>
      </c>
      <c r="I61">
        <v>3.4280877274423201E-2</v>
      </c>
      <c r="J61">
        <v>1.55361679100714E-2</v>
      </c>
      <c r="L61">
        <v>4.5418297875330603E-3</v>
      </c>
    </row>
    <row r="62" spans="1:16" x14ac:dyDescent="0.25">
      <c r="A62" t="str">
        <f t="shared" si="1"/>
        <v>TLEP</v>
      </c>
      <c r="C62" s="55" t="s">
        <v>411</v>
      </c>
      <c r="D62" t="s">
        <v>76</v>
      </c>
      <c r="E62" t="s">
        <v>61</v>
      </c>
      <c r="F62" t="s">
        <v>207</v>
      </c>
      <c r="G62" t="s">
        <v>30</v>
      </c>
      <c r="H62" t="s">
        <v>41</v>
      </c>
      <c r="I62">
        <v>4.4811061518022999E-2</v>
      </c>
      <c r="J62">
        <v>4.1330830557293197E-2</v>
      </c>
      <c r="K62">
        <v>1.0151323502415301E-2</v>
      </c>
      <c r="L62">
        <v>3.64809587300772E-3</v>
      </c>
    </row>
    <row r="63" spans="1:16" x14ac:dyDescent="0.25">
      <c r="A63" t="str">
        <f t="shared" si="1"/>
        <v>TLEP</v>
      </c>
      <c r="C63" s="55" t="s">
        <v>411</v>
      </c>
      <c r="D63" t="s">
        <v>76</v>
      </c>
      <c r="E63" t="s">
        <v>61</v>
      </c>
      <c r="F63" t="s">
        <v>207</v>
      </c>
      <c r="G63" t="s">
        <v>31</v>
      </c>
      <c r="H63" t="s">
        <v>41</v>
      </c>
      <c r="I63">
        <v>0.123790923117095</v>
      </c>
      <c r="J63">
        <v>0.11615463253067999</v>
      </c>
      <c r="K63">
        <v>2.7922884158705901E-2</v>
      </c>
      <c r="L63">
        <v>9.46986030422136E-3</v>
      </c>
    </row>
    <row r="64" spans="1:16" x14ac:dyDescent="0.25">
      <c r="A64" t="str">
        <f t="shared" si="1"/>
        <v>TLEP</v>
      </c>
      <c r="C64" s="55" t="s">
        <v>411</v>
      </c>
      <c r="D64" t="s">
        <v>76</v>
      </c>
      <c r="E64" t="s">
        <v>61</v>
      </c>
      <c r="F64" t="s">
        <v>207</v>
      </c>
      <c r="G64" t="s">
        <v>32</v>
      </c>
      <c r="H64" t="s">
        <v>41</v>
      </c>
      <c r="I64">
        <v>0.13746214117414801</v>
      </c>
      <c r="J64">
        <v>0.12912178108129699</v>
      </c>
      <c r="K64">
        <v>3.1335375754756097E-2</v>
      </c>
      <c r="L64">
        <v>1.1652110804564899E-2</v>
      </c>
    </row>
    <row r="65" spans="1:12" x14ac:dyDescent="0.25">
      <c r="A65" t="str">
        <f t="shared" si="1"/>
        <v>TLEP</v>
      </c>
      <c r="C65" s="55" t="s">
        <v>411</v>
      </c>
      <c r="D65" t="s">
        <v>76</v>
      </c>
      <c r="E65" t="s">
        <v>61</v>
      </c>
      <c r="F65" t="s">
        <v>207</v>
      </c>
      <c r="G65" t="s">
        <v>33</v>
      </c>
      <c r="H65" t="s">
        <v>41</v>
      </c>
      <c r="I65">
        <v>6.6155723462063998E-2</v>
      </c>
      <c r="J65">
        <v>6.19059988967329E-2</v>
      </c>
      <c r="K65">
        <v>1.48539784069909E-2</v>
      </c>
      <c r="L65">
        <v>5.5837719946777798E-3</v>
      </c>
    </row>
    <row r="66" spans="1:12" x14ac:dyDescent="0.25">
      <c r="A66" t="str">
        <f t="shared" si="1"/>
        <v>TLEP</v>
      </c>
      <c r="C66" s="55" t="s">
        <v>411</v>
      </c>
      <c r="D66" t="s">
        <v>76</v>
      </c>
      <c r="E66" t="s">
        <v>61</v>
      </c>
      <c r="F66" t="s">
        <v>207</v>
      </c>
      <c r="G66" t="s">
        <v>34</v>
      </c>
      <c r="H66" t="s">
        <v>41</v>
      </c>
      <c r="I66">
        <v>0.17433190324949599</v>
      </c>
      <c r="J66">
        <v>0.16392492621753199</v>
      </c>
      <c r="K66">
        <v>4.1787603091547498E-2</v>
      </c>
      <c r="L66">
        <v>1.5754764271412501E-2</v>
      </c>
    </row>
    <row r="67" spans="1:12" x14ac:dyDescent="0.25">
      <c r="A67" t="str">
        <f t="shared" si="1"/>
        <v>TLEP</v>
      </c>
      <c r="C67" s="55" t="s">
        <v>411</v>
      </c>
      <c r="D67" t="s">
        <v>76</v>
      </c>
      <c r="E67" t="s">
        <v>61</v>
      </c>
      <c r="F67" t="s">
        <v>207</v>
      </c>
      <c r="G67" t="s">
        <v>35</v>
      </c>
      <c r="H67" t="s">
        <v>41</v>
      </c>
      <c r="I67">
        <v>5.7114918259794797E-2</v>
      </c>
      <c r="J67">
        <v>5.0954327309868402E-2</v>
      </c>
      <c r="K67">
        <v>1.2448183714677499E-2</v>
      </c>
      <c r="L67">
        <v>4.8465750556936698E-3</v>
      </c>
    </row>
    <row r="68" spans="1:12" x14ac:dyDescent="0.25">
      <c r="A68" t="str">
        <f t="shared" si="1"/>
        <v>TLEP</v>
      </c>
      <c r="C68" s="55" t="s">
        <v>411</v>
      </c>
      <c r="D68" t="s">
        <v>76</v>
      </c>
      <c r="E68" t="s">
        <v>61</v>
      </c>
      <c r="F68" t="s">
        <v>207</v>
      </c>
      <c r="G68" t="s">
        <v>36</v>
      </c>
      <c r="H68" t="s">
        <v>41</v>
      </c>
      <c r="I68">
        <v>0.11365640324256999</v>
      </c>
      <c r="J68">
        <v>0.10613509762088801</v>
      </c>
      <c r="K68">
        <v>2.6195490591714901E-2</v>
      </c>
      <c r="L68">
        <v>9.7470225131361804E-3</v>
      </c>
    </row>
    <row r="69" spans="1:12" x14ac:dyDescent="0.25">
      <c r="A69" t="str">
        <f t="shared" si="1"/>
        <v>TLEP</v>
      </c>
      <c r="C69" s="55" t="s">
        <v>411</v>
      </c>
      <c r="D69" t="s">
        <v>76</v>
      </c>
      <c r="E69" t="s">
        <v>61</v>
      </c>
      <c r="F69" t="s">
        <v>207</v>
      </c>
      <c r="G69" t="s">
        <v>37</v>
      </c>
      <c r="H69" t="s">
        <v>41</v>
      </c>
      <c r="I69">
        <v>6.87867519557359E-2</v>
      </c>
      <c r="J69">
        <v>6.3794946643760106E-2</v>
      </c>
      <c r="K69">
        <v>1.6522465120398899E-2</v>
      </c>
      <c r="L69">
        <v>6.44678331757342E-3</v>
      </c>
    </row>
    <row r="70" spans="1:12" x14ac:dyDescent="0.25">
      <c r="A70" t="str">
        <f t="shared" si="1"/>
        <v>TLEP</v>
      </c>
      <c r="C70" s="55" t="s">
        <v>411</v>
      </c>
      <c r="D70" t="s">
        <v>76</v>
      </c>
      <c r="E70" t="s">
        <v>61</v>
      </c>
      <c r="F70" t="s">
        <v>207</v>
      </c>
      <c r="G70" t="s">
        <v>38</v>
      </c>
      <c r="H70" t="s">
        <v>41</v>
      </c>
      <c r="I70">
        <v>0.151994797695224</v>
      </c>
      <c r="J70">
        <v>0.14234085844674399</v>
      </c>
      <c r="K70">
        <v>3.6508661231650599E-2</v>
      </c>
      <c r="L70">
        <v>1.3594367206106401E-2</v>
      </c>
    </row>
    <row r="71" spans="1:12" x14ac:dyDescent="0.25">
      <c r="A71" t="str">
        <f t="shared" si="1"/>
        <v>TLEV</v>
      </c>
      <c r="C71" s="55" t="s">
        <v>411</v>
      </c>
      <c r="D71" t="s">
        <v>76</v>
      </c>
      <c r="E71" t="s">
        <v>61</v>
      </c>
      <c r="F71" t="s">
        <v>208</v>
      </c>
      <c r="G71" t="s">
        <v>30</v>
      </c>
      <c r="H71" t="s">
        <v>41</v>
      </c>
      <c r="I71">
        <v>2.8875362710524401E-3</v>
      </c>
      <c r="L71">
        <v>4.2143087981280798E-4</v>
      </c>
    </row>
    <row r="72" spans="1:12" x14ac:dyDescent="0.25">
      <c r="A72" t="str">
        <f t="shared" si="1"/>
        <v>TLEV</v>
      </c>
      <c r="C72" s="55" t="s">
        <v>411</v>
      </c>
      <c r="D72" t="s">
        <v>76</v>
      </c>
      <c r="E72" t="s">
        <v>61</v>
      </c>
      <c r="F72" t="s">
        <v>208</v>
      </c>
      <c r="G72" t="s">
        <v>31</v>
      </c>
      <c r="H72" t="s">
        <v>41</v>
      </c>
      <c r="I72">
        <v>8.8477906869633399E-3</v>
      </c>
      <c r="J72">
        <v>3.24155452091198E-3</v>
      </c>
      <c r="L72">
        <v>1.1054921182667499E-3</v>
      </c>
    </row>
    <row r="73" spans="1:12" x14ac:dyDescent="0.25">
      <c r="A73" t="str">
        <f t="shared" ref="A73:A136" si="2">LEFT(F73,4)</f>
        <v>TLEV</v>
      </c>
      <c r="C73" s="55" t="s">
        <v>411</v>
      </c>
      <c r="D73" t="s">
        <v>76</v>
      </c>
      <c r="E73" t="s">
        <v>61</v>
      </c>
      <c r="F73" t="s">
        <v>208</v>
      </c>
      <c r="G73" t="s">
        <v>32</v>
      </c>
      <c r="H73" t="s">
        <v>41</v>
      </c>
      <c r="L73">
        <v>1.4752995366438099E-3</v>
      </c>
    </row>
    <row r="74" spans="1:12" x14ac:dyDescent="0.25">
      <c r="A74" t="str">
        <f t="shared" si="2"/>
        <v>TLEV</v>
      </c>
      <c r="C74" s="55" t="s">
        <v>411</v>
      </c>
      <c r="D74" t="s">
        <v>76</v>
      </c>
      <c r="E74" t="s">
        <v>61</v>
      </c>
      <c r="F74" t="s">
        <v>208</v>
      </c>
      <c r="G74" t="s">
        <v>33</v>
      </c>
      <c r="H74" t="s">
        <v>41</v>
      </c>
      <c r="I74">
        <v>4.7181198860488703E-3</v>
      </c>
      <c r="J74">
        <v>1.68586670443925E-3</v>
      </c>
      <c r="L74">
        <v>7.1360073034474995E-4</v>
      </c>
    </row>
    <row r="75" spans="1:12" x14ac:dyDescent="0.25">
      <c r="A75" t="str">
        <f t="shared" si="2"/>
        <v>TLEV</v>
      </c>
      <c r="C75" s="55" t="s">
        <v>411</v>
      </c>
      <c r="D75" t="s">
        <v>76</v>
      </c>
      <c r="E75" t="s">
        <v>61</v>
      </c>
      <c r="F75" t="s">
        <v>208</v>
      </c>
      <c r="G75" t="s">
        <v>34</v>
      </c>
      <c r="H75" t="s">
        <v>41</v>
      </c>
      <c r="I75">
        <v>1.4037147159255799E-2</v>
      </c>
      <c r="J75">
        <v>5.7068288084222898E-3</v>
      </c>
      <c r="L75">
        <v>2.1560813992368799E-3</v>
      </c>
    </row>
    <row r="76" spans="1:12" x14ac:dyDescent="0.25">
      <c r="A76" t="str">
        <f t="shared" si="2"/>
        <v>TLEV</v>
      </c>
      <c r="C76" s="55" t="s">
        <v>411</v>
      </c>
      <c r="D76" t="s">
        <v>76</v>
      </c>
      <c r="E76" t="s">
        <v>61</v>
      </c>
      <c r="F76" t="s">
        <v>208</v>
      </c>
      <c r="G76" t="s">
        <v>35</v>
      </c>
      <c r="H76" t="s">
        <v>41</v>
      </c>
      <c r="I76">
        <v>4.5480417444631596E-3</v>
      </c>
      <c r="J76">
        <v>1.68030532820537E-3</v>
      </c>
      <c r="L76">
        <v>6.9229863722460603E-4</v>
      </c>
    </row>
    <row r="77" spans="1:12" x14ac:dyDescent="0.25">
      <c r="A77" t="str">
        <f t="shared" si="2"/>
        <v>TLEV</v>
      </c>
      <c r="C77" s="55" t="s">
        <v>411</v>
      </c>
      <c r="D77" t="s">
        <v>76</v>
      </c>
      <c r="E77" t="s">
        <v>61</v>
      </c>
      <c r="F77" t="s">
        <v>208</v>
      </c>
      <c r="G77" t="s">
        <v>36</v>
      </c>
      <c r="H77" t="s">
        <v>41</v>
      </c>
      <c r="I77">
        <v>9.4292843297402503E-3</v>
      </c>
      <c r="J77">
        <v>3.9351404360499203E-3</v>
      </c>
      <c r="L77">
        <v>1.3182122822493201E-3</v>
      </c>
    </row>
    <row r="78" spans="1:12" x14ac:dyDescent="0.25">
      <c r="A78" t="str">
        <f t="shared" si="2"/>
        <v>TLEV</v>
      </c>
      <c r="C78" s="55" t="s">
        <v>411</v>
      </c>
      <c r="D78" t="s">
        <v>76</v>
      </c>
      <c r="E78" t="s">
        <v>61</v>
      </c>
      <c r="F78" t="s">
        <v>208</v>
      </c>
      <c r="G78" t="s">
        <v>37</v>
      </c>
      <c r="H78" t="s">
        <v>41</v>
      </c>
      <c r="I78">
        <v>5.4875066874921904E-3</v>
      </c>
      <c r="L78">
        <v>7.9350817945172296E-4</v>
      </c>
    </row>
    <row r="79" spans="1:12" x14ac:dyDescent="0.25">
      <c r="A79" t="str">
        <f t="shared" si="2"/>
        <v>TLEV</v>
      </c>
      <c r="C79" s="55" t="s">
        <v>411</v>
      </c>
      <c r="D79" t="s">
        <v>76</v>
      </c>
      <c r="E79" t="s">
        <v>61</v>
      </c>
      <c r="F79" t="s">
        <v>208</v>
      </c>
      <c r="G79" t="s">
        <v>38</v>
      </c>
      <c r="H79" t="s">
        <v>41</v>
      </c>
      <c r="I79">
        <v>1.21513007665394E-2</v>
      </c>
      <c r="J79">
        <v>5.5069958543793301E-3</v>
      </c>
      <c r="L79">
        <v>1.60991036889007E-3</v>
      </c>
    </row>
    <row r="80" spans="1:12" x14ac:dyDescent="0.25">
      <c r="A80" t="str">
        <f t="shared" si="2"/>
        <v>TLEV</v>
      </c>
      <c r="C80" s="55" t="s">
        <v>411</v>
      </c>
      <c r="D80" t="s">
        <v>76</v>
      </c>
      <c r="E80" t="s">
        <v>61</v>
      </c>
      <c r="F80" t="s">
        <v>209</v>
      </c>
      <c r="G80" t="s">
        <v>30</v>
      </c>
      <c r="H80" t="s">
        <v>41</v>
      </c>
      <c r="I80">
        <v>1.5883860900480901E-2</v>
      </c>
      <c r="J80">
        <v>1.4650247979717E-2</v>
      </c>
      <c r="K80">
        <v>3.5982680393164901E-3</v>
      </c>
      <c r="L80">
        <v>1.29311481218019E-3</v>
      </c>
    </row>
    <row r="81" spans="1:12" x14ac:dyDescent="0.25">
      <c r="A81" t="str">
        <f t="shared" si="2"/>
        <v>TLEV</v>
      </c>
      <c r="C81" s="55" t="s">
        <v>411</v>
      </c>
      <c r="D81" t="s">
        <v>76</v>
      </c>
      <c r="E81" t="s">
        <v>61</v>
      </c>
      <c r="F81" t="s">
        <v>209</v>
      </c>
      <c r="G81" t="s">
        <v>31</v>
      </c>
      <c r="H81" t="s">
        <v>41</v>
      </c>
      <c r="I81">
        <v>4.3879295355304902E-2</v>
      </c>
      <c r="J81">
        <v>4.11725132938826E-2</v>
      </c>
      <c r="K81">
        <v>9.8976277930559898E-3</v>
      </c>
      <c r="L81">
        <v>3.35671458616842E-3</v>
      </c>
    </row>
    <row r="82" spans="1:12" x14ac:dyDescent="0.25">
      <c r="A82" t="str">
        <f t="shared" si="2"/>
        <v>TLEV</v>
      </c>
      <c r="C82" s="55" t="s">
        <v>411</v>
      </c>
      <c r="D82" t="s">
        <v>76</v>
      </c>
      <c r="E82" t="s">
        <v>61</v>
      </c>
      <c r="F82" t="s">
        <v>209</v>
      </c>
      <c r="G82" t="s">
        <v>32</v>
      </c>
      <c r="H82" t="s">
        <v>41</v>
      </c>
      <c r="I82">
        <v>4.8725235589749803E-2</v>
      </c>
      <c r="J82">
        <v>4.5768886976551001E-2</v>
      </c>
      <c r="K82">
        <v>1.1107229619022999E-2</v>
      </c>
      <c r="L82">
        <v>4.1302415284730698E-3</v>
      </c>
    </row>
    <row r="83" spans="1:12" x14ac:dyDescent="0.25">
      <c r="A83" t="str">
        <f t="shared" si="2"/>
        <v>TLEV</v>
      </c>
      <c r="C83" s="55" t="s">
        <v>411</v>
      </c>
      <c r="D83" t="s">
        <v>76</v>
      </c>
      <c r="E83" t="s">
        <v>61</v>
      </c>
      <c r="F83" t="s">
        <v>209</v>
      </c>
      <c r="G83" t="s">
        <v>33</v>
      </c>
      <c r="H83" t="s">
        <v>41</v>
      </c>
      <c r="I83">
        <v>2.3449752664740399E-2</v>
      </c>
      <c r="J83">
        <v>2.19433827735937E-2</v>
      </c>
      <c r="K83">
        <v>5.2651849530611196E-3</v>
      </c>
      <c r="L83">
        <v>1.9792402736942801E-3</v>
      </c>
    </row>
    <row r="84" spans="1:12" x14ac:dyDescent="0.25">
      <c r="A84" t="str">
        <f t="shared" si="2"/>
        <v>TLEV</v>
      </c>
      <c r="C84" s="55" t="s">
        <v>411</v>
      </c>
      <c r="D84" t="s">
        <v>76</v>
      </c>
      <c r="E84" t="s">
        <v>61</v>
      </c>
      <c r="F84" t="s">
        <v>209</v>
      </c>
      <c r="G84" t="s">
        <v>34</v>
      </c>
      <c r="H84" t="s">
        <v>41</v>
      </c>
      <c r="I84">
        <v>6.1794200090916802E-2</v>
      </c>
      <c r="J84">
        <v>5.8105312348238902E-2</v>
      </c>
      <c r="K84">
        <v>1.4812156918079E-2</v>
      </c>
      <c r="L84">
        <v>5.5844801647096402E-3</v>
      </c>
    </row>
    <row r="85" spans="1:12" x14ac:dyDescent="0.25">
      <c r="A85" t="str">
        <f t="shared" si="2"/>
        <v>TLEV</v>
      </c>
      <c r="C85" s="55" t="s">
        <v>411</v>
      </c>
      <c r="D85" t="s">
        <v>76</v>
      </c>
      <c r="E85" t="s">
        <v>61</v>
      </c>
      <c r="F85" t="s">
        <v>209</v>
      </c>
      <c r="G85" t="s">
        <v>35</v>
      </c>
      <c r="H85" t="s">
        <v>41</v>
      </c>
      <c r="I85">
        <v>2.0245122214211399E-2</v>
      </c>
      <c r="J85">
        <v>1.8061420994055302E-2</v>
      </c>
      <c r="K85">
        <v>4.4124198778028104E-3</v>
      </c>
      <c r="L85">
        <v>1.7179312745674801E-3</v>
      </c>
    </row>
    <row r="86" spans="1:12" x14ac:dyDescent="0.25">
      <c r="A86" t="str">
        <f t="shared" si="2"/>
        <v>TLEV</v>
      </c>
      <c r="C86" s="55" t="s">
        <v>411</v>
      </c>
      <c r="D86" t="s">
        <v>76</v>
      </c>
      <c r="E86" t="s">
        <v>61</v>
      </c>
      <c r="F86" t="s">
        <v>209</v>
      </c>
      <c r="G86" t="s">
        <v>36</v>
      </c>
      <c r="H86" t="s">
        <v>41</v>
      </c>
      <c r="I86">
        <v>4.0286983579442E-2</v>
      </c>
      <c r="J86">
        <v>3.7620959427419498E-2</v>
      </c>
      <c r="K86">
        <v>9.2853307795734003E-3</v>
      </c>
      <c r="L86">
        <v>3.45495831939269E-3</v>
      </c>
    </row>
    <row r="87" spans="1:12" x14ac:dyDescent="0.25">
      <c r="A87" t="str">
        <f t="shared" si="2"/>
        <v>TLEV</v>
      </c>
      <c r="C87" s="55" t="s">
        <v>411</v>
      </c>
      <c r="D87" t="s">
        <v>76</v>
      </c>
      <c r="E87" t="s">
        <v>61</v>
      </c>
      <c r="F87" t="s">
        <v>209</v>
      </c>
      <c r="G87" t="s">
        <v>37</v>
      </c>
      <c r="H87" t="s">
        <v>41</v>
      </c>
      <c r="I87">
        <v>2.4382354776874698E-2</v>
      </c>
      <c r="J87">
        <v>2.2612944757747701E-2</v>
      </c>
      <c r="K87">
        <v>5.8566016696549403E-3</v>
      </c>
      <c r="L87">
        <v>2.28514581005166E-3</v>
      </c>
    </row>
    <row r="88" spans="1:12" x14ac:dyDescent="0.25">
      <c r="A88" t="str">
        <f t="shared" si="2"/>
        <v>TLEV</v>
      </c>
      <c r="C88" s="55" t="s">
        <v>411</v>
      </c>
      <c r="D88" t="s">
        <v>76</v>
      </c>
      <c r="E88" t="s">
        <v>61</v>
      </c>
      <c r="F88" t="s">
        <v>209</v>
      </c>
      <c r="G88" t="s">
        <v>38</v>
      </c>
      <c r="H88" t="s">
        <v>41</v>
      </c>
      <c r="I88">
        <v>5.3876523840361699E-2</v>
      </c>
      <c r="J88">
        <v>5.0454560089226601E-2</v>
      </c>
      <c r="K88">
        <v>1.29409676321344E-2</v>
      </c>
      <c r="L88">
        <v>4.8186994553790496E-3</v>
      </c>
    </row>
    <row r="89" spans="1:12" x14ac:dyDescent="0.25">
      <c r="A89" t="str">
        <f t="shared" si="2"/>
        <v>TLFC</v>
      </c>
      <c r="C89" s="55" t="s">
        <v>411</v>
      </c>
      <c r="D89" t="s">
        <v>76</v>
      </c>
      <c r="E89" t="s">
        <v>61</v>
      </c>
      <c r="F89" t="s">
        <v>412</v>
      </c>
      <c r="G89" t="s">
        <v>30</v>
      </c>
      <c r="H89" t="s">
        <v>41</v>
      </c>
      <c r="K89">
        <v>2.0828020544399001E-2</v>
      </c>
      <c r="L89">
        <v>2.5697515343025501E-2</v>
      </c>
    </row>
    <row r="90" spans="1:12" x14ac:dyDescent="0.25">
      <c r="A90" t="str">
        <f t="shared" si="2"/>
        <v>TLFC</v>
      </c>
      <c r="C90" s="55" t="s">
        <v>411</v>
      </c>
      <c r="D90" t="s">
        <v>76</v>
      </c>
      <c r="E90" t="s">
        <v>61</v>
      </c>
      <c r="F90" t="s">
        <v>412</v>
      </c>
      <c r="G90" t="s">
        <v>31</v>
      </c>
      <c r="H90" t="s">
        <v>41</v>
      </c>
      <c r="K90">
        <v>6.1762689530972401E-2</v>
      </c>
      <c r="L90">
        <v>7.27416198645984E-2</v>
      </c>
    </row>
    <row r="91" spans="1:12" x14ac:dyDescent="0.25">
      <c r="A91" t="str">
        <f t="shared" si="2"/>
        <v>TLFC</v>
      </c>
      <c r="C91" s="55" t="s">
        <v>411</v>
      </c>
      <c r="D91" t="s">
        <v>76</v>
      </c>
      <c r="E91" t="s">
        <v>61</v>
      </c>
      <c r="F91" t="s">
        <v>412</v>
      </c>
      <c r="G91" t="s">
        <v>32</v>
      </c>
      <c r="H91" t="s">
        <v>41</v>
      </c>
      <c r="K91">
        <v>6.3448866819711902E-2</v>
      </c>
      <c r="L91">
        <v>7.7675847900719797E-2</v>
      </c>
    </row>
    <row r="92" spans="1:12" x14ac:dyDescent="0.25">
      <c r="A92" t="str">
        <f t="shared" si="2"/>
        <v>TLFC</v>
      </c>
      <c r="C92" s="55" t="s">
        <v>411</v>
      </c>
      <c r="D92" t="s">
        <v>76</v>
      </c>
      <c r="E92" t="s">
        <v>61</v>
      </c>
      <c r="F92" t="s">
        <v>412</v>
      </c>
      <c r="G92" t="s">
        <v>33</v>
      </c>
      <c r="H92" t="s">
        <v>41</v>
      </c>
      <c r="K92">
        <v>2.7198199226983698E-2</v>
      </c>
      <c r="L92">
        <v>3.70868552281109E-2</v>
      </c>
    </row>
    <row r="93" spans="1:12" x14ac:dyDescent="0.25">
      <c r="A93" t="str">
        <f t="shared" si="2"/>
        <v>TLFC</v>
      </c>
      <c r="C93" s="55" t="s">
        <v>411</v>
      </c>
      <c r="D93" t="s">
        <v>76</v>
      </c>
      <c r="E93" t="s">
        <v>61</v>
      </c>
      <c r="F93" t="s">
        <v>412</v>
      </c>
      <c r="G93" t="s">
        <v>34</v>
      </c>
      <c r="H93" t="s">
        <v>41</v>
      </c>
      <c r="K93">
        <v>7.6724334099552399E-2</v>
      </c>
      <c r="L93">
        <v>0.111916680948178</v>
      </c>
    </row>
    <row r="94" spans="1:12" x14ac:dyDescent="0.25">
      <c r="A94" t="str">
        <f t="shared" si="2"/>
        <v>TLFC</v>
      </c>
      <c r="C94" s="55" t="s">
        <v>411</v>
      </c>
      <c r="D94" t="s">
        <v>76</v>
      </c>
      <c r="E94" t="s">
        <v>61</v>
      </c>
      <c r="F94" t="s">
        <v>412</v>
      </c>
      <c r="G94" t="s">
        <v>35</v>
      </c>
      <c r="H94" t="s">
        <v>41</v>
      </c>
      <c r="K94">
        <v>2.40521215434891E-2</v>
      </c>
      <c r="L94">
        <v>3.1616032671141402E-2</v>
      </c>
    </row>
    <row r="95" spans="1:12" x14ac:dyDescent="0.25">
      <c r="A95" t="str">
        <f t="shared" si="2"/>
        <v>TLFC</v>
      </c>
      <c r="C95" s="55" t="s">
        <v>411</v>
      </c>
      <c r="D95" t="s">
        <v>76</v>
      </c>
      <c r="E95" t="s">
        <v>61</v>
      </c>
      <c r="F95" t="s">
        <v>412</v>
      </c>
      <c r="G95" t="s">
        <v>36</v>
      </c>
      <c r="H95" t="s">
        <v>41</v>
      </c>
      <c r="K95">
        <v>4.87394245211751E-2</v>
      </c>
      <c r="L95">
        <v>7.2034267814656994E-2</v>
      </c>
    </row>
    <row r="96" spans="1:12" x14ac:dyDescent="0.25">
      <c r="A96" t="str">
        <f t="shared" si="2"/>
        <v>TLFC</v>
      </c>
      <c r="C96" s="55" t="s">
        <v>411</v>
      </c>
      <c r="D96" t="s">
        <v>76</v>
      </c>
      <c r="E96" t="s">
        <v>61</v>
      </c>
      <c r="F96" t="s">
        <v>412</v>
      </c>
      <c r="G96" t="s">
        <v>37</v>
      </c>
      <c r="H96" t="s">
        <v>41</v>
      </c>
      <c r="K96">
        <v>2.76491422423422E-2</v>
      </c>
      <c r="L96">
        <v>4.21603124241638E-2</v>
      </c>
    </row>
    <row r="97" spans="1:12" x14ac:dyDescent="0.25">
      <c r="A97" t="str">
        <f t="shared" si="2"/>
        <v>TLFC</v>
      </c>
      <c r="C97" s="55" t="s">
        <v>411</v>
      </c>
      <c r="D97" t="s">
        <v>76</v>
      </c>
      <c r="E97" t="s">
        <v>61</v>
      </c>
      <c r="F97" t="s">
        <v>412</v>
      </c>
      <c r="G97" t="s">
        <v>38</v>
      </c>
      <c r="H97" t="s">
        <v>41</v>
      </c>
      <c r="K97">
        <v>6.0599844623206299E-2</v>
      </c>
      <c r="L97">
        <v>9.0756934996494495E-2</v>
      </c>
    </row>
    <row r="98" spans="1:12" x14ac:dyDescent="0.25">
      <c r="A98" t="str">
        <f t="shared" si="2"/>
        <v>TLPC</v>
      </c>
      <c r="C98" s="55" t="s">
        <v>411</v>
      </c>
      <c r="D98" t="s">
        <v>76</v>
      </c>
      <c r="E98" t="s">
        <v>61</v>
      </c>
      <c r="F98" t="s">
        <v>413</v>
      </c>
      <c r="G98" t="s">
        <v>30</v>
      </c>
      <c r="H98" t="s">
        <v>41</v>
      </c>
      <c r="K98">
        <v>3.0305434181620201E-2</v>
      </c>
      <c r="L98">
        <v>3.4494082097555598E-2</v>
      </c>
    </row>
    <row r="99" spans="1:12" x14ac:dyDescent="0.25">
      <c r="A99" t="str">
        <f t="shared" si="2"/>
        <v>TLPC</v>
      </c>
      <c r="C99" s="55" t="s">
        <v>411</v>
      </c>
      <c r="D99" t="s">
        <v>76</v>
      </c>
      <c r="E99" t="s">
        <v>61</v>
      </c>
      <c r="F99" t="s">
        <v>413</v>
      </c>
      <c r="G99" t="s">
        <v>31</v>
      </c>
      <c r="H99" t="s">
        <v>41</v>
      </c>
      <c r="J99">
        <v>5.2236584389270301E-4</v>
      </c>
      <c r="K99">
        <v>8.6020572975566603E-2</v>
      </c>
      <c r="L99">
        <v>9.7176994074082604E-2</v>
      </c>
    </row>
    <row r="100" spans="1:12" x14ac:dyDescent="0.25">
      <c r="A100" t="str">
        <f t="shared" si="2"/>
        <v>TLPC</v>
      </c>
      <c r="C100" s="55" t="s">
        <v>411</v>
      </c>
      <c r="D100" t="s">
        <v>76</v>
      </c>
      <c r="E100" t="s">
        <v>61</v>
      </c>
      <c r="F100" t="s">
        <v>413</v>
      </c>
      <c r="G100" t="s">
        <v>32</v>
      </c>
      <c r="H100" t="s">
        <v>41</v>
      </c>
      <c r="K100">
        <v>9.3244245971441597E-2</v>
      </c>
      <c r="L100">
        <v>0.10504502709746801</v>
      </c>
    </row>
    <row r="101" spans="1:12" x14ac:dyDescent="0.25">
      <c r="A101" t="str">
        <f t="shared" si="2"/>
        <v>TLPC</v>
      </c>
      <c r="C101" s="55" t="s">
        <v>411</v>
      </c>
      <c r="D101" t="s">
        <v>76</v>
      </c>
      <c r="E101" t="s">
        <v>61</v>
      </c>
      <c r="F101" t="s">
        <v>413</v>
      </c>
      <c r="G101" t="s">
        <v>33</v>
      </c>
      <c r="H101" t="s">
        <v>41</v>
      </c>
      <c r="K101">
        <v>4.3561786216841002E-2</v>
      </c>
      <c r="L101">
        <v>5.0131696006148002E-2</v>
      </c>
    </row>
    <row r="102" spans="1:12" x14ac:dyDescent="0.25">
      <c r="A102" t="str">
        <f t="shared" si="2"/>
        <v>TLPC</v>
      </c>
      <c r="C102" s="55" t="s">
        <v>411</v>
      </c>
      <c r="D102" t="s">
        <v>76</v>
      </c>
      <c r="E102" t="s">
        <v>61</v>
      </c>
      <c r="F102" t="s">
        <v>413</v>
      </c>
      <c r="G102" t="s">
        <v>34</v>
      </c>
      <c r="H102" t="s">
        <v>41</v>
      </c>
      <c r="J102">
        <v>2.6971129957086299E-3</v>
      </c>
      <c r="K102">
        <v>0.12699319680427101</v>
      </c>
      <c r="L102">
        <v>0.14985733845187199</v>
      </c>
    </row>
    <row r="103" spans="1:12" x14ac:dyDescent="0.25">
      <c r="A103" t="str">
        <f t="shared" si="2"/>
        <v>TLPC</v>
      </c>
      <c r="C103" s="55" t="s">
        <v>411</v>
      </c>
      <c r="D103" t="s">
        <v>76</v>
      </c>
      <c r="E103" t="s">
        <v>61</v>
      </c>
      <c r="F103" t="s">
        <v>413</v>
      </c>
      <c r="G103" t="s">
        <v>35</v>
      </c>
      <c r="H103" t="s">
        <v>41</v>
      </c>
      <c r="K103">
        <v>3.7737004538260302E-2</v>
      </c>
      <c r="L103">
        <v>4.2915008830482701E-2</v>
      </c>
    </row>
    <row r="104" spans="1:12" x14ac:dyDescent="0.25">
      <c r="A104" t="str">
        <f t="shared" si="2"/>
        <v>TLPC</v>
      </c>
      <c r="C104" s="55" t="s">
        <v>411</v>
      </c>
      <c r="D104" t="s">
        <v>76</v>
      </c>
      <c r="E104" t="s">
        <v>61</v>
      </c>
      <c r="F104" t="s">
        <v>413</v>
      </c>
      <c r="G104" t="s">
        <v>36</v>
      </c>
      <c r="H104" t="s">
        <v>41</v>
      </c>
      <c r="K104">
        <v>8.0884972265427096E-2</v>
      </c>
      <c r="L104">
        <v>9.6327411789085493E-2</v>
      </c>
    </row>
    <row r="105" spans="1:12" x14ac:dyDescent="0.25">
      <c r="A105" t="str">
        <f t="shared" si="2"/>
        <v>TLPC</v>
      </c>
      <c r="C105" s="55" t="s">
        <v>411</v>
      </c>
      <c r="D105" t="s">
        <v>76</v>
      </c>
      <c r="E105" t="s">
        <v>61</v>
      </c>
      <c r="F105" t="s">
        <v>413</v>
      </c>
      <c r="G105" t="s">
        <v>37</v>
      </c>
      <c r="H105" t="s">
        <v>41</v>
      </c>
      <c r="K105">
        <v>4.7080579917680998E-2</v>
      </c>
      <c r="L105">
        <v>5.69201219858117E-2</v>
      </c>
    </row>
    <row r="106" spans="1:12" x14ac:dyDescent="0.25">
      <c r="A106" t="str">
        <f t="shared" si="2"/>
        <v>TLPC</v>
      </c>
      <c r="C106" s="55" t="s">
        <v>411</v>
      </c>
      <c r="D106" t="s">
        <v>76</v>
      </c>
      <c r="E106" t="s">
        <v>61</v>
      </c>
      <c r="F106" t="s">
        <v>413</v>
      </c>
      <c r="G106" t="s">
        <v>38</v>
      </c>
      <c r="H106" t="s">
        <v>41</v>
      </c>
      <c r="K106">
        <v>0.10284336090243699</v>
      </c>
      <c r="L106">
        <v>0.122089188634494</v>
      </c>
    </row>
    <row r="107" spans="1:12" x14ac:dyDescent="0.25">
      <c r="A107" t="str">
        <f t="shared" si="2"/>
        <v>TLVC</v>
      </c>
      <c r="C107" s="55" t="s">
        <v>411</v>
      </c>
      <c r="D107" t="s">
        <v>76</v>
      </c>
      <c r="E107" t="s">
        <v>61</v>
      </c>
      <c r="F107" t="s">
        <v>414</v>
      </c>
      <c r="G107" t="s">
        <v>30</v>
      </c>
      <c r="H107" t="s">
        <v>41</v>
      </c>
      <c r="K107">
        <v>1.07421534943091E-2</v>
      </c>
      <c r="L107">
        <v>1.22268739763502E-2</v>
      </c>
    </row>
    <row r="108" spans="1:12" x14ac:dyDescent="0.25">
      <c r="A108" t="str">
        <f t="shared" si="2"/>
        <v>TLVC</v>
      </c>
      <c r="C108" s="55" t="s">
        <v>411</v>
      </c>
      <c r="D108" t="s">
        <v>76</v>
      </c>
      <c r="E108" t="s">
        <v>61</v>
      </c>
      <c r="F108" t="s">
        <v>414</v>
      </c>
      <c r="G108" t="s">
        <v>31</v>
      </c>
      <c r="H108" t="s">
        <v>41</v>
      </c>
      <c r="J108">
        <v>1.8515933616564101E-4</v>
      </c>
      <c r="K108">
        <v>3.04911057546365E-2</v>
      </c>
      <c r="L108">
        <v>3.4445643649364803E-2</v>
      </c>
    </row>
    <row r="109" spans="1:12" x14ac:dyDescent="0.25">
      <c r="A109" t="str">
        <f t="shared" si="2"/>
        <v>TLVC</v>
      </c>
      <c r="C109" s="55" t="s">
        <v>411</v>
      </c>
      <c r="D109" t="s">
        <v>76</v>
      </c>
      <c r="E109" t="s">
        <v>61</v>
      </c>
      <c r="F109" t="s">
        <v>414</v>
      </c>
      <c r="G109" t="s">
        <v>32</v>
      </c>
      <c r="H109" t="s">
        <v>41</v>
      </c>
      <c r="K109">
        <v>3.3051630169147202E-2</v>
      </c>
      <c r="L109">
        <v>3.7234569817819599E-2</v>
      </c>
    </row>
    <row r="110" spans="1:12" x14ac:dyDescent="0.25">
      <c r="A110" t="str">
        <f t="shared" si="2"/>
        <v>TLVC</v>
      </c>
      <c r="C110" s="55" t="s">
        <v>411</v>
      </c>
      <c r="D110" t="s">
        <v>76</v>
      </c>
      <c r="E110" t="s">
        <v>61</v>
      </c>
      <c r="F110" t="s">
        <v>414</v>
      </c>
      <c r="G110" t="s">
        <v>33</v>
      </c>
      <c r="H110" t="s">
        <v>41</v>
      </c>
      <c r="K110">
        <v>1.5441039096261801E-2</v>
      </c>
      <c r="L110">
        <v>1.7769828678273598E-2</v>
      </c>
    </row>
    <row r="111" spans="1:12" x14ac:dyDescent="0.25">
      <c r="A111" t="str">
        <f t="shared" si="2"/>
        <v>TLVC</v>
      </c>
      <c r="C111" s="55" t="s">
        <v>411</v>
      </c>
      <c r="D111" t="s">
        <v>76</v>
      </c>
      <c r="E111" t="s">
        <v>61</v>
      </c>
      <c r="F111" t="s">
        <v>414</v>
      </c>
      <c r="G111" t="s">
        <v>34</v>
      </c>
      <c r="H111" t="s">
        <v>41</v>
      </c>
      <c r="J111">
        <v>9.56026619442635E-4</v>
      </c>
      <c r="K111">
        <v>4.5014382721889602E-2</v>
      </c>
      <c r="L111">
        <v>5.3118873738986501E-2</v>
      </c>
    </row>
    <row r="112" spans="1:12" x14ac:dyDescent="0.25">
      <c r="A112" t="str">
        <f t="shared" si="2"/>
        <v>TLVC</v>
      </c>
      <c r="C112" s="55" t="s">
        <v>411</v>
      </c>
      <c r="D112" t="s">
        <v>76</v>
      </c>
      <c r="E112" t="s">
        <v>61</v>
      </c>
      <c r="F112" t="s">
        <v>414</v>
      </c>
      <c r="G112" t="s">
        <v>35</v>
      </c>
      <c r="H112" t="s">
        <v>41</v>
      </c>
      <c r="K112">
        <v>1.3376369819881599E-2</v>
      </c>
      <c r="L112">
        <v>1.5211780478178E-2</v>
      </c>
    </row>
    <row r="113" spans="1:12" x14ac:dyDescent="0.25">
      <c r="A113" t="str">
        <f t="shared" si="2"/>
        <v>TLVC</v>
      </c>
      <c r="C113" s="55" t="s">
        <v>411</v>
      </c>
      <c r="D113" t="s">
        <v>76</v>
      </c>
      <c r="E113" t="s">
        <v>61</v>
      </c>
      <c r="F113" t="s">
        <v>414</v>
      </c>
      <c r="G113" t="s">
        <v>36</v>
      </c>
      <c r="H113" t="s">
        <v>41</v>
      </c>
      <c r="K113">
        <v>2.8670725594986401E-2</v>
      </c>
      <c r="L113">
        <v>3.4144498209349297E-2</v>
      </c>
    </row>
    <row r="114" spans="1:12" x14ac:dyDescent="0.25">
      <c r="A114" t="str">
        <f t="shared" si="2"/>
        <v>TLVC</v>
      </c>
      <c r="C114" s="55" t="s">
        <v>411</v>
      </c>
      <c r="D114" t="s">
        <v>76</v>
      </c>
      <c r="E114" t="s">
        <v>61</v>
      </c>
      <c r="F114" t="s">
        <v>414</v>
      </c>
      <c r="G114" t="s">
        <v>37</v>
      </c>
      <c r="H114" t="s">
        <v>41</v>
      </c>
      <c r="K114">
        <v>1.6688321079509402E-2</v>
      </c>
      <c r="L114">
        <v>2.0176074152972401E-2</v>
      </c>
    </row>
    <row r="115" spans="1:12" x14ac:dyDescent="0.25">
      <c r="A115" t="str">
        <f t="shared" si="2"/>
        <v>TLVC</v>
      </c>
      <c r="C115" s="55" t="s">
        <v>411</v>
      </c>
      <c r="D115" t="s">
        <v>76</v>
      </c>
      <c r="E115" t="s">
        <v>61</v>
      </c>
      <c r="F115" t="s">
        <v>414</v>
      </c>
      <c r="G115" t="s">
        <v>38</v>
      </c>
      <c r="H115" t="s">
        <v>41</v>
      </c>
      <c r="K115">
        <v>3.6454160731167799E-2</v>
      </c>
      <c r="L115">
        <v>4.32760935364788E-2</v>
      </c>
    </row>
    <row r="116" spans="1:12" x14ac:dyDescent="0.25">
      <c r="A116" t="str">
        <f t="shared" si="2"/>
        <v>TLCC</v>
      </c>
      <c r="C116" s="55" t="s">
        <v>411</v>
      </c>
      <c r="D116" t="s">
        <v>76</v>
      </c>
      <c r="E116" t="s">
        <v>26</v>
      </c>
      <c r="F116" t="s">
        <v>158</v>
      </c>
      <c r="G116" t="s">
        <v>30</v>
      </c>
      <c r="H116" t="s">
        <v>41</v>
      </c>
    </row>
    <row r="117" spans="1:12" x14ac:dyDescent="0.25">
      <c r="A117" t="str">
        <f t="shared" si="2"/>
        <v>TLCC</v>
      </c>
      <c r="C117" s="55" t="s">
        <v>411</v>
      </c>
      <c r="D117" t="s">
        <v>76</v>
      </c>
      <c r="E117" t="s">
        <v>26</v>
      </c>
      <c r="F117" t="s">
        <v>158</v>
      </c>
      <c r="G117" t="s">
        <v>31</v>
      </c>
      <c r="H117" t="s">
        <v>41</v>
      </c>
    </row>
    <row r="118" spans="1:12" x14ac:dyDescent="0.25">
      <c r="A118" t="str">
        <f t="shared" si="2"/>
        <v>TLCC</v>
      </c>
      <c r="C118" s="55" t="s">
        <v>411</v>
      </c>
      <c r="D118" t="s">
        <v>76</v>
      </c>
      <c r="E118" t="s">
        <v>26</v>
      </c>
      <c r="F118" t="s">
        <v>158</v>
      </c>
      <c r="G118" t="s">
        <v>33</v>
      </c>
      <c r="H118" t="s">
        <v>41</v>
      </c>
    </row>
    <row r="119" spans="1:12" x14ac:dyDescent="0.25">
      <c r="A119" t="str">
        <f t="shared" si="2"/>
        <v>TLCC</v>
      </c>
      <c r="C119" s="55" t="s">
        <v>411</v>
      </c>
      <c r="D119" t="s">
        <v>76</v>
      </c>
      <c r="E119" t="s">
        <v>26</v>
      </c>
      <c r="F119" t="s">
        <v>158</v>
      </c>
      <c r="G119" t="s">
        <v>34</v>
      </c>
      <c r="H119" t="s">
        <v>41</v>
      </c>
    </row>
    <row r="120" spans="1:12" x14ac:dyDescent="0.25">
      <c r="A120" t="str">
        <f t="shared" si="2"/>
        <v>TLCC</v>
      </c>
      <c r="C120" s="55" t="s">
        <v>411</v>
      </c>
      <c r="D120" t="s">
        <v>76</v>
      </c>
      <c r="E120" t="s">
        <v>26</v>
      </c>
      <c r="F120" t="s">
        <v>158</v>
      </c>
      <c r="G120" t="s">
        <v>35</v>
      </c>
      <c r="H120" t="s">
        <v>41</v>
      </c>
    </row>
    <row r="121" spans="1:12" x14ac:dyDescent="0.25">
      <c r="A121" t="str">
        <f t="shared" si="2"/>
        <v>TLCC</v>
      </c>
      <c r="C121" s="55" t="s">
        <v>411</v>
      </c>
      <c r="D121" t="s">
        <v>76</v>
      </c>
      <c r="E121" t="s">
        <v>26</v>
      </c>
      <c r="F121" t="s">
        <v>158</v>
      </c>
      <c r="G121" t="s">
        <v>36</v>
      </c>
      <c r="H121" t="s">
        <v>41</v>
      </c>
    </row>
    <row r="122" spans="1:12" x14ac:dyDescent="0.25">
      <c r="A122" t="str">
        <f t="shared" si="2"/>
        <v>TLCC</v>
      </c>
      <c r="C122" s="55" t="s">
        <v>411</v>
      </c>
      <c r="D122" t="s">
        <v>76</v>
      </c>
      <c r="E122" t="s">
        <v>26</v>
      </c>
      <c r="F122" t="s">
        <v>158</v>
      </c>
      <c r="G122" t="s">
        <v>37</v>
      </c>
      <c r="H122" t="s">
        <v>41</v>
      </c>
    </row>
    <row r="123" spans="1:12" x14ac:dyDescent="0.25">
      <c r="A123" t="str">
        <f t="shared" si="2"/>
        <v>TLCC</v>
      </c>
      <c r="C123" s="55" t="s">
        <v>411</v>
      </c>
      <c r="D123" t="s">
        <v>76</v>
      </c>
      <c r="E123" t="s">
        <v>26</v>
      </c>
      <c r="F123" t="s">
        <v>158</v>
      </c>
      <c r="G123" t="s">
        <v>38</v>
      </c>
      <c r="H123" t="s">
        <v>41</v>
      </c>
    </row>
    <row r="124" spans="1:12" x14ac:dyDescent="0.25">
      <c r="A124" t="str">
        <f t="shared" si="2"/>
        <v>TLCD</v>
      </c>
      <c r="C124" s="55" t="s">
        <v>411</v>
      </c>
      <c r="D124" t="s">
        <v>76</v>
      </c>
      <c r="E124" t="s">
        <v>26</v>
      </c>
      <c r="F124" t="s">
        <v>415</v>
      </c>
      <c r="G124" t="s">
        <v>30</v>
      </c>
      <c r="H124" t="s">
        <v>41</v>
      </c>
    </row>
    <row r="125" spans="1:12" x14ac:dyDescent="0.25">
      <c r="A125" t="str">
        <f t="shared" si="2"/>
        <v>TLCD</v>
      </c>
      <c r="C125" s="55" t="s">
        <v>411</v>
      </c>
      <c r="D125" t="s">
        <v>76</v>
      </c>
      <c r="E125" t="s">
        <v>26</v>
      </c>
      <c r="F125" t="s">
        <v>415</v>
      </c>
      <c r="G125" t="s">
        <v>31</v>
      </c>
      <c r="H125" t="s">
        <v>41</v>
      </c>
    </row>
    <row r="126" spans="1:12" x14ac:dyDescent="0.25">
      <c r="A126" t="str">
        <f t="shared" si="2"/>
        <v>TLCD</v>
      </c>
      <c r="C126" s="55" t="s">
        <v>411</v>
      </c>
      <c r="D126" t="s">
        <v>76</v>
      </c>
      <c r="E126" t="s">
        <v>26</v>
      </c>
      <c r="F126" t="s">
        <v>415</v>
      </c>
      <c r="G126" t="s">
        <v>32</v>
      </c>
      <c r="H126" t="s">
        <v>41</v>
      </c>
    </row>
    <row r="127" spans="1:12" x14ac:dyDescent="0.25">
      <c r="A127" t="str">
        <f t="shared" si="2"/>
        <v>TLCD</v>
      </c>
      <c r="C127" s="55" t="s">
        <v>411</v>
      </c>
      <c r="D127" t="s">
        <v>76</v>
      </c>
      <c r="E127" t="s">
        <v>26</v>
      </c>
      <c r="F127" t="s">
        <v>415</v>
      </c>
      <c r="G127" t="s">
        <v>33</v>
      </c>
      <c r="H127" t="s">
        <v>41</v>
      </c>
    </row>
    <row r="128" spans="1:12" x14ac:dyDescent="0.25">
      <c r="A128" t="str">
        <f t="shared" si="2"/>
        <v>TLCD</v>
      </c>
      <c r="C128" s="55" t="s">
        <v>411</v>
      </c>
      <c r="D128" t="s">
        <v>76</v>
      </c>
      <c r="E128" t="s">
        <v>26</v>
      </c>
      <c r="F128" t="s">
        <v>415</v>
      </c>
      <c r="G128" t="s">
        <v>34</v>
      </c>
      <c r="H128" t="s">
        <v>41</v>
      </c>
    </row>
    <row r="129" spans="1:12" x14ac:dyDescent="0.25">
      <c r="A129" t="str">
        <f t="shared" si="2"/>
        <v>TLCD</v>
      </c>
      <c r="C129" s="55" t="s">
        <v>411</v>
      </c>
      <c r="D129" t="s">
        <v>76</v>
      </c>
      <c r="E129" t="s">
        <v>26</v>
      </c>
      <c r="F129" t="s">
        <v>415</v>
      </c>
      <c r="G129" t="s">
        <v>35</v>
      </c>
      <c r="H129" t="s">
        <v>41</v>
      </c>
    </row>
    <row r="130" spans="1:12" x14ac:dyDescent="0.25">
      <c r="A130" t="str">
        <f t="shared" si="2"/>
        <v>TLCD</v>
      </c>
      <c r="C130" s="55" t="s">
        <v>411</v>
      </c>
      <c r="D130" t="s">
        <v>76</v>
      </c>
      <c r="E130" t="s">
        <v>26</v>
      </c>
      <c r="F130" t="s">
        <v>415</v>
      </c>
      <c r="G130" t="s">
        <v>36</v>
      </c>
      <c r="H130" t="s">
        <v>41</v>
      </c>
    </row>
    <row r="131" spans="1:12" x14ac:dyDescent="0.25">
      <c r="A131" t="str">
        <f t="shared" si="2"/>
        <v>TLCD</v>
      </c>
      <c r="C131" s="55" t="s">
        <v>411</v>
      </c>
      <c r="D131" t="s">
        <v>76</v>
      </c>
      <c r="E131" t="s">
        <v>26</v>
      </c>
      <c r="F131" t="s">
        <v>415</v>
      </c>
      <c r="G131" t="s">
        <v>37</v>
      </c>
      <c r="H131" t="s">
        <v>41</v>
      </c>
    </row>
    <row r="132" spans="1:12" x14ac:dyDescent="0.25">
      <c r="A132" t="str">
        <f t="shared" si="2"/>
        <v>TLCD</v>
      </c>
      <c r="C132" s="55" t="s">
        <v>411</v>
      </c>
      <c r="D132" t="s">
        <v>76</v>
      </c>
      <c r="E132" t="s">
        <v>26</v>
      </c>
      <c r="F132" t="s">
        <v>415</v>
      </c>
      <c r="G132" t="s">
        <v>38</v>
      </c>
      <c r="H132" t="s">
        <v>41</v>
      </c>
    </row>
    <row r="133" spans="1:12" x14ac:dyDescent="0.25">
      <c r="A133" t="str">
        <f t="shared" si="2"/>
        <v>TLEC</v>
      </c>
      <c r="C133" s="55" t="s">
        <v>411</v>
      </c>
      <c r="D133" t="s">
        <v>76</v>
      </c>
      <c r="E133" t="s">
        <v>26</v>
      </c>
      <c r="F133" t="s">
        <v>159</v>
      </c>
      <c r="G133" t="s">
        <v>30</v>
      </c>
      <c r="H133" t="s">
        <v>41</v>
      </c>
      <c r="I133">
        <v>0.237974791626171</v>
      </c>
      <c r="J133">
        <v>0.23699386494775701</v>
      </c>
      <c r="K133">
        <v>0.161221734430541</v>
      </c>
      <c r="L133">
        <v>0.107002937178147</v>
      </c>
    </row>
    <row r="134" spans="1:12" x14ac:dyDescent="0.25">
      <c r="A134" t="str">
        <f t="shared" si="2"/>
        <v>TLEC</v>
      </c>
      <c r="C134" s="55" t="s">
        <v>411</v>
      </c>
      <c r="D134" t="s">
        <v>76</v>
      </c>
      <c r="E134" t="s">
        <v>26</v>
      </c>
      <c r="F134" t="s">
        <v>159</v>
      </c>
      <c r="G134" t="s">
        <v>31</v>
      </c>
      <c r="H134" t="s">
        <v>41</v>
      </c>
      <c r="I134">
        <v>0.67915427963502695</v>
      </c>
      <c r="J134">
        <v>0.67656964311624701</v>
      </c>
      <c r="K134">
        <v>0.48248422198924901</v>
      </c>
      <c r="L134">
        <v>0.30767049331988799</v>
      </c>
    </row>
    <row r="135" spans="1:12" x14ac:dyDescent="0.25">
      <c r="A135" t="str">
        <f t="shared" si="2"/>
        <v>TLEC</v>
      </c>
      <c r="C135" s="55" t="s">
        <v>411</v>
      </c>
      <c r="D135" t="s">
        <v>76</v>
      </c>
      <c r="E135" t="s">
        <v>26</v>
      </c>
      <c r="F135" t="s">
        <v>159</v>
      </c>
      <c r="G135" t="s">
        <v>32</v>
      </c>
      <c r="H135" t="s">
        <v>41</v>
      </c>
      <c r="J135">
        <v>0.53071734771661405</v>
      </c>
      <c r="K135">
        <v>0.54279743016320403</v>
      </c>
      <c r="L135">
        <v>0.359679797148731</v>
      </c>
    </row>
    <row r="136" spans="1:12" x14ac:dyDescent="0.25">
      <c r="A136" t="str">
        <f t="shared" si="2"/>
        <v>TLEC</v>
      </c>
      <c r="C136" s="55" t="s">
        <v>411</v>
      </c>
      <c r="D136" t="s">
        <v>76</v>
      </c>
      <c r="E136" t="s">
        <v>26</v>
      </c>
      <c r="F136" t="s">
        <v>159</v>
      </c>
      <c r="G136" t="s">
        <v>33</v>
      </c>
      <c r="H136" t="s">
        <v>41</v>
      </c>
      <c r="I136">
        <v>0.32800409142676401</v>
      </c>
      <c r="J136">
        <v>0.32658130845491401</v>
      </c>
      <c r="K136">
        <v>0.22087598196811001</v>
      </c>
      <c r="L136">
        <v>0.13542610389512599</v>
      </c>
    </row>
    <row r="137" spans="1:12" x14ac:dyDescent="0.25">
      <c r="A137" t="str">
        <f t="shared" ref="A137:A200" si="3">LEFT(F137,4)</f>
        <v>TLEC</v>
      </c>
      <c r="C137" s="55" t="s">
        <v>411</v>
      </c>
      <c r="D137" t="s">
        <v>76</v>
      </c>
      <c r="E137" t="s">
        <v>26</v>
      </c>
      <c r="F137" t="s">
        <v>159</v>
      </c>
      <c r="G137" t="s">
        <v>34</v>
      </c>
      <c r="H137" t="s">
        <v>41</v>
      </c>
      <c r="I137">
        <v>0.97168705889606499</v>
      </c>
      <c r="J137">
        <v>0.96820089426273304</v>
      </c>
      <c r="K137">
        <v>0.70402379580819796</v>
      </c>
      <c r="L137">
        <v>0.471306420211483</v>
      </c>
    </row>
    <row r="138" spans="1:12" x14ac:dyDescent="0.25">
      <c r="A138" t="str">
        <f t="shared" si="3"/>
        <v>TLEC</v>
      </c>
      <c r="C138" s="55" t="s">
        <v>411</v>
      </c>
      <c r="D138" t="s">
        <v>76</v>
      </c>
      <c r="E138" t="s">
        <v>26</v>
      </c>
      <c r="F138" t="s">
        <v>159</v>
      </c>
      <c r="G138" t="s">
        <v>35</v>
      </c>
      <c r="H138" t="s">
        <v>41</v>
      </c>
      <c r="I138">
        <v>0.28234754808853901</v>
      </c>
      <c r="J138">
        <v>0.281025724759771</v>
      </c>
      <c r="K138">
        <v>0.18921920378146101</v>
      </c>
      <c r="L138">
        <v>0.118361085128386</v>
      </c>
    </row>
    <row r="139" spans="1:12" x14ac:dyDescent="0.25">
      <c r="A139" t="str">
        <f t="shared" si="3"/>
        <v>TLEC</v>
      </c>
      <c r="C139" s="55" t="s">
        <v>411</v>
      </c>
      <c r="D139" t="s">
        <v>76</v>
      </c>
      <c r="E139" t="s">
        <v>26</v>
      </c>
      <c r="F139" t="s">
        <v>159</v>
      </c>
      <c r="G139" t="s">
        <v>36</v>
      </c>
      <c r="H139" t="s">
        <v>41</v>
      </c>
      <c r="I139">
        <v>0.575597848838592</v>
      </c>
      <c r="J139">
        <v>0.57321561022203804</v>
      </c>
      <c r="K139">
        <v>0.39179343527029598</v>
      </c>
      <c r="L139">
        <v>0.24821722355633399</v>
      </c>
    </row>
    <row r="140" spans="1:12" x14ac:dyDescent="0.25">
      <c r="A140" t="str">
        <f t="shared" si="3"/>
        <v>TLEC</v>
      </c>
      <c r="C140" s="55" t="s">
        <v>411</v>
      </c>
      <c r="D140" t="s">
        <v>76</v>
      </c>
      <c r="E140" t="s">
        <v>26</v>
      </c>
      <c r="F140" t="s">
        <v>159</v>
      </c>
      <c r="G140" t="s">
        <v>37</v>
      </c>
      <c r="H140" t="s">
        <v>41</v>
      </c>
      <c r="I140">
        <v>0.37366218968713599</v>
      </c>
      <c r="J140">
        <v>0.372137055315025</v>
      </c>
      <c r="K140">
        <v>0.25556313824504401</v>
      </c>
      <c r="L140">
        <v>0.16889544458371999</v>
      </c>
    </row>
    <row r="141" spans="1:12" x14ac:dyDescent="0.25">
      <c r="A141" t="str">
        <f t="shared" si="3"/>
        <v>TLEC</v>
      </c>
      <c r="C141" s="55" t="s">
        <v>411</v>
      </c>
      <c r="D141" t="s">
        <v>76</v>
      </c>
      <c r="E141" t="s">
        <v>26</v>
      </c>
      <c r="F141" t="s">
        <v>159</v>
      </c>
      <c r="G141" t="s">
        <v>38</v>
      </c>
      <c r="H141" t="s">
        <v>41</v>
      </c>
      <c r="I141">
        <v>0.88534850784086205</v>
      </c>
      <c r="J141">
        <v>0.88213144413514699</v>
      </c>
      <c r="K141">
        <v>0.62319956401831</v>
      </c>
      <c r="L141">
        <v>0.39755190043446498</v>
      </c>
    </row>
    <row r="142" spans="1:12" x14ac:dyDescent="0.25">
      <c r="A142" t="str">
        <f t="shared" si="3"/>
        <v>TLEF</v>
      </c>
      <c r="C142" s="55" t="s">
        <v>411</v>
      </c>
      <c r="D142" t="s">
        <v>76</v>
      </c>
      <c r="E142" t="s">
        <v>26</v>
      </c>
      <c r="F142" t="s">
        <v>63</v>
      </c>
      <c r="G142" t="s">
        <v>30</v>
      </c>
      <c r="H142" t="s">
        <v>41</v>
      </c>
      <c r="I142">
        <v>0.24617666535709901</v>
      </c>
      <c r="J142">
        <v>0.245161930741715</v>
      </c>
      <c r="K142">
        <v>0.16677829064998101</v>
      </c>
      <c r="L142">
        <v>0.11069082602375201</v>
      </c>
    </row>
    <row r="143" spans="1:12" x14ac:dyDescent="0.25">
      <c r="A143" t="str">
        <f t="shared" si="3"/>
        <v>TLEF</v>
      </c>
      <c r="C143" s="55" t="s">
        <v>411</v>
      </c>
      <c r="D143" t="s">
        <v>76</v>
      </c>
      <c r="E143" t="s">
        <v>26</v>
      </c>
      <c r="F143" t="s">
        <v>63</v>
      </c>
      <c r="G143" t="s">
        <v>31</v>
      </c>
      <c r="H143" t="s">
        <v>41</v>
      </c>
      <c r="I143">
        <v>0.70256153889690698</v>
      </c>
      <c r="J143">
        <v>0.69988782209267997</v>
      </c>
      <c r="K143">
        <v>0.49911318776700703</v>
      </c>
      <c r="L143">
        <v>0.31827445065376397</v>
      </c>
    </row>
    <row r="144" spans="1:12" x14ac:dyDescent="0.25">
      <c r="A144" t="str">
        <f t="shared" si="3"/>
        <v>TLEF</v>
      </c>
      <c r="C144" s="55" t="s">
        <v>411</v>
      </c>
      <c r="D144" t="s">
        <v>76</v>
      </c>
      <c r="E144" t="s">
        <v>26</v>
      </c>
      <c r="F144" t="s">
        <v>63</v>
      </c>
      <c r="G144" t="s">
        <v>32</v>
      </c>
      <c r="H144" t="s">
        <v>41</v>
      </c>
      <c r="J144">
        <v>0.237894382970679</v>
      </c>
      <c r="K144">
        <v>0.56150510904485595</v>
      </c>
      <c r="L144">
        <v>0.37207627099211898</v>
      </c>
    </row>
    <row r="145" spans="1:12" x14ac:dyDescent="0.25">
      <c r="A145" t="str">
        <f t="shared" si="3"/>
        <v>TLEF</v>
      </c>
      <c r="C145" s="55" t="s">
        <v>411</v>
      </c>
      <c r="D145" t="s">
        <v>76</v>
      </c>
      <c r="E145" t="s">
        <v>26</v>
      </c>
      <c r="F145" t="s">
        <v>63</v>
      </c>
      <c r="G145" t="s">
        <v>33</v>
      </c>
      <c r="H145" t="s">
        <v>41</v>
      </c>
      <c r="I145">
        <v>0.33930885241731501</v>
      </c>
      <c r="J145">
        <v>0.337837032796658</v>
      </c>
      <c r="K145">
        <v>0.22848854001225299</v>
      </c>
      <c r="L145">
        <v>0.14009360584534999</v>
      </c>
    </row>
    <row r="146" spans="1:12" x14ac:dyDescent="0.25">
      <c r="A146" t="str">
        <f t="shared" si="3"/>
        <v>TLEF</v>
      </c>
      <c r="C146" s="55" t="s">
        <v>411</v>
      </c>
      <c r="D146" t="s">
        <v>76</v>
      </c>
      <c r="E146" t="s">
        <v>26</v>
      </c>
      <c r="F146" t="s">
        <v>63</v>
      </c>
      <c r="G146" t="s">
        <v>34</v>
      </c>
      <c r="H146" t="s">
        <v>41</v>
      </c>
      <c r="I146">
        <v>1.0051765495626299</v>
      </c>
      <c r="J146">
        <v>1.00157023320258</v>
      </c>
      <c r="K146">
        <v>0.72828819052550897</v>
      </c>
      <c r="L146">
        <v>0.48755013964384403</v>
      </c>
    </row>
    <row r="147" spans="1:12" x14ac:dyDescent="0.25">
      <c r="A147" t="str">
        <f t="shared" si="3"/>
        <v>TLEF</v>
      </c>
      <c r="C147" s="55" t="s">
        <v>411</v>
      </c>
      <c r="D147" t="s">
        <v>76</v>
      </c>
      <c r="E147" t="s">
        <v>26</v>
      </c>
      <c r="F147" t="s">
        <v>63</v>
      </c>
      <c r="G147" t="s">
        <v>35</v>
      </c>
      <c r="H147" t="s">
        <v>41</v>
      </c>
      <c r="I147">
        <v>0.29207874239628401</v>
      </c>
      <c r="J147">
        <v>0.290711362023582</v>
      </c>
      <c r="K147">
        <v>0.19574070131604099</v>
      </c>
      <c r="L147">
        <v>0.122440436005195</v>
      </c>
    </row>
    <row r="148" spans="1:12" x14ac:dyDescent="0.25">
      <c r="A148" t="str">
        <f t="shared" si="3"/>
        <v>TLEF</v>
      </c>
      <c r="C148" s="55" t="s">
        <v>411</v>
      </c>
      <c r="D148" t="s">
        <v>76</v>
      </c>
      <c r="E148" t="s">
        <v>26</v>
      </c>
      <c r="F148" t="s">
        <v>63</v>
      </c>
      <c r="G148" t="s">
        <v>36</v>
      </c>
      <c r="H148" t="s">
        <v>41</v>
      </c>
      <c r="I148">
        <v>0.59543600414784703</v>
      </c>
      <c r="J148">
        <v>0.59297166095123999</v>
      </c>
      <c r="K148">
        <v>0.40529671544016099</v>
      </c>
      <c r="L148">
        <v>0.256772105825749</v>
      </c>
    </row>
    <row r="149" spans="1:12" x14ac:dyDescent="0.25">
      <c r="A149" t="str">
        <f t="shared" si="3"/>
        <v>TLEF</v>
      </c>
      <c r="C149" s="55" t="s">
        <v>411</v>
      </c>
      <c r="D149" t="s">
        <v>76</v>
      </c>
      <c r="E149" t="s">
        <v>26</v>
      </c>
      <c r="F149" t="s">
        <v>63</v>
      </c>
      <c r="G149" t="s">
        <v>37</v>
      </c>
      <c r="H149" t="s">
        <v>41</v>
      </c>
      <c r="I149">
        <v>0.38654057095135902</v>
      </c>
      <c r="J149">
        <v>0.164171889984148</v>
      </c>
      <c r="K149">
        <v>0.26437119970332801</v>
      </c>
      <c r="L149">
        <v>0.17471647756262701</v>
      </c>
    </row>
    <row r="150" spans="1:12" x14ac:dyDescent="0.25">
      <c r="A150" t="str">
        <f t="shared" si="3"/>
        <v>TLEF</v>
      </c>
      <c r="C150" s="55" t="s">
        <v>411</v>
      </c>
      <c r="D150" t="s">
        <v>76</v>
      </c>
      <c r="E150" t="s">
        <v>26</v>
      </c>
      <c r="F150" t="s">
        <v>63</v>
      </c>
      <c r="G150" t="s">
        <v>38</v>
      </c>
      <c r="H150" t="s">
        <v>41</v>
      </c>
      <c r="I150">
        <v>0.91586231402829599</v>
      </c>
      <c r="J150">
        <v>0.91253437324136499</v>
      </c>
      <c r="K150">
        <v>0.64467832695080096</v>
      </c>
      <c r="L150">
        <v>0.41125364786146101</v>
      </c>
    </row>
    <row r="151" spans="1:12" x14ac:dyDescent="0.25">
      <c r="A151" t="str">
        <f t="shared" si="3"/>
        <v>TLEL</v>
      </c>
      <c r="C151" s="55" t="s">
        <v>411</v>
      </c>
      <c r="D151" t="s">
        <v>76</v>
      </c>
      <c r="E151" t="s">
        <v>26</v>
      </c>
      <c r="F151" t="s">
        <v>160</v>
      </c>
      <c r="G151" t="s">
        <v>30</v>
      </c>
      <c r="H151" t="s">
        <v>41</v>
      </c>
      <c r="I151">
        <v>0.102184442276431</v>
      </c>
      <c r="J151">
        <v>2.99879207928671E-2</v>
      </c>
      <c r="K151">
        <v>2.9353730099454502E-2</v>
      </c>
      <c r="L151">
        <v>4.4304265406461103E-2</v>
      </c>
    </row>
    <row r="152" spans="1:12" x14ac:dyDescent="0.25">
      <c r="A152" t="str">
        <f t="shared" si="3"/>
        <v>TLEL</v>
      </c>
      <c r="C152" s="55" t="s">
        <v>411</v>
      </c>
      <c r="D152" t="s">
        <v>76</v>
      </c>
      <c r="E152" t="s">
        <v>26</v>
      </c>
      <c r="F152" t="s">
        <v>160</v>
      </c>
      <c r="G152" t="s">
        <v>31</v>
      </c>
      <c r="H152" t="s">
        <v>41</v>
      </c>
      <c r="I152">
        <v>0.28606340794074298</v>
      </c>
      <c r="J152">
        <v>8.4655946624541303E-2</v>
      </c>
      <c r="K152">
        <v>8.2672603510143203E-2</v>
      </c>
      <c r="L152">
        <v>0.123876264873682</v>
      </c>
    </row>
    <row r="153" spans="1:12" x14ac:dyDescent="0.25">
      <c r="A153" t="str">
        <f t="shared" si="3"/>
        <v>TLEL</v>
      </c>
      <c r="C153" s="55" t="s">
        <v>411</v>
      </c>
      <c r="D153" t="s">
        <v>76</v>
      </c>
      <c r="E153" t="s">
        <v>26</v>
      </c>
      <c r="F153" t="s">
        <v>160</v>
      </c>
      <c r="G153" t="s">
        <v>32</v>
      </c>
      <c r="H153" t="s">
        <v>41</v>
      </c>
      <c r="J153">
        <v>9.3346070269622106E-2</v>
      </c>
      <c r="K153">
        <v>9.0389759372288603E-2</v>
      </c>
      <c r="L153">
        <v>0.13555022929671801</v>
      </c>
    </row>
    <row r="154" spans="1:12" x14ac:dyDescent="0.25">
      <c r="A154" t="str">
        <f t="shared" si="3"/>
        <v>TLEL</v>
      </c>
      <c r="C154" s="55" t="s">
        <v>411</v>
      </c>
      <c r="D154" t="s">
        <v>76</v>
      </c>
      <c r="E154" t="s">
        <v>26</v>
      </c>
      <c r="F154" t="s">
        <v>160</v>
      </c>
      <c r="G154" t="s">
        <v>33</v>
      </c>
      <c r="H154" t="s">
        <v>41</v>
      </c>
      <c r="I154">
        <v>0.15151710833062401</v>
      </c>
      <c r="J154">
        <v>4.2731098516346003E-2</v>
      </c>
      <c r="K154">
        <v>4.2384033879162501E-2</v>
      </c>
      <c r="L154">
        <v>6.2558279579429193E-2</v>
      </c>
    </row>
    <row r="155" spans="1:12" x14ac:dyDescent="0.25">
      <c r="A155" t="str">
        <f t="shared" si="3"/>
        <v>TLEL</v>
      </c>
      <c r="C155" s="55" t="s">
        <v>411</v>
      </c>
      <c r="D155" t="s">
        <v>76</v>
      </c>
      <c r="E155" t="s">
        <v>26</v>
      </c>
      <c r="F155" t="s">
        <v>160</v>
      </c>
      <c r="G155" t="s">
        <v>34</v>
      </c>
      <c r="H155" t="s">
        <v>41</v>
      </c>
      <c r="I155">
        <v>0.38141975209062801</v>
      </c>
      <c r="J155">
        <v>0.12089397785864101</v>
      </c>
      <c r="K155">
        <v>0.12246028425720699</v>
      </c>
      <c r="L155">
        <v>0.18500357322862501</v>
      </c>
    </row>
    <row r="156" spans="1:12" x14ac:dyDescent="0.25">
      <c r="A156" t="str">
        <f t="shared" si="3"/>
        <v>TLEL</v>
      </c>
      <c r="C156" s="55" t="s">
        <v>411</v>
      </c>
      <c r="D156" t="s">
        <v>76</v>
      </c>
      <c r="E156" t="s">
        <v>26</v>
      </c>
      <c r="F156" t="s">
        <v>160</v>
      </c>
      <c r="G156" t="s">
        <v>35</v>
      </c>
      <c r="H156" t="s">
        <v>41</v>
      </c>
      <c r="I156">
        <v>0.12678703512535</v>
      </c>
      <c r="J156">
        <v>3.69703272549535E-2</v>
      </c>
      <c r="K156">
        <v>3.6412272146770598E-2</v>
      </c>
      <c r="L156">
        <v>5.3149571013598101E-2</v>
      </c>
    </row>
    <row r="157" spans="1:12" x14ac:dyDescent="0.25">
      <c r="A157" t="str">
        <f t="shared" si="3"/>
        <v>TLEL</v>
      </c>
      <c r="C157" s="55" t="s">
        <v>411</v>
      </c>
      <c r="D157" t="s">
        <v>76</v>
      </c>
      <c r="E157" t="s">
        <v>26</v>
      </c>
      <c r="F157" t="s">
        <v>160</v>
      </c>
      <c r="G157" t="s">
        <v>36</v>
      </c>
      <c r="H157" t="s">
        <v>41</v>
      </c>
      <c r="I157">
        <v>0.24755230702822201</v>
      </c>
      <c r="J157">
        <v>7.6120659622984699E-2</v>
      </c>
      <c r="K157">
        <v>7.7693102106240905E-2</v>
      </c>
      <c r="L157">
        <v>0.106752911706488</v>
      </c>
    </row>
    <row r="158" spans="1:12" x14ac:dyDescent="0.25">
      <c r="A158" t="str">
        <f t="shared" si="3"/>
        <v>TLEL</v>
      </c>
      <c r="C158" s="55" t="s">
        <v>411</v>
      </c>
      <c r="D158" t="s">
        <v>76</v>
      </c>
      <c r="E158" t="s">
        <v>26</v>
      </c>
      <c r="F158" t="s">
        <v>160</v>
      </c>
      <c r="G158" t="s">
        <v>37</v>
      </c>
      <c r="H158" t="s">
        <v>41</v>
      </c>
      <c r="I158">
        <v>0.15757176077472099</v>
      </c>
      <c r="J158">
        <v>4.62869432126784E-2</v>
      </c>
      <c r="K158">
        <v>4.6147707439441597E-2</v>
      </c>
      <c r="L158">
        <v>7.1222492733795106E-2</v>
      </c>
    </row>
    <row r="159" spans="1:12" x14ac:dyDescent="0.25">
      <c r="A159" t="str">
        <f t="shared" si="3"/>
        <v>TLEL</v>
      </c>
      <c r="C159" s="55" t="s">
        <v>411</v>
      </c>
      <c r="D159" t="s">
        <v>76</v>
      </c>
      <c r="E159" t="s">
        <v>26</v>
      </c>
      <c r="F159" t="s">
        <v>160</v>
      </c>
      <c r="G159" t="s">
        <v>38</v>
      </c>
      <c r="H159" t="s">
        <v>41</v>
      </c>
      <c r="I159">
        <v>0.38878631117691598</v>
      </c>
      <c r="J159">
        <v>0.100611788363293</v>
      </c>
      <c r="K159">
        <v>0.101107994824592</v>
      </c>
      <c r="L159">
        <v>0.15760401186040701</v>
      </c>
    </row>
    <row r="160" spans="1:12" x14ac:dyDescent="0.25">
      <c r="A160" t="str">
        <f t="shared" si="3"/>
        <v>TLEP</v>
      </c>
      <c r="C160" s="55" t="s">
        <v>411</v>
      </c>
      <c r="D160" t="s">
        <v>76</v>
      </c>
      <c r="E160" t="s">
        <v>26</v>
      </c>
      <c r="F160" t="s">
        <v>64</v>
      </c>
      <c r="G160" t="s">
        <v>30</v>
      </c>
      <c r="H160" t="s">
        <v>41</v>
      </c>
      <c r="I160">
        <v>0.53884627182815903</v>
      </c>
      <c r="J160">
        <v>0.53662515975158898</v>
      </c>
      <c r="K160">
        <v>0.15479017819124</v>
      </c>
      <c r="L160">
        <v>0.242286728687132</v>
      </c>
    </row>
    <row r="161" spans="1:12" x14ac:dyDescent="0.25">
      <c r="A161" t="str">
        <f t="shared" si="3"/>
        <v>TLEP</v>
      </c>
      <c r="C161" s="55" t="s">
        <v>411</v>
      </c>
      <c r="D161" t="s">
        <v>76</v>
      </c>
      <c r="E161" t="s">
        <v>26</v>
      </c>
      <c r="F161" t="s">
        <v>64</v>
      </c>
      <c r="G161" t="s">
        <v>31</v>
      </c>
      <c r="H161" t="s">
        <v>41</v>
      </c>
      <c r="I161">
        <v>1.50848991726485</v>
      </c>
      <c r="J161">
        <v>1.5027491036599201</v>
      </c>
      <c r="K161">
        <v>0.43595505530339901</v>
      </c>
      <c r="L161">
        <v>0.68337615020605602</v>
      </c>
    </row>
    <row r="162" spans="1:12" x14ac:dyDescent="0.25">
      <c r="A162" t="str">
        <f t="shared" si="3"/>
        <v>TLEP</v>
      </c>
      <c r="C162" s="55" t="s">
        <v>411</v>
      </c>
      <c r="D162" t="s">
        <v>76</v>
      </c>
      <c r="E162" t="s">
        <v>26</v>
      </c>
      <c r="F162" t="s">
        <v>64</v>
      </c>
      <c r="G162" t="s">
        <v>32</v>
      </c>
      <c r="H162" t="s">
        <v>41</v>
      </c>
      <c r="I162">
        <v>1.72842880495425</v>
      </c>
      <c r="J162">
        <v>1.7215856847520701</v>
      </c>
      <c r="K162">
        <v>0.476649710700985</v>
      </c>
      <c r="L162">
        <v>0.800363063757769</v>
      </c>
    </row>
    <row r="163" spans="1:12" x14ac:dyDescent="0.25">
      <c r="A163" t="str">
        <f t="shared" si="3"/>
        <v>TLEP</v>
      </c>
      <c r="C163" s="55" t="s">
        <v>411</v>
      </c>
      <c r="D163" t="s">
        <v>76</v>
      </c>
      <c r="E163" t="s">
        <v>26</v>
      </c>
      <c r="F163" t="s">
        <v>64</v>
      </c>
      <c r="G163" t="s">
        <v>33</v>
      </c>
      <c r="H163" t="s">
        <v>41</v>
      </c>
      <c r="I163">
        <v>0.79899079667406303</v>
      </c>
      <c r="J163">
        <v>0.795525015210092</v>
      </c>
      <c r="K163">
        <v>0.223502503238626</v>
      </c>
      <c r="L163">
        <v>0.32988677114044701</v>
      </c>
    </row>
    <row r="164" spans="1:12" x14ac:dyDescent="0.25">
      <c r="A164" t="str">
        <f t="shared" si="3"/>
        <v>TLEP</v>
      </c>
      <c r="C164" s="55" t="s">
        <v>411</v>
      </c>
      <c r="D164" t="s">
        <v>76</v>
      </c>
      <c r="E164" t="s">
        <v>26</v>
      </c>
      <c r="F164" t="s">
        <v>64</v>
      </c>
      <c r="G164" t="s">
        <v>34</v>
      </c>
      <c r="H164" t="s">
        <v>41</v>
      </c>
      <c r="I164">
        <v>2.0113297762066602</v>
      </c>
      <c r="J164">
        <v>2.00411363941901</v>
      </c>
      <c r="K164">
        <v>0.64576628446532902</v>
      </c>
      <c r="L164">
        <v>0.97557400606497002</v>
      </c>
    </row>
    <row r="165" spans="1:12" x14ac:dyDescent="0.25">
      <c r="A165" t="str">
        <f t="shared" si="3"/>
        <v>TLEP</v>
      </c>
      <c r="C165" s="55" t="s">
        <v>411</v>
      </c>
      <c r="D165" t="s">
        <v>76</v>
      </c>
      <c r="E165" t="s">
        <v>26</v>
      </c>
      <c r="F165" t="s">
        <v>64</v>
      </c>
      <c r="G165" t="s">
        <v>35</v>
      </c>
      <c r="H165" t="s">
        <v>41</v>
      </c>
      <c r="I165">
        <v>0.66858241500818505</v>
      </c>
      <c r="J165">
        <v>0.66545241498039898</v>
      </c>
      <c r="K165">
        <v>0.192011784357562</v>
      </c>
      <c r="L165">
        <v>0.28027209966530497</v>
      </c>
    </row>
    <row r="166" spans="1:12" x14ac:dyDescent="0.25">
      <c r="A166" t="str">
        <f t="shared" si="3"/>
        <v>TLEP</v>
      </c>
      <c r="C166" s="55" t="s">
        <v>411</v>
      </c>
      <c r="D166" t="s">
        <v>76</v>
      </c>
      <c r="E166" t="s">
        <v>26</v>
      </c>
      <c r="F166" t="s">
        <v>64</v>
      </c>
      <c r="G166" t="s">
        <v>36</v>
      </c>
      <c r="H166" t="s">
        <v>41</v>
      </c>
      <c r="I166">
        <v>1.3054104397199899</v>
      </c>
      <c r="J166">
        <v>1.30000771077264</v>
      </c>
      <c r="K166">
        <v>0.40969679418966498</v>
      </c>
      <c r="L166">
        <v>0.56293704989090698</v>
      </c>
    </row>
    <row r="167" spans="1:12" x14ac:dyDescent="0.25">
      <c r="A167" t="str">
        <f t="shared" si="3"/>
        <v>TLEP</v>
      </c>
      <c r="C167" s="55" t="s">
        <v>411</v>
      </c>
      <c r="D167" t="s">
        <v>76</v>
      </c>
      <c r="E167" t="s">
        <v>26</v>
      </c>
      <c r="F167" t="s">
        <v>64</v>
      </c>
      <c r="G167" t="s">
        <v>37</v>
      </c>
      <c r="H167" t="s">
        <v>41</v>
      </c>
      <c r="I167">
        <v>0.83091862075408296</v>
      </c>
      <c r="J167">
        <v>0.82752715492233597</v>
      </c>
      <c r="K167">
        <v>0.24334937445653901</v>
      </c>
      <c r="L167">
        <v>0.37557551643813902</v>
      </c>
    </row>
    <row r="168" spans="1:12" x14ac:dyDescent="0.25">
      <c r="A168" t="str">
        <f t="shared" si="3"/>
        <v>TLEP</v>
      </c>
      <c r="C168" s="55" t="s">
        <v>411</v>
      </c>
      <c r="D168" t="s">
        <v>76</v>
      </c>
      <c r="E168" t="s">
        <v>26</v>
      </c>
      <c r="F168" t="s">
        <v>64</v>
      </c>
      <c r="G168" t="s">
        <v>38</v>
      </c>
      <c r="H168" t="s">
        <v>41</v>
      </c>
      <c r="I168">
        <v>2.0501756397394901</v>
      </c>
      <c r="J168">
        <v>2.0427259794277202</v>
      </c>
      <c r="K168">
        <v>0.53316987253174797</v>
      </c>
      <c r="L168">
        <v>0.920599305905624</v>
      </c>
    </row>
    <row r="169" spans="1:12" x14ac:dyDescent="0.25">
      <c r="A169" t="str">
        <f t="shared" si="3"/>
        <v>TLES</v>
      </c>
      <c r="C169" s="55" t="s">
        <v>411</v>
      </c>
      <c r="D169" t="s">
        <v>76</v>
      </c>
      <c r="E169" t="s">
        <v>26</v>
      </c>
      <c r="F169" t="s">
        <v>161</v>
      </c>
      <c r="G169" t="s">
        <v>30</v>
      </c>
      <c r="H169" t="s">
        <v>41</v>
      </c>
      <c r="I169">
        <v>0.412667939962508</v>
      </c>
      <c r="J169">
        <v>0.41096693209999802</v>
      </c>
      <c r="K169">
        <v>0.11854391001702801</v>
      </c>
      <c r="L169">
        <v>0.11176187050155401</v>
      </c>
    </row>
    <row r="170" spans="1:12" x14ac:dyDescent="0.25">
      <c r="A170" t="str">
        <f t="shared" si="3"/>
        <v>TLES</v>
      </c>
      <c r="C170" s="55" t="s">
        <v>411</v>
      </c>
      <c r="D170" t="s">
        <v>76</v>
      </c>
      <c r="E170" t="s">
        <v>26</v>
      </c>
      <c r="F170" t="s">
        <v>161</v>
      </c>
      <c r="G170" t="s">
        <v>31</v>
      </c>
      <c r="H170" t="s">
        <v>41</v>
      </c>
      <c r="I170">
        <v>1.15525607052992</v>
      </c>
      <c r="J170">
        <v>1.15085954809317</v>
      </c>
      <c r="K170">
        <v>0.33387012956019402</v>
      </c>
      <c r="L170">
        <v>0.31249007168979098</v>
      </c>
    </row>
    <row r="171" spans="1:12" x14ac:dyDescent="0.25">
      <c r="A171" t="str">
        <f t="shared" si="3"/>
        <v>TLES</v>
      </c>
      <c r="C171" s="55" t="s">
        <v>411</v>
      </c>
      <c r="D171" t="s">
        <v>76</v>
      </c>
      <c r="E171" t="s">
        <v>26</v>
      </c>
      <c r="F171" t="s">
        <v>161</v>
      </c>
      <c r="G171" t="s">
        <v>32</v>
      </c>
      <c r="H171" t="s">
        <v>41</v>
      </c>
      <c r="J171">
        <v>0.37931468450911598</v>
      </c>
      <c r="K171">
        <v>0.36503556669578002</v>
      </c>
      <c r="L171">
        <v>0.34193879605340299</v>
      </c>
    </row>
    <row r="172" spans="1:12" x14ac:dyDescent="0.25">
      <c r="A172" t="str">
        <f t="shared" si="3"/>
        <v>TLES</v>
      </c>
      <c r="C172" s="55" t="s">
        <v>411</v>
      </c>
      <c r="D172" t="s">
        <v>76</v>
      </c>
      <c r="E172" t="s">
        <v>26</v>
      </c>
      <c r="F172" t="s">
        <v>161</v>
      </c>
      <c r="G172" t="s">
        <v>33</v>
      </c>
      <c r="H172" t="s">
        <v>41</v>
      </c>
      <c r="I172">
        <v>0.61189601441213604</v>
      </c>
      <c r="J172">
        <v>0.60924179377097898</v>
      </c>
      <c r="K172">
        <v>0.17116629066584799</v>
      </c>
      <c r="L172">
        <v>0.163254047119371</v>
      </c>
    </row>
    <row r="173" spans="1:12" x14ac:dyDescent="0.25">
      <c r="A173" t="str">
        <f t="shared" si="3"/>
        <v>TLES</v>
      </c>
      <c r="C173" s="55" t="s">
        <v>411</v>
      </c>
      <c r="D173" t="s">
        <v>76</v>
      </c>
      <c r="E173" t="s">
        <v>26</v>
      </c>
      <c r="F173" t="s">
        <v>161</v>
      </c>
      <c r="G173" t="s">
        <v>34</v>
      </c>
      <c r="H173" t="s">
        <v>41</v>
      </c>
      <c r="I173">
        <v>1.5403489988275401</v>
      </c>
      <c r="J173">
        <v>1.5348226206036699</v>
      </c>
      <c r="K173">
        <v>0.494551147961795</v>
      </c>
      <c r="L173">
        <v>0.48526642585366703</v>
      </c>
    </row>
    <row r="174" spans="1:12" x14ac:dyDescent="0.25">
      <c r="A174" t="str">
        <f t="shared" si="3"/>
        <v>TLES</v>
      </c>
      <c r="C174" s="55" t="s">
        <v>411</v>
      </c>
      <c r="D174" t="s">
        <v>76</v>
      </c>
      <c r="E174" t="s">
        <v>26</v>
      </c>
      <c r="F174" t="s">
        <v>161</v>
      </c>
      <c r="G174" t="s">
        <v>35</v>
      </c>
      <c r="H174" t="s">
        <v>41</v>
      </c>
      <c r="I174">
        <v>0.51202456492929604</v>
      </c>
      <c r="J174">
        <v>0.50962749784156003</v>
      </c>
      <c r="K174">
        <v>0.147049560592727</v>
      </c>
      <c r="L174">
        <v>0.13994806372503299</v>
      </c>
    </row>
    <row r="175" spans="1:12" x14ac:dyDescent="0.25">
      <c r="A175" t="str">
        <f t="shared" si="3"/>
        <v>TLES</v>
      </c>
      <c r="C175" s="55" t="s">
        <v>411</v>
      </c>
      <c r="D175" t="s">
        <v>76</v>
      </c>
      <c r="E175" t="s">
        <v>26</v>
      </c>
      <c r="F175" t="s">
        <v>161</v>
      </c>
      <c r="G175" t="s">
        <v>36</v>
      </c>
      <c r="H175" t="s">
        <v>41</v>
      </c>
      <c r="I175">
        <v>0.99973047069089704</v>
      </c>
      <c r="J175">
        <v>0.44210895039607401</v>
      </c>
      <c r="K175">
        <v>0.31376060465981898</v>
      </c>
      <c r="L175">
        <v>0.31081280149129897</v>
      </c>
    </row>
    <row r="176" spans="1:12" x14ac:dyDescent="0.25">
      <c r="A176" t="str">
        <f t="shared" si="3"/>
        <v>TLES</v>
      </c>
      <c r="C176" s="55" t="s">
        <v>411</v>
      </c>
      <c r="D176" t="s">
        <v>76</v>
      </c>
      <c r="E176" t="s">
        <v>26</v>
      </c>
      <c r="F176" t="s">
        <v>161</v>
      </c>
      <c r="G176" t="s">
        <v>37</v>
      </c>
      <c r="H176" t="s">
        <v>41</v>
      </c>
      <c r="I176">
        <v>0.63634749543637303</v>
      </c>
      <c r="J176">
        <v>0.18810095704028901</v>
      </c>
      <c r="K176">
        <v>0.18636574158235999</v>
      </c>
      <c r="L176">
        <v>0.185673819415</v>
      </c>
    </row>
    <row r="177" spans="1:12" x14ac:dyDescent="0.25">
      <c r="A177" t="str">
        <f t="shared" si="3"/>
        <v>TLES</v>
      </c>
      <c r="C177" s="55" t="s">
        <v>411</v>
      </c>
      <c r="D177" t="s">
        <v>76</v>
      </c>
      <c r="E177" t="s">
        <v>26</v>
      </c>
      <c r="F177" t="s">
        <v>161</v>
      </c>
      <c r="G177" t="s">
        <v>38</v>
      </c>
      <c r="H177" t="s">
        <v>41</v>
      </c>
      <c r="I177">
        <v>1.5700985643683201</v>
      </c>
      <c r="J177">
        <v>1.12231419162994</v>
      </c>
      <c r="K177">
        <v>0.40832074833008197</v>
      </c>
      <c r="L177">
        <v>0.39757163339625501</v>
      </c>
    </row>
    <row r="178" spans="1:12" x14ac:dyDescent="0.25">
      <c r="A178" t="str">
        <f t="shared" si="3"/>
        <v>TLET</v>
      </c>
      <c r="C178" s="55" t="s">
        <v>411</v>
      </c>
      <c r="D178" t="s">
        <v>76</v>
      </c>
      <c r="E178" t="s">
        <v>26</v>
      </c>
      <c r="F178" t="s">
        <v>162</v>
      </c>
      <c r="G178" t="s">
        <v>30</v>
      </c>
      <c r="H178" t="s">
        <v>41</v>
      </c>
      <c r="I178">
        <v>1.03166984990627</v>
      </c>
      <c r="J178">
        <v>0.30276266185106299</v>
      </c>
      <c r="K178">
        <v>0.69892950183927405</v>
      </c>
      <c r="L178">
        <v>0.46387982266424399</v>
      </c>
    </row>
    <row r="179" spans="1:12" x14ac:dyDescent="0.25">
      <c r="A179" t="str">
        <f t="shared" si="3"/>
        <v>TLET</v>
      </c>
      <c r="C179" s="55" t="s">
        <v>411</v>
      </c>
      <c r="D179" t="s">
        <v>76</v>
      </c>
      <c r="E179" t="s">
        <v>26</v>
      </c>
      <c r="F179" t="s">
        <v>162</v>
      </c>
      <c r="G179" t="s">
        <v>31</v>
      </c>
      <c r="H179" t="s">
        <v>41</v>
      </c>
      <c r="I179">
        <v>2.8881401763248098</v>
      </c>
      <c r="J179">
        <v>0.85469946111315798</v>
      </c>
      <c r="K179">
        <v>2.0517901568975101</v>
      </c>
      <c r="L179">
        <v>1.30838535436214</v>
      </c>
    </row>
    <row r="180" spans="1:12" x14ac:dyDescent="0.25">
      <c r="A180" t="str">
        <f t="shared" si="3"/>
        <v>TLET</v>
      </c>
      <c r="C180" s="55" t="s">
        <v>411</v>
      </c>
      <c r="D180" t="s">
        <v>76</v>
      </c>
      <c r="E180" t="s">
        <v>26</v>
      </c>
      <c r="F180" t="s">
        <v>162</v>
      </c>
      <c r="G180" t="s">
        <v>32</v>
      </c>
      <c r="H180" t="s">
        <v>41</v>
      </c>
      <c r="J180">
        <v>0.94243628637599297</v>
      </c>
      <c r="K180">
        <v>2.3125153943558101</v>
      </c>
      <c r="L180">
        <v>1.5323673652897101</v>
      </c>
    </row>
    <row r="181" spans="1:12" x14ac:dyDescent="0.25">
      <c r="A181" t="str">
        <f t="shared" si="3"/>
        <v>TLET</v>
      </c>
      <c r="C181" s="55" t="s">
        <v>411</v>
      </c>
      <c r="D181" t="s">
        <v>76</v>
      </c>
      <c r="E181" t="s">
        <v>26</v>
      </c>
      <c r="F181" t="s">
        <v>162</v>
      </c>
      <c r="G181" t="s">
        <v>33</v>
      </c>
      <c r="H181" t="s">
        <v>41</v>
      </c>
      <c r="I181">
        <v>1.5297400360303399</v>
      </c>
      <c r="J181">
        <v>0.43141974463618599</v>
      </c>
      <c r="K181">
        <v>1.03011773769162</v>
      </c>
      <c r="L181">
        <v>0.63159801498462098</v>
      </c>
    </row>
    <row r="182" spans="1:12" x14ac:dyDescent="0.25">
      <c r="A182" t="str">
        <f t="shared" si="3"/>
        <v>TLET</v>
      </c>
      <c r="C182" s="55" t="s">
        <v>411</v>
      </c>
      <c r="D182" t="s">
        <v>76</v>
      </c>
      <c r="E182" t="s">
        <v>26</v>
      </c>
      <c r="F182" t="s">
        <v>162</v>
      </c>
      <c r="G182" t="s">
        <v>34</v>
      </c>
      <c r="H182" t="s">
        <v>41</v>
      </c>
      <c r="I182">
        <v>3.8508724970688402</v>
      </c>
      <c r="J182">
        <v>1.2205641995343599</v>
      </c>
      <c r="K182">
        <v>2.7901018622599398</v>
      </c>
      <c r="L182">
        <v>1.86782453740438</v>
      </c>
    </row>
    <row r="183" spans="1:12" x14ac:dyDescent="0.25">
      <c r="A183" t="str">
        <f t="shared" si="3"/>
        <v>TLET</v>
      </c>
      <c r="C183" s="55" t="s">
        <v>411</v>
      </c>
      <c r="D183" t="s">
        <v>76</v>
      </c>
      <c r="E183" t="s">
        <v>26</v>
      </c>
      <c r="F183" t="s">
        <v>162</v>
      </c>
      <c r="G183" t="s">
        <v>35</v>
      </c>
      <c r="H183" t="s">
        <v>41</v>
      </c>
      <c r="I183">
        <v>1.2800614123232401</v>
      </c>
      <c r="J183">
        <v>0.37325811170866502</v>
      </c>
      <c r="K183">
        <v>0.85785126476544704</v>
      </c>
      <c r="L183">
        <v>0.53660624581036598</v>
      </c>
    </row>
    <row r="184" spans="1:12" x14ac:dyDescent="0.25">
      <c r="A184" t="str">
        <f t="shared" si="3"/>
        <v>TLET</v>
      </c>
      <c r="C184" s="55" t="s">
        <v>411</v>
      </c>
      <c r="D184" t="s">
        <v>76</v>
      </c>
      <c r="E184" t="s">
        <v>26</v>
      </c>
      <c r="F184" t="s">
        <v>162</v>
      </c>
      <c r="G184" t="s">
        <v>36</v>
      </c>
      <c r="H184" t="s">
        <v>41</v>
      </c>
      <c r="I184">
        <v>2.4993261767272399</v>
      </c>
      <c r="J184">
        <v>0.76852589042436503</v>
      </c>
      <c r="K184">
        <v>1.7012217655377899</v>
      </c>
      <c r="L184">
        <v>1.0777938201135799</v>
      </c>
    </row>
    <row r="185" spans="1:12" x14ac:dyDescent="0.25">
      <c r="A185" t="str">
        <f t="shared" si="3"/>
        <v>TLET</v>
      </c>
      <c r="C185" s="55" t="s">
        <v>411</v>
      </c>
      <c r="D185" t="s">
        <v>76</v>
      </c>
      <c r="E185" t="s">
        <v>26</v>
      </c>
      <c r="F185" t="s">
        <v>162</v>
      </c>
      <c r="G185" t="s">
        <v>37</v>
      </c>
      <c r="H185" t="s">
        <v>41</v>
      </c>
      <c r="I185">
        <v>1.5908687385909299</v>
      </c>
      <c r="J185">
        <v>0.46732009974338801</v>
      </c>
      <c r="K185">
        <v>1.0880614057061799</v>
      </c>
      <c r="L185">
        <v>0.71907324394697003</v>
      </c>
    </row>
    <row r="186" spans="1:12" x14ac:dyDescent="0.25">
      <c r="A186" t="str">
        <f t="shared" si="3"/>
        <v>TLET</v>
      </c>
      <c r="C186" s="55" t="s">
        <v>411</v>
      </c>
      <c r="D186" t="s">
        <v>76</v>
      </c>
      <c r="E186" t="s">
        <v>26</v>
      </c>
      <c r="F186" t="s">
        <v>162</v>
      </c>
      <c r="G186" t="s">
        <v>38</v>
      </c>
      <c r="H186" t="s">
        <v>41</v>
      </c>
      <c r="I186">
        <v>3.9252464109207899</v>
      </c>
      <c r="J186">
        <v>1.0157920940524801</v>
      </c>
      <c r="K186">
        <v>2.7629931380535702</v>
      </c>
      <c r="L186">
        <v>1.76257050925714</v>
      </c>
    </row>
    <row r="187" spans="1:12" x14ac:dyDescent="0.25">
      <c r="A187" t="str">
        <f t="shared" si="3"/>
        <v>TLEV</v>
      </c>
      <c r="C187" s="55" t="s">
        <v>411</v>
      </c>
      <c r="D187" t="s">
        <v>76</v>
      </c>
      <c r="E187" t="s">
        <v>26</v>
      </c>
      <c r="F187" t="s">
        <v>163</v>
      </c>
      <c r="G187" t="s">
        <v>30</v>
      </c>
      <c r="H187" t="s">
        <v>41</v>
      </c>
      <c r="I187">
        <v>0.191001037210842</v>
      </c>
      <c r="J187">
        <v>0.11950148107016401</v>
      </c>
      <c r="K187">
        <v>5.4867382647505999E-2</v>
      </c>
      <c r="L187">
        <v>8.5881667742932793E-2</v>
      </c>
    </row>
    <row r="188" spans="1:12" x14ac:dyDescent="0.25">
      <c r="A188" t="str">
        <f t="shared" si="3"/>
        <v>TLEV</v>
      </c>
      <c r="C188" s="55" t="s">
        <v>411</v>
      </c>
      <c r="D188" t="s">
        <v>76</v>
      </c>
      <c r="E188" t="s">
        <v>26</v>
      </c>
      <c r="F188" t="s">
        <v>163</v>
      </c>
      <c r="G188" t="s">
        <v>31</v>
      </c>
      <c r="H188" t="s">
        <v>41</v>
      </c>
      <c r="I188">
        <v>0.53470378080590297</v>
      </c>
      <c r="J188">
        <v>0.36421887497156602</v>
      </c>
      <c r="K188">
        <v>0.15452991343477901</v>
      </c>
      <c r="L188">
        <v>0.24223152375476301</v>
      </c>
    </row>
    <row r="189" spans="1:12" x14ac:dyDescent="0.25">
      <c r="A189" t="str">
        <f t="shared" si="3"/>
        <v>TLEV</v>
      </c>
      <c r="C189" s="55" t="s">
        <v>411</v>
      </c>
      <c r="D189" t="s">
        <v>76</v>
      </c>
      <c r="E189" t="s">
        <v>26</v>
      </c>
      <c r="F189" t="s">
        <v>163</v>
      </c>
      <c r="G189" t="s">
        <v>32</v>
      </c>
      <c r="H189" t="s">
        <v>41</v>
      </c>
      <c r="J189">
        <v>0.17448053582190201</v>
      </c>
      <c r="K189">
        <v>0.16895466089291</v>
      </c>
      <c r="L189">
        <v>0.283699049831659</v>
      </c>
    </row>
    <row r="190" spans="1:12" x14ac:dyDescent="0.25">
      <c r="A190" t="str">
        <f t="shared" si="3"/>
        <v>TLEV</v>
      </c>
      <c r="C190" s="55" t="s">
        <v>411</v>
      </c>
      <c r="D190" t="s">
        <v>76</v>
      </c>
      <c r="E190" t="s">
        <v>26</v>
      </c>
      <c r="F190" t="s">
        <v>163</v>
      </c>
      <c r="G190" t="s">
        <v>33</v>
      </c>
      <c r="H190" t="s">
        <v>41</v>
      </c>
      <c r="I190">
        <v>0.28321263199781399</v>
      </c>
      <c r="J190">
        <v>0.25684150303734699</v>
      </c>
      <c r="K190">
        <v>7.9223355843149906E-2</v>
      </c>
      <c r="L190">
        <v>0.11693263690252401</v>
      </c>
    </row>
    <row r="191" spans="1:12" x14ac:dyDescent="0.25">
      <c r="A191" t="str">
        <f t="shared" si="3"/>
        <v>TLEV</v>
      </c>
      <c r="C191" s="55" t="s">
        <v>411</v>
      </c>
      <c r="D191" t="s">
        <v>76</v>
      </c>
      <c r="E191" t="s">
        <v>26</v>
      </c>
      <c r="F191" t="s">
        <v>163</v>
      </c>
      <c r="G191" t="s">
        <v>34</v>
      </c>
      <c r="H191" t="s">
        <v>41</v>
      </c>
      <c r="I191">
        <v>0.71294187881295101</v>
      </c>
      <c r="J191">
        <v>0.69739127242931898</v>
      </c>
      <c r="K191">
        <v>0.22890021992766599</v>
      </c>
      <c r="L191">
        <v>0.34580483669703999</v>
      </c>
    </row>
    <row r="192" spans="1:12" x14ac:dyDescent="0.25">
      <c r="A192" t="str">
        <f t="shared" si="3"/>
        <v>TLEV</v>
      </c>
      <c r="C192" s="55" t="s">
        <v>411</v>
      </c>
      <c r="D192" t="s">
        <v>76</v>
      </c>
      <c r="E192" t="s">
        <v>26</v>
      </c>
      <c r="F192" t="s">
        <v>163</v>
      </c>
      <c r="G192" t="s">
        <v>35</v>
      </c>
      <c r="H192" t="s">
        <v>41</v>
      </c>
      <c r="I192">
        <v>0.23698769278711199</v>
      </c>
      <c r="J192">
        <v>0.23015983831011599</v>
      </c>
      <c r="K192">
        <v>6.8061062841860601E-2</v>
      </c>
      <c r="L192">
        <v>9.9346074262912004E-2</v>
      </c>
    </row>
    <row r="193" spans="1:12" x14ac:dyDescent="0.25">
      <c r="A193" t="str">
        <f t="shared" si="3"/>
        <v>TLEV</v>
      </c>
      <c r="C193" s="55" t="s">
        <v>411</v>
      </c>
      <c r="D193" t="s">
        <v>76</v>
      </c>
      <c r="E193" t="s">
        <v>26</v>
      </c>
      <c r="F193" t="s">
        <v>163</v>
      </c>
      <c r="G193" t="s">
        <v>36</v>
      </c>
      <c r="H193" t="s">
        <v>41</v>
      </c>
      <c r="I193">
        <v>0.46271963082616102</v>
      </c>
      <c r="J193">
        <v>0.14228315599973701</v>
      </c>
      <c r="K193">
        <v>0.14522233283101901</v>
      </c>
      <c r="L193">
        <v>0.19954032538590799</v>
      </c>
    </row>
    <row r="194" spans="1:12" x14ac:dyDescent="0.25">
      <c r="A194" t="str">
        <f t="shared" si="3"/>
        <v>TLEV</v>
      </c>
      <c r="C194" s="55" t="s">
        <v>411</v>
      </c>
      <c r="D194" t="s">
        <v>76</v>
      </c>
      <c r="E194" t="s">
        <v>26</v>
      </c>
      <c r="F194" t="s">
        <v>163</v>
      </c>
      <c r="G194" t="s">
        <v>37</v>
      </c>
      <c r="H194" t="s">
        <v>41</v>
      </c>
      <c r="I194">
        <v>0.29452986259584601</v>
      </c>
      <c r="J194">
        <v>8.6518592908933101E-2</v>
      </c>
      <c r="K194">
        <v>8.6258336293418905E-2</v>
      </c>
      <c r="L194">
        <v>0.13312760418162201</v>
      </c>
    </row>
    <row r="195" spans="1:12" x14ac:dyDescent="0.25">
      <c r="A195" t="str">
        <f t="shared" si="3"/>
        <v>TLEV</v>
      </c>
      <c r="C195" s="55" t="s">
        <v>411</v>
      </c>
      <c r="D195" t="s">
        <v>76</v>
      </c>
      <c r="E195" t="s">
        <v>26</v>
      </c>
      <c r="F195" t="s">
        <v>163</v>
      </c>
      <c r="G195" t="s">
        <v>38</v>
      </c>
      <c r="H195" t="s">
        <v>41</v>
      </c>
      <c r="I195">
        <v>0.72671129805927503</v>
      </c>
      <c r="J195">
        <v>0.18806146517921599</v>
      </c>
      <c r="K195">
        <v>0.18898896399085</v>
      </c>
      <c r="L195">
        <v>0.32631834249681801</v>
      </c>
    </row>
    <row r="196" spans="1:12" x14ac:dyDescent="0.25">
      <c r="A196" t="str">
        <f t="shared" si="3"/>
        <v>TLFD</v>
      </c>
      <c r="C196" s="55" t="s">
        <v>411</v>
      </c>
      <c r="D196" t="s">
        <v>76</v>
      </c>
      <c r="E196" t="s">
        <v>26</v>
      </c>
      <c r="F196" t="s">
        <v>65</v>
      </c>
      <c r="G196" t="s">
        <v>30</v>
      </c>
      <c r="H196" t="s">
        <v>41</v>
      </c>
    </row>
    <row r="197" spans="1:12" x14ac:dyDescent="0.25">
      <c r="A197" t="str">
        <f t="shared" si="3"/>
        <v>TLFD</v>
      </c>
      <c r="C197" s="55" t="s">
        <v>411</v>
      </c>
      <c r="D197" t="s">
        <v>76</v>
      </c>
      <c r="E197" t="s">
        <v>26</v>
      </c>
      <c r="F197" t="s">
        <v>65</v>
      </c>
      <c r="G197" t="s">
        <v>31</v>
      </c>
      <c r="H197" t="s">
        <v>41</v>
      </c>
    </row>
    <row r="198" spans="1:12" x14ac:dyDescent="0.25">
      <c r="A198" t="str">
        <f t="shared" si="3"/>
        <v>TLFD</v>
      </c>
      <c r="C198" s="55" t="s">
        <v>411</v>
      </c>
      <c r="D198" t="s">
        <v>76</v>
      </c>
      <c r="E198" t="s">
        <v>26</v>
      </c>
      <c r="F198" t="s">
        <v>65</v>
      </c>
      <c r="G198" t="s">
        <v>32</v>
      </c>
      <c r="H198" t="s">
        <v>41</v>
      </c>
    </row>
    <row r="199" spans="1:12" x14ac:dyDescent="0.25">
      <c r="A199" t="str">
        <f t="shared" si="3"/>
        <v>TLFD</v>
      </c>
      <c r="C199" s="55" t="s">
        <v>411</v>
      </c>
      <c r="D199" t="s">
        <v>76</v>
      </c>
      <c r="E199" t="s">
        <v>26</v>
      </c>
      <c r="F199" t="s">
        <v>65</v>
      </c>
      <c r="G199" t="s">
        <v>33</v>
      </c>
      <c r="H199" t="s">
        <v>41</v>
      </c>
    </row>
    <row r="200" spans="1:12" x14ac:dyDescent="0.25">
      <c r="A200" t="str">
        <f t="shared" si="3"/>
        <v>TLFD</v>
      </c>
      <c r="C200" s="55" t="s">
        <v>411</v>
      </c>
      <c r="D200" t="s">
        <v>76</v>
      </c>
      <c r="E200" t="s">
        <v>26</v>
      </c>
      <c r="F200" t="s">
        <v>65</v>
      </c>
      <c r="G200" t="s">
        <v>34</v>
      </c>
      <c r="H200" t="s">
        <v>41</v>
      </c>
    </row>
    <row r="201" spans="1:12" x14ac:dyDescent="0.25">
      <c r="A201" t="str">
        <f t="shared" ref="A201:A264" si="4">LEFT(F201,4)</f>
        <v>TLFD</v>
      </c>
      <c r="C201" s="55" t="s">
        <v>411</v>
      </c>
      <c r="D201" t="s">
        <v>76</v>
      </c>
      <c r="E201" t="s">
        <v>26</v>
      </c>
      <c r="F201" t="s">
        <v>65</v>
      </c>
      <c r="G201" t="s">
        <v>35</v>
      </c>
      <c r="H201" t="s">
        <v>41</v>
      </c>
    </row>
    <row r="202" spans="1:12" x14ac:dyDescent="0.25">
      <c r="A202" t="str">
        <f t="shared" si="4"/>
        <v>TLFD</v>
      </c>
      <c r="C202" s="55" t="s">
        <v>411</v>
      </c>
      <c r="D202" t="s">
        <v>76</v>
      </c>
      <c r="E202" t="s">
        <v>26</v>
      </c>
      <c r="F202" t="s">
        <v>65</v>
      </c>
      <c r="G202" t="s">
        <v>36</v>
      </c>
      <c r="H202" t="s">
        <v>41</v>
      </c>
    </row>
    <row r="203" spans="1:12" x14ac:dyDescent="0.25">
      <c r="A203" t="str">
        <f t="shared" si="4"/>
        <v>TLFD</v>
      </c>
      <c r="C203" s="55" t="s">
        <v>411</v>
      </c>
      <c r="D203" t="s">
        <v>76</v>
      </c>
      <c r="E203" t="s">
        <v>26</v>
      </c>
      <c r="F203" t="s">
        <v>65</v>
      </c>
      <c r="G203" t="s">
        <v>37</v>
      </c>
      <c r="H203" t="s">
        <v>41</v>
      </c>
    </row>
    <row r="204" spans="1:12" x14ac:dyDescent="0.25">
      <c r="A204" t="str">
        <f t="shared" si="4"/>
        <v>TLFD</v>
      </c>
      <c r="C204" s="55" t="s">
        <v>411</v>
      </c>
      <c r="D204" t="s">
        <v>76</v>
      </c>
      <c r="E204" t="s">
        <v>26</v>
      </c>
      <c r="F204" t="s">
        <v>65</v>
      </c>
      <c r="G204" t="s">
        <v>38</v>
      </c>
      <c r="H204" t="s">
        <v>41</v>
      </c>
    </row>
    <row r="205" spans="1:12" x14ac:dyDescent="0.25">
      <c r="A205" t="str">
        <f t="shared" si="4"/>
        <v>TLTC</v>
      </c>
      <c r="C205" s="55" t="s">
        <v>411</v>
      </c>
      <c r="D205" t="s">
        <v>76</v>
      </c>
      <c r="E205" t="s">
        <v>26</v>
      </c>
      <c r="F205" t="s">
        <v>416</v>
      </c>
      <c r="G205" t="s">
        <v>30</v>
      </c>
      <c r="H205" t="s">
        <v>41</v>
      </c>
    </row>
    <row r="206" spans="1:12" x14ac:dyDescent="0.25">
      <c r="A206" t="str">
        <f t="shared" si="4"/>
        <v>TLTC</v>
      </c>
      <c r="C206" s="55" t="s">
        <v>411</v>
      </c>
      <c r="D206" t="s">
        <v>76</v>
      </c>
      <c r="E206" t="s">
        <v>26</v>
      </c>
      <c r="F206" t="s">
        <v>416</v>
      </c>
      <c r="G206" t="s">
        <v>31</v>
      </c>
      <c r="H206" t="s">
        <v>41</v>
      </c>
    </row>
    <row r="207" spans="1:12" x14ac:dyDescent="0.25">
      <c r="A207" t="str">
        <f t="shared" si="4"/>
        <v>TLTC</v>
      </c>
      <c r="C207" s="55" t="s">
        <v>411</v>
      </c>
      <c r="D207" t="s">
        <v>76</v>
      </c>
      <c r="E207" t="s">
        <v>26</v>
      </c>
      <c r="F207" t="s">
        <v>416</v>
      </c>
      <c r="G207" t="s">
        <v>32</v>
      </c>
      <c r="H207" t="s">
        <v>41</v>
      </c>
    </row>
    <row r="208" spans="1:12" x14ac:dyDescent="0.25">
      <c r="A208" t="str">
        <f t="shared" si="4"/>
        <v>TLTC</v>
      </c>
      <c r="C208" s="55" t="s">
        <v>411</v>
      </c>
      <c r="D208" t="s">
        <v>76</v>
      </c>
      <c r="E208" t="s">
        <v>26</v>
      </c>
      <c r="F208" t="s">
        <v>416</v>
      </c>
      <c r="G208" t="s">
        <v>33</v>
      </c>
      <c r="H208" t="s">
        <v>41</v>
      </c>
    </row>
    <row r="209" spans="1:12" x14ac:dyDescent="0.25">
      <c r="A209" t="str">
        <f t="shared" si="4"/>
        <v>TLTC</v>
      </c>
      <c r="C209" s="55" t="s">
        <v>411</v>
      </c>
      <c r="D209" t="s">
        <v>76</v>
      </c>
      <c r="E209" t="s">
        <v>26</v>
      </c>
      <c r="F209" t="s">
        <v>416</v>
      </c>
      <c r="G209" t="s">
        <v>34</v>
      </c>
      <c r="H209" t="s">
        <v>41</v>
      </c>
    </row>
    <row r="210" spans="1:12" x14ac:dyDescent="0.25">
      <c r="A210" t="str">
        <f t="shared" si="4"/>
        <v>TLTC</v>
      </c>
      <c r="C210" s="55" t="s">
        <v>411</v>
      </c>
      <c r="D210" t="s">
        <v>76</v>
      </c>
      <c r="E210" t="s">
        <v>26</v>
      </c>
      <c r="F210" t="s">
        <v>416</v>
      </c>
      <c r="G210" t="s">
        <v>35</v>
      </c>
      <c r="H210" t="s">
        <v>41</v>
      </c>
    </row>
    <row r="211" spans="1:12" x14ac:dyDescent="0.25">
      <c r="A211" t="str">
        <f t="shared" si="4"/>
        <v>TLTC</v>
      </c>
      <c r="C211" s="55" t="s">
        <v>411</v>
      </c>
      <c r="D211" t="s">
        <v>76</v>
      </c>
      <c r="E211" t="s">
        <v>26</v>
      </c>
      <c r="F211" t="s">
        <v>416</v>
      </c>
      <c r="G211" t="s">
        <v>36</v>
      </c>
      <c r="H211" t="s">
        <v>41</v>
      </c>
    </row>
    <row r="212" spans="1:12" x14ac:dyDescent="0.25">
      <c r="A212" t="str">
        <f t="shared" si="4"/>
        <v>TLTC</v>
      </c>
      <c r="C212" s="55" t="s">
        <v>411</v>
      </c>
      <c r="D212" t="s">
        <v>76</v>
      </c>
      <c r="E212" t="s">
        <v>26</v>
      </c>
      <c r="F212" t="s">
        <v>416</v>
      </c>
      <c r="G212" t="s">
        <v>37</v>
      </c>
      <c r="H212" t="s">
        <v>41</v>
      </c>
    </row>
    <row r="213" spans="1:12" x14ac:dyDescent="0.25">
      <c r="A213" t="str">
        <f t="shared" si="4"/>
        <v>TLTC</v>
      </c>
      <c r="C213" s="55" t="s">
        <v>411</v>
      </c>
      <c r="D213" t="s">
        <v>76</v>
      </c>
      <c r="E213" t="s">
        <v>26</v>
      </c>
      <c r="F213" t="s">
        <v>416</v>
      </c>
      <c r="G213" t="s">
        <v>38</v>
      </c>
      <c r="H213" t="s">
        <v>41</v>
      </c>
    </row>
    <row r="214" spans="1:12" x14ac:dyDescent="0.25">
      <c r="A214" t="str">
        <f t="shared" si="4"/>
        <v>TLCE</v>
      </c>
      <c r="C214" s="55" t="s">
        <v>411</v>
      </c>
      <c r="D214" t="s">
        <v>76</v>
      </c>
      <c r="E214" t="s">
        <v>66</v>
      </c>
      <c r="F214" t="s">
        <v>417</v>
      </c>
      <c r="G214" t="s">
        <v>30</v>
      </c>
      <c r="H214" t="s">
        <v>41</v>
      </c>
      <c r="J214">
        <v>1.0613024941734801</v>
      </c>
      <c r="K214">
        <v>9.5944135553523893</v>
      </c>
      <c r="L214">
        <v>12.683487257105901</v>
      </c>
    </row>
    <row r="215" spans="1:12" x14ac:dyDescent="0.25">
      <c r="A215" t="str">
        <f t="shared" si="4"/>
        <v>TLCE</v>
      </c>
      <c r="C215" s="55" t="s">
        <v>411</v>
      </c>
      <c r="D215" t="s">
        <v>76</v>
      </c>
      <c r="E215" t="s">
        <v>66</v>
      </c>
      <c r="F215" t="s">
        <v>417</v>
      </c>
      <c r="G215" t="s">
        <v>31</v>
      </c>
      <c r="H215" t="s">
        <v>41</v>
      </c>
      <c r="J215">
        <v>3.0438694852583801</v>
      </c>
      <c r="K215">
        <v>26.9270045386554</v>
      </c>
      <c r="L215">
        <v>35.435201246617098</v>
      </c>
    </row>
    <row r="216" spans="1:12" x14ac:dyDescent="0.25">
      <c r="A216" t="str">
        <f t="shared" si="4"/>
        <v>TLCE</v>
      </c>
      <c r="C216" s="55" t="s">
        <v>411</v>
      </c>
      <c r="D216" t="s">
        <v>76</v>
      </c>
      <c r="E216" t="s">
        <v>66</v>
      </c>
      <c r="F216" t="s">
        <v>417</v>
      </c>
      <c r="G216" t="s">
        <v>32</v>
      </c>
      <c r="H216" t="s">
        <v>41</v>
      </c>
      <c r="J216">
        <v>3.4026423363344098</v>
      </c>
      <c r="K216">
        <v>29.329842188285699</v>
      </c>
      <c r="L216">
        <v>38.517117662444399</v>
      </c>
    </row>
    <row r="217" spans="1:12" x14ac:dyDescent="0.25">
      <c r="A217" t="str">
        <f t="shared" si="4"/>
        <v>TLCE</v>
      </c>
      <c r="C217" s="55" t="s">
        <v>411</v>
      </c>
      <c r="D217" t="s">
        <v>76</v>
      </c>
      <c r="E217" t="s">
        <v>66</v>
      </c>
      <c r="F217" t="s">
        <v>417</v>
      </c>
      <c r="G217" t="s">
        <v>33</v>
      </c>
      <c r="H217" t="s">
        <v>41</v>
      </c>
      <c r="J217">
        <v>1.56050873938628</v>
      </c>
      <c r="K217">
        <v>13.898841647203801</v>
      </c>
      <c r="L217">
        <v>18.683287892274901</v>
      </c>
    </row>
    <row r="218" spans="1:12" x14ac:dyDescent="0.25">
      <c r="A218" t="str">
        <f t="shared" si="4"/>
        <v>TLCE</v>
      </c>
      <c r="C218" s="55" t="s">
        <v>411</v>
      </c>
      <c r="D218" t="s">
        <v>76</v>
      </c>
      <c r="E218" t="s">
        <v>66</v>
      </c>
      <c r="F218" t="s">
        <v>417</v>
      </c>
      <c r="G218" t="s">
        <v>34</v>
      </c>
      <c r="H218" t="s">
        <v>41</v>
      </c>
      <c r="J218">
        <v>4.4125352257822499</v>
      </c>
      <c r="K218">
        <v>40.176779263323297</v>
      </c>
      <c r="L218">
        <v>55.376674333597499</v>
      </c>
    </row>
    <row r="219" spans="1:12" x14ac:dyDescent="0.25">
      <c r="A219" t="str">
        <f t="shared" si="4"/>
        <v>TLCE</v>
      </c>
      <c r="C219" s="55" t="s">
        <v>411</v>
      </c>
      <c r="D219" t="s">
        <v>76</v>
      </c>
      <c r="E219" t="s">
        <v>66</v>
      </c>
      <c r="F219" t="s">
        <v>417</v>
      </c>
      <c r="G219" t="s">
        <v>35</v>
      </c>
      <c r="H219" t="s">
        <v>41</v>
      </c>
      <c r="J219">
        <v>1.42319808319406</v>
      </c>
      <c r="K219">
        <v>11.9692021732419</v>
      </c>
      <c r="L219">
        <v>16.015296435132399</v>
      </c>
    </row>
    <row r="220" spans="1:12" x14ac:dyDescent="0.25">
      <c r="A220" t="str">
        <f t="shared" si="4"/>
        <v>TLCE</v>
      </c>
      <c r="C220" s="55" t="s">
        <v>411</v>
      </c>
      <c r="D220" t="s">
        <v>76</v>
      </c>
      <c r="E220" t="s">
        <v>66</v>
      </c>
      <c r="F220" t="s">
        <v>417</v>
      </c>
      <c r="G220" t="s">
        <v>36</v>
      </c>
      <c r="H220" t="s">
        <v>41</v>
      </c>
      <c r="J220">
        <v>3.9137157656923001</v>
      </c>
      <c r="K220">
        <v>25.721794087977798</v>
      </c>
      <c r="L220">
        <v>35.919359204644103</v>
      </c>
    </row>
    <row r="221" spans="1:12" x14ac:dyDescent="0.25">
      <c r="A221" t="str">
        <f t="shared" si="4"/>
        <v>TLCE</v>
      </c>
      <c r="C221" s="55" t="s">
        <v>411</v>
      </c>
      <c r="D221" t="s">
        <v>76</v>
      </c>
      <c r="E221" t="s">
        <v>66</v>
      </c>
      <c r="F221" t="s">
        <v>417</v>
      </c>
      <c r="G221" t="s">
        <v>37</v>
      </c>
      <c r="H221" t="s">
        <v>41</v>
      </c>
      <c r="J221">
        <v>2.5152919277913499</v>
      </c>
      <c r="K221">
        <v>15.123796814515</v>
      </c>
      <c r="L221">
        <v>21.257556875005701</v>
      </c>
    </row>
    <row r="222" spans="1:12" x14ac:dyDescent="0.25">
      <c r="A222" t="str">
        <f t="shared" si="4"/>
        <v>TLCE</v>
      </c>
      <c r="C222" s="55" t="s">
        <v>411</v>
      </c>
      <c r="D222" t="s">
        <v>76</v>
      </c>
      <c r="E222" t="s">
        <v>66</v>
      </c>
      <c r="F222" t="s">
        <v>417</v>
      </c>
      <c r="G222" t="s">
        <v>38</v>
      </c>
      <c r="H222" t="s">
        <v>41</v>
      </c>
      <c r="J222">
        <v>3.6798086363623699</v>
      </c>
      <c r="K222">
        <v>32.649514430207297</v>
      </c>
      <c r="L222">
        <v>44.972822477123103</v>
      </c>
    </row>
    <row r="223" spans="1:12" x14ac:dyDescent="0.25">
      <c r="A223" t="str">
        <f t="shared" si="4"/>
        <v>TLEC</v>
      </c>
      <c r="C223" s="55" t="s">
        <v>411</v>
      </c>
      <c r="D223" t="s">
        <v>76</v>
      </c>
      <c r="E223" t="s">
        <v>66</v>
      </c>
      <c r="F223" t="s">
        <v>164</v>
      </c>
      <c r="G223" t="s">
        <v>30</v>
      </c>
      <c r="H223" t="s">
        <v>41</v>
      </c>
      <c r="I223">
        <v>0.60469376310519596</v>
      </c>
      <c r="J223">
        <v>0.56933370392006</v>
      </c>
      <c r="K223">
        <v>0.29670292768348799</v>
      </c>
      <c r="L223">
        <v>0.158295821878709</v>
      </c>
    </row>
    <row r="224" spans="1:12" x14ac:dyDescent="0.25">
      <c r="A224" t="str">
        <f t="shared" si="4"/>
        <v>TLEC</v>
      </c>
      <c r="C224" s="55" t="s">
        <v>411</v>
      </c>
      <c r="D224" t="s">
        <v>76</v>
      </c>
      <c r="E224" t="s">
        <v>66</v>
      </c>
      <c r="F224" t="s">
        <v>164</v>
      </c>
      <c r="G224" t="s">
        <v>31</v>
      </c>
      <c r="H224" t="s">
        <v>41</v>
      </c>
      <c r="I224">
        <v>1.65363406181924</v>
      </c>
      <c r="J224">
        <v>1.5594190155798</v>
      </c>
      <c r="K224">
        <v>0.78947463490916503</v>
      </c>
      <c r="L224">
        <v>0.41085605087230798</v>
      </c>
    </row>
    <row r="225" spans="1:12" x14ac:dyDescent="0.25">
      <c r="A225" t="str">
        <f t="shared" si="4"/>
        <v>TLEC</v>
      </c>
      <c r="C225" s="55" t="s">
        <v>411</v>
      </c>
      <c r="D225" t="s">
        <v>76</v>
      </c>
      <c r="E225" t="s">
        <v>66</v>
      </c>
      <c r="F225" t="s">
        <v>164</v>
      </c>
      <c r="G225" t="s">
        <v>32</v>
      </c>
      <c r="H225" t="s">
        <v>41</v>
      </c>
      <c r="I225">
        <v>1.78227493542646</v>
      </c>
      <c r="J225">
        <v>1.6731841000097101</v>
      </c>
      <c r="K225">
        <v>0.87358331269116196</v>
      </c>
      <c r="L225">
        <v>0.479357973413085</v>
      </c>
    </row>
    <row r="226" spans="1:12" x14ac:dyDescent="0.25">
      <c r="A226" t="str">
        <f t="shared" si="4"/>
        <v>TLEC</v>
      </c>
      <c r="C226" s="55" t="s">
        <v>411</v>
      </c>
      <c r="D226" t="s">
        <v>76</v>
      </c>
      <c r="E226" t="s">
        <v>66</v>
      </c>
      <c r="F226" t="s">
        <v>164</v>
      </c>
      <c r="G226" t="s">
        <v>33</v>
      </c>
      <c r="H226" t="s">
        <v>41</v>
      </c>
      <c r="I226">
        <v>0.81247744937773902</v>
      </c>
      <c r="J226">
        <v>0.76305602211690404</v>
      </c>
      <c r="K226">
        <v>0.38631078903344701</v>
      </c>
      <c r="L226">
        <v>0.195436946303371</v>
      </c>
    </row>
    <row r="227" spans="1:12" x14ac:dyDescent="0.25">
      <c r="A227" t="str">
        <f t="shared" si="4"/>
        <v>TLEC</v>
      </c>
      <c r="C227" s="55" t="s">
        <v>411</v>
      </c>
      <c r="D227" t="s">
        <v>76</v>
      </c>
      <c r="E227" t="s">
        <v>66</v>
      </c>
      <c r="F227" t="s">
        <v>164</v>
      </c>
      <c r="G227" t="s">
        <v>34</v>
      </c>
      <c r="H227" t="s">
        <v>41</v>
      </c>
      <c r="I227">
        <v>2.2843205322445899</v>
      </c>
      <c r="J227">
        <v>2.16124819152986</v>
      </c>
      <c r="K227">
        <v>1.14960131326832</v>
      </c>
      <c r="L227">
        <v>0.64994001037947402</v>
      </c>
    </row>
    <row r="228" spans="1:12" x14ac:dyDescent="0.25">
      <c r="A228" t="str">
        <f t="shared" si="4"/>
        <v>TLEC</v>
      </c>
      <c r="C228" s="55" t="s">
        <v>411</v>
      </c>
      <c r="D228" t="s">
        <v>76</v>
      </c>
      <c r="E228" t="s">
        <v>66</v>
      </c>
      <c r="F228" t="s">
        <v>164</v>
      </c>
      <c r="G228" t="s">
        <v>35</v>
      </c>
      <c r="H228" t="s">
        <v>41</v>
      </c>
      <c r="I228">
        <v>0.69462396770247903</v>
      </c>
      <c r="J228">
        <v>0.64962923206199796</v>
      </c>
      <c r="K228">
        <v>0.33143961086427398</v>
      </c>
      <c r="L228">
        <v>0.170340614226794</v>
      </c>
    </row>
    <row r="229" spans="1:12" x14ac:dyDescent="0.25">
      <c r="A229" t="str">
        <f t="shared" si="4"/>
        <v>TLEC</v>
      </c>
      <c r="C229" s="55" t="s">
        <v>411</v>
      </c>
      <c r="D229" t="s">
        <v>76</v>
      </c>
      <c r="E229" t="s">
        <v>66</v>
      </c>
      <c r="F229" t="s">
        <v>164</v>
      </c>
      <c r="G229" t="s">
        <v>36</v>
      </c>
      <c r="H229" t="s">
        <v>41</v>
      </c>
      <c r="I229">
        <v>1.39714820176011</v>
      </c>
      <c r="J229">
        <v>1.31544540199323</v>
      </c>
      <c r="K229">
        <v>0.67764772513336902</v>
      </c>
      <c r="L229">
        <v>0.34826688036346998</v>
      </c>
    </row>
    <row r="230" spans="1:12" x14ac:dyDescent="0.25">
      <c r="A230" t="str">
        <f t="shared" si="4"/>
        <v>TLEC</v>
      </c>
      <c r="C230" s="55" t="s">
        <v>411</v>
      </c>
      <c r="D230" t="s">
        <v>76</v>
      </c>
      <c r="E230" t="s">
        <v>66</v>
      </c>
      <c r="F230" t="s">
        <v>164</v>
      </c>
      <c r="G230" t="s">
        <v>37</v>
      </c>
      <c r="H230" t="s">
        <v>41</v>
      </c>
      <c r="I230">
        <v>0.86234302400053198</v>
      </c>
      <c r="J230">
        <v>0.80980812175379002</v>
      </c>
      <c r="K230">
        <v>0.43273104311410099</v>
      </c>
      <c r="L230">
        <v>0.229230807522803</v>
      </c>
    </row>
    <row r="231" spans="1:12" x14ac:dyDescent="0.25">
      <c r="A231" t="str">
        <f t="shared" si="4"/>
        <v>TLEC</v>
      </c>
      <c r="C231" s="55" t="s">
        <v>411</v>
      </c>
      <c r="D231" t="s">
        <v>76</v>
      </c>
      <c r="E231" t="s">
        <v>66</v>
      </c>
      <c r="F231" t="s">
        <v>164</v>
      </c>
      <c r="G231" t="s">
        <v>38</v>
      </c>
      <c r="H231" t="s">
        <v>41</v>
      </c>
      <c r="I231">
        <v>1.9069204138612299</v>
      </c>
      <c r="J231">
        <v>1.79110164092283</v>
      </c>
      <c r="K231">
        <v>0.926478667716641</v>
      </c>
      <c r="L231">
        <v>0.49248820493311601</v>
      </c>
    </row>
    <row r="232" spans="1:12" x14ac:dyDescent="0.25">
      <c r="A232" t="str">
        <f t="shared" si="4"/>
        <v>TLEF</v>
      </c>
      <c r="C232" s="55" t="s">
        <v>411</v>
      </c>
      <c r="D232" t="s">
        <v>76</v>
      </c>
      <c r="E232" t="s">
        <v>66</v>
      </c>
      <c r="F232" t="s">
        <v>67</v>
      </c>
      <c r="G232" t="s">
        <v>30</v>
      </c>
      <c r="H232" t="s">
        <v>41</v>
      </c>
      <c r="I232">
        <v>0.62553471796842897</v>
      </c>
      <c r="J232">
        <v>0.58895596356531299</v>
      </c>
      <c r="K232">
        <v>0.30692888452466199</v>
      </c>
      <c r="L232">
        <v>0.16375153563019801</v>
      </c>
    </row>
    <row r="233" spans="1:12" x14ac:dyDescent="0.25">
      <c r="A233" t="str">
        <f t="shared" si="4"/>
        <v>TLEF</v>
      </c>
      <c r="C233" t="s">
        <v>411</v>
      </c>
      <c r="D233" t="s">
        <v>76</v>
      </c>
      <c r="E233" t="s">
        <v>66</v>
      </c>
      <c r="F233" t="s">
        <v>67</v>
      </c>
      <c r="G233" t="s">
        <v>31</v>
      </c>
      <c r="H233" t="s">
        <v>41</v>
      </c>
      <c r="I233">
        <v>1.71062706380706</v>
      </c>
      <c r="J233">
        <v>1.6131648672811201</v>
      </c>
      <c r="K233">
        <v>0.81668411884251801</v>
      </c>
      <c r="L233">
        <v>0.42501632989940702</v>
      </c>
    </row>
    <row r="234" spans="1:12" x14ac:dyDescent="0.25">
      <c r="A234" t="str">
        <f t="shared" si="4"/>
        <v>TLEF</v>
      </c>
      <c r="C234" t="s">
        <v>411</v>
      </c>
      <c r="D234" t="s">
        <v>76</v>
      </c>
      <c r="E234" t="s">
        <v>66</v>
      </c>
      <c r="F234" t="s">
        <v>67</v>
      </c>
      <c r="G234" t="s">
        <v>32</v>
      </c>
      <c r="H234" t="s">
        <v>41</v>
      </c>
      <c r="I234">
        <v>1.84370158433442</v>
      </c>
      <c r="J234">
        <v>1.73085090002285</v>
      </c>
      <c r="K234">
        <v>0.90369162784159096</v>
      </c>
      <c r="L234">
        <v>0.49587919208074799</v>
      </c>
    </row>
    <row r="235" spans="1:12" x14ac:dyDescent="0.25">
      <c r="A235" t="str">
        <f t="shared" si="4"/>
        <v>TLEF</v>
      </c>
      <c r="C235" t="s">
        <v>411</v>
      </c>
      <c r="D235" t="s">
        <v>76</v>
      </c>
      <c r="E235" t="s">
        <v>66</v>
      </c>
      <c r="F235" t="s">
        <v>67</v>
      </c>
      <c r="G235" t="s">
        <v>33</v>
      </c>
      <c r="H235" t="s">
        <v>41</v>
      </c>
      <c r="I235">
        <v>0.84047973232328099</v>
      </c>
      <c r="J235">
        <v>0.78935498050766495</v>
      </c>
      <c r="K235">
        <v>0.39962510812958302</v>
      </c>
      <c r="L235">
        <v>0.20217274022921</v>
      </c>
    </row>
    <row r="236" spans="1:12" x14ac:dyDescent="0.25">
      <c r="A236" t="str">
        <f t="shared" si="4"/>
        <v>TLEF</v>
      </c>
      <c r="C236" t="s">
        <v>411</v>
      </c>
      <c r="D236" t="s">
        <v>76</v>
      </c>
      <c r="E236" t="s">
        <v>66</v>
      </c>
      <c r="F236" t="s">
        <v>67</v>
      </c>
      <c r="G236" t="s">
        <v>34</v>
      </c>
      <c r="H236" t="s">
        <v>41</v>
      </c>
      <c r="I236">
        <v>2.3630503356763199</v>
      </c>
      <c r="J236">
        <v>2.2357362692249501</v>
      </c>
      <c r="K236">
        <v>1.18922267294219</v>
      </c>
      <c r="L236">
        <v>0.67234039094660603</v>
      </c>
    </row>
    <row r="237" spans="1:12" x14ac:dyDescent="0.25">
      <c r="A237" t="str">
        <f t="shared" si="4"/>
        <v>TLEF</v>
      </c>
      <c r="C237" t="s">
        <v>411</v>
      </c>
      <c r="D237" t="s">
        <v>76</v>
      </c>
      <c r="E237" t="s">
        <v>66</v>
      </c>
      <c r="F237" t="s">
        <v>67</v>
      </c>
      <c r="G237" t="s">
        <v>35</v>
      </c>
      <c r="H237" t="s">
        <v>41</v>
      </c>
      <c r="I237">
        <v>0.71856439447894804</v>
      </c>
      <c r="J237">
        <v>0.67201890155969002</v>
      </c>
      <c r="K237">
        <v>0.342862778079426</v>
      </c>
      <c r="L237">
        <v>0.17621145541795499</v>
      </c>
    </row>
    <row r="238" spans="1:12" x14ac:dyDescent="0.25">
      <c r="A238" t="str">
        <f t="shared" si="4"/>
        <v>TLEF</v>
      </c>
      <c r="C238" t="s">
        <v>411</v>
      </c>
      <c r="D238" t="s">
        <v>76</v>
      </c>
      <c r="E238" t="s">
        <v>66</v>
      </c>
      <c r="F238" t="s">
        <v>67</v>
      </c>
      <c r="G238" t="s">
        <v>36</v>
      </c>
      <c r="H238" t="s">
        <v>41</v>
      </c>
      <c r="I238">
        <v>1.4453013404010699</v>
      </c>
      <c r="J238">
        <v>1.3607826287362399</v>
      </c>
      <c r="K238">
        <v>0.70100306053513295</v>
      </c>
      <c r="L238">
        <v>0.36027000455106201</v>
      </c>
    </row>
    <row r="239" spans="1:12" x14ac:dyDescent="0.25">
      <c r="A239" t="str">
        <f t="shared" si="4"/>
        <v>TLEF</v>
      </c>
      <c r="C239" t="s">
        <v>411</v>
      </c>
      <c r="D239" t="s">
        <v>76</v>
      </c>
      <c r="E239" t="s">
        <v>66</v>
      </c>
      <c r="F239" t="s">
        <v>67</v>
      </c>
      <c r="G239" t="s">
        <v>37</v>
      </c>
      <c r="H239" t="s">
        <v>41</v>
      </c>
      <c r="I239">
        <v>0.89206393917506599</v>
      </c>
      <c r="J239">
        <v>0.83771840550912902</v>
      </c>
      <c r="K239">
        <v>0.44764525041657</v>
      </c>
      <c r="L239">
        <v>0.23713131717633901</v>
      </c>
    </row>
    <row r="240" spans="1:12" x14ac:dyDescent="0.25">
      <c r="A240" t="str">
        <f t="shared" si="4"/>
        <v>TLEF</v>
      </c>
      <c r="C240" t="s">
        <v>411</v>
      </c>
      <c r="D240" t="s">
        <v>76</v>
      </c>
      <c r="E240" t="s">
        <v>66</v>
      </c>
      <c r="F240" t="s">
        <v>67</v>
      </c>
      <c r="G240" t="s">
        <v>38</v>
      </c>
      <c r="H240" t="s">
        <v>41</v>
      </c>
      <c r="I240">
        <v>1.9726430071768599</v>
      </c>
      <c r="J240">
        <v>1.8528325049262</v>
      </c>
      <c r="K240">
        <v>0.95841003740115305</v>
      </c>
      <c r="L240">
        <v>0.50946196103236696</v>
      </c>
    </row>
    <row r="241" spans="1:12" x14ac:dyDescent="0.25">
      <c r="A241" t="str">
        <f t="shared" si="4"/>
        <v>TLEL</v>
      </c>
      <c r="C241" t="s">
        <v>411</v>
      </c>
      <c r="D241" t="s">
        <v>76</v>
      </c>
      <c r="E241" t="s">
        <v>66</v>
      </c>
      <c r="F241" t="s">
        <v>165</v>
      </c>
      <c r="G241" t="s">
        <v>30</v>
      </c>
      <c r="H241" t="s">
        <v>41</v>
      </c>
      <c r="I241">
        <v>0.12098545006377399</v>
      </c>
      <c r="J241">
        <v>0.113910707548113</v>
      </c>
      <c r="K241">
        <v>5.9363498404036499E-2</v>
      </c>
      <c r="L241">
        <v>3.16713887619159E-2</v>
      </c>
    </row>
    <row r="242" spans="1:12" x14ac:dyDescent="0.25">
      <c r="A242" t="str">
        <f t="shared" si="4"/>
        <v>TLEL</v>
      </c>
      <c r="C242" t="s">
        <v>411</v>
      </c>
      <c r="D242" t="s">
        <v>76</v>
      </c>
      <c r="E242" t="s">
        <v>66</v>
      </c>
      <c r="F242" t="s">
        <v>165</v>
      </c>
      <c r="G242" t="s">
        <v>31</v>
      </c>
      <c r="H242" t="s">
        <v>41</v>
      </c>
      <c r="I242">
        <v>0.32793107678334499</v>
      </c>
      <c r="J242">
        <v>0.30924735329466602</v>
      </c>
      <c r="K242">
        <v>0.156560192545913</v>
      </c>
      <c r="L242">
        <v>8.1476591633147397E-2</v>
      </c>
    </row>
    <row r="243" spans="1:12" x14ac:dyDescent="0.25">
      <c r="A243" t="str">
        <f t="shared" si="4"/>
        <v>TLEL</v>
      </c>
      <c r="C243" t="s">
        <v>411</v>
      </c>
      <c r="D243" t="s">
        <v>76</v>
      </c>
      <c r="E243" t="s">
        <v>66</v>
      </c>
      <c r="F243" t="s">
        <v>165</v>
      </c>
      <c r="G243" t="s">
        <v>32</v>
      </c>
      <c r="H243" t="s">
        <v>41</v>
      </c>
      <c r="J243">
        <v>0.35311379335854998</v>
      </c>
      <c r="K243">
        <v>0.18436364376001099</v>
      </c>
      <c r="L243">
        <v>0.101165145166978</v>
      </c>
    </row>
    <row r="244" spans="1:12" x14ac:dyDescent="0.25">
      <c r="A244" t="str">
        <f t="shared" si="4"/>
        <v>TLEL</v>
      </c>
      <c r="C244" t="s">
        <v>411</v>
      </c>
      <c r="D244" t="s">
        <v>76</v>
      </c>
      <c r="E244" t="s">
        <v>66</v>
      </c>
      <c r="F244" t="s">
        <v>165</v>
      </c>
      <c r="G244" t="s">
        <v>33</v>
      </c>
      <c r="H244" t="s">
        <v>41</v>
      </c>
      <c r="I244">
        <v>0.16332465988655601</v>
      </c>
      <c r="J244">
        <v>0.15338993763098299</v>
      </c>
      <c r="K244">
        <v>7.7656405451889496E-2</v>
      </c>
      <c r="L244">
        <v>3.9286841510138899E-2</v>
      </c>
    </row>
    <row r="245" spans="1:12" x14ac:dyDescent="0.25">
      <c r="A245" t="str">
        <f t="shared" si="4"/>
        <v>TLEL</v>
      </c>
      <c r="C245" t="s">
        <v>411</v>
      </c>
      <c r="D245" t="s">
        <v>76</v>
      </c>
      <c r="E245" t="s">
        <v>66</v>
      </c>
      <c r="F245" t="s">
        <v>165</v>
      </c>
      <c r="G245" t="s">
        <v>34</v>
      </c>
      <c r="H245" t="s">
        <v>41</v>
      </c>
      <c r="I245">
        <v>0.475313953589104</v>
      </c>
      <c r="J245">
        <v>0.44970546300433301</v>
      </c>
      <c r="K245">
        <v>0.23920528557516901</v>
      </c>
      <c r="L245">
        <v>0.135237394038418</v>
      </c>
    </row>
    <row r="246" spans="1:12" x14ac:dyDescent="0.25">
      <c r="A246" t="str">
        <f t="shared" si="4"/>
        <v>TLEL</v>
      </c>
      <c r="C246" t="s">
        <v>411</v>
      </c>
      <c r="D246" t="s">
        <v>76</v>
      </c>
      <c r="E246" t="s">
        <v>66</v>
      </c>
      <c r="F246" t="s">
        <v>165</v>
      </c>
      <c r="G246" t="s">
        <v>35</v>
      </c>
      <c r="H246" t="s">
        <v>41</v>
      </c>
      <c r="I246">
        <v>0.143876022118893</v>
      </c>
      <c r="J246">
        <v>0.134556355822817</v>
      </c>
      <c r="K246">
        <v>6.8650399354216504E-2</v>
      </c>
      <c r="L246">
        <v>3.5282298221441903E-2</v>
      </c>
    </row>
    <row r="247" spans="1:12" x14ac:dyDescent="0.25">
      <c r="A247" t="str">
        <f t="shared" si="4"/>
        <v>TLEL</v>
      </c>
      <c r="C247" t="s">
        <v>411</v>
      </c>
      <c r="D247" t="s">
        <v>76</v>
      </c>
      <c r="E247" t="s">
        <v>66</v>
      </c>
      <c r="F247" t="s">
        <v>165</v>
      </c>
      <c r="G247" t="s">
        <v>36</v>
      </c>
      <c r="H247" t="s">
        <v>41</v>
      </c>
      <c r="I247">
        <v>0.30147412133127199</v>
      </c>
      <c r="J247">
        <v>0.28384443842505303</v>
      </c>
      <c r="K247">
        <v>0.14622160501609799</v>
      </c>
      <c r="L247">
        <v>7.5148399872032895E-2</v>
      </c>
    </row>
    <row r="248" spans="1:12" x14ac:dyDescent="0.25">
      <c r="A248" t="str">
        <f t="shared" si="4"/>
        <v>TLEL</v>
      </c>
      <c r="C248" t="s">
        <v>411</v>
      </c>
      <c r="D248" t="s">
        <v>76</v>
      </c>
      <c r="E248" t="s">
        <v>66</v>
      </c>
      <c r="F248" t="s">
        <v>165</v>
      </c>
      <c r="G248" t="s">
        <v>37</v>
      </c>
      <c r="H248" t="s">
        <v>41</v>
      </c>
      <c r="I248">
        <v>0.190951523014041</v>
      </c>
      <c r="J248">
        <v>0.179318542499082</v>
      </c>
      <c r="K248">
        <v>9.5821093739190802E-2</v>
      </c>
      <c r="L248">
        <v>5.0759350513619697E-2</v>
      </c>
    </row>
    <row r="249" spans="1:12" x14ac:dyDescent="0.25">
      <c r="A249" t="str">
        <f t="shared" si="4"/>
        <v>TLEL</v>
      </c>
      <c r="C249" t="s">
        <v>411</v>
      </c>
      <c r="D249" t="s">
        <v>76</v>
      </c>
      <c r="E249" t="s">
        <v>66</v>
      </c>
      <c r="F249" t="s">
        <v>165</v>
      </c>
      <c r="G249" t="s">
        <v>38</v>
      </c>
      <c r="H249" t="s">
        <v>41</v>
      </c>
      <c r="I249">
        <v>0.38611597578178702</v>
      </c>
      <c r="J249">
        <v>0.362664824804589</v>
      </c>
      <c r="K249">
        <v>0.18759472719790901</v>
      </c>
      <c r="L249">
        <v>9.9719716893548999E-2</v>
      </c>
    </row>
    <row r="250" spans="1:12" x14ac:dyDescent="0.25">
      <c r="A250" t="str">
        <f t="shared" si="4"/>
        <v>TLEP</v>
      </c>
      <c r="C250" t="s">
        <v>411</v>
      </c>
      <c r="D250" t="s">
        <v>76</v>
      </c>
      <c r="E250" t="s">
        <v>66</v>
      </c>
      <c r="F250" t="s">
        <v>166</v>
      </c>
      <c r="G250" t="s">
        <v>30</v>
      </c>
      <c r="H250" t="s">
        <v>41</v>
      </c>
      <c r="I250">
        <v>0.63798908385639197</v>
      </c>
      <c r="J250">
        <v>0.60068204822766902</v>
      </c>
      <c r="K250">
        <v>0.31303982372539801</v>
      </c>
      <c r="L250">
        <v>0.16701182076045801</v>
      </c>
    </row>
    <row r="251" spans="1:12" x14ac:dyDescent="0.25">
      <c r="A251" t="str">
        <f t="shared" si="4"/>
        <v>TLEP</v>
      </c>
      <c r="C251" t="s">
        <v>411</v>
      </c>
      <c r="D251" t="s">
        <v>76</v>
      </c>
      <c r="E251" t="s">
        <v>66</v>
      </c>
      <c r="F251" t="s">
        <v>166</v>
      </c>
      <c r="G251" t="s">
        <v>31</v>
      </c>
      <c r="H251" t="s">
        <v>41</v>
      </c>
      <c r="I251">
        <v>1.7292694876513199</v>
      </c>
      <c r="J251">
        <v>1.63074514753203</v>
      </c>
      <c r="K251">
        <v>0.82558434719296503</v>
      </c>
      <c r="L251">
        <v>0.42964816037277898</v>
      </c>
    </row>
    <row r="252" spans="1:12" x14ac:dyDescent="0.25">
      <c r="A252" t="str">
        <f t="shared" si="4"/>
        <v>TLEP</v>
      </c>
      <c r="C252" t="s">
        <v>411</v>
      </c>
      <c r="D252" t="s">
        <v>76</v>
      </c>
      <c r="E252" t="s">
        <v>66</v>
      </c>
      <c r="F252" t="s">
        <v>166</v>
      </c>
      <c r="G252" t="s">
        <v>32</v>
      </c>
      <c r="H252" t="s">
        <v>41</v>
      </c>
      <c r="I252">
        <v>1.9834705496440099</v>
      </c>
      <c r="J252">
        <v>1.8620647805428301</v>
      </c>
      <c r="K252">
        <v>0.97219948445763404</v>
      </c>
      <c r="L252">
        <v>0.53347124178368299</v>
      </c>
    </row>
    <row r="253" spans="1:12" x14ac:dyDescent="0.25">
      <c r="A253" t="str">
        <f t="shared" si="4"/>
        <v>TLEP</v>
      </c>
      <c r="C253" t="s">
        <v>411</v>
      </c>
      <c r="D253" t="s">
        <v>76</v>
      </c>
      <c r="E253" t="s">
        <v>66</v>
      </c>
      <c r="F253" t="s">
        <v>166</v>
      </c>
      <c r="G253" t="s">
        <v>33</v>
      </c>
      <c r="H253" t="s">
        <v>41</v>
      </c>
      <c r="I253">
        <v>0.86125521769150803</v>
      </c>
      <c r="J253">
        <v>0.80886673339972204</v>
      </c>
      <c r="K253">
        <v>0.40950328278082998</v>
      </c>
      <c r="L253">
        <v>0.207170168061141</v>
      </c>
    </row>
    <row r="254" spans="1:12" x14ac:dyDescent="0.25">
      <c r="A254" t="str">
        <f t="shared" si="4"/>
        <v>TLEP</v>
      </c>
      <c r="C254" t="s">
        <v>411</v>
      </c>
      <c r="D254" t="s">
        <v>76</v>
      </c>
      <c r="E254" t="s">
        <v>66</v>
      </c>
      <c r="F254" t="s">
        <v>166</v>
      </c>
      <c r="G254" t="s">
        <v>34</v>
      </c>
      <c r="H254" t="s">
        <v>41</v>
      </c>
      <c r="I254">
        <v>2.50645936048199</v>
      </c>
      <c r="J254">
        <v>2.3714188457877801</v>
      </c>
      <c r="K254">
        <v>1.2613943322710699</v>
      </c>
      <c r="L254">
        <v>0.71314344890411696</v>
      </c>
    </row>
    <row r="255" spans="1:12" x14ac:dyDescent="0.25">
      <c r="A255" t="str">
        <f t="shared" si="4"/>
        <v>TLEP</v>
      </c>
      <c r="C255" t="s">
        <v>411</v>
      </c>
      <c r="D255" t="s">
        <v>76</v>
      </c>
      <c r="E255" t="s">
        <v>66</v>
      </c>
      <c r="F255" t="s">
        <v>166</v>
      </c>
      <c r="G255" t="s">
        <v>35</v>
      </c>
      <c r="H255" t="s">
        <v>41</v>
      </c>
      <c r="I255">
        <v>0.75869727716969004</v>
      </c>
      <c r="J255">
        <v>0.709552149727119</v>
      </c>
      <c r="K255">
        <v>0.362012170614609</v>
      </c>
      <c r="L255">
        <v>0.186053125452527</v>
      </c>
    </row>
    <row r="256" spans="1:12" x14ac:dyDescent="0.25">
      <c r="A256" t="str">
        <f t="shared" si="4"/>
        <v>TLEP</v>
      </c>
      <c r="C256" t="s">
        <v>411</v>
      </c>
      <c r="D256" t="s">
        <v>76</v>
      </c>
      <c r="E256" t="s">
        <v>66</v>
      </c>
      <c r="F256" t="s">
        <v>166</v>
      </c>
      <c r="G256" t="s">
        <v>36</v>
      </c>
      <c r="H256" t="s">
        <v>41</v>
      </c>
      <c r="I256">
        <v>1.5897547876473099</v>
      </c>
      <c r="J256">
        <v>1.4967886893264899</v>
      </c>
      <c r="K256">
        <v>0.77106617180047299</v>
      </c>
      <c r="L256">
        <v>0.39627788930288699</v>
      </c>
    </row>
    <row r="257" spans="1:12" x14ac:dyDescent="0.25">
      <c r="A257" t="str">
        <f t="shared" si="4"/>
        <v>TLEP</v>
      </c>
      <c r="C257" t="s">
        <v>411</v>
      </c>
      <c r="D257" t="s">
        <v>76</v>
      </c>
      <c r="E257" t="s">
        <v>66</v>
      </c>
      <c r="F257" t="s">
        <v>166</v>
      </c>
      <c r="G257" t="s">
        <v>37</v>
      </c>
      <c r="H257" t="s">
        <v>41</v>
      </c>
      <c r="I257">
        <v>1.0069391580929301</v>
      </c>
      <c r="J257">
        <v>0.94559529751014304</v>
      </c>
      <c r="K257">
        <v>0.50529060954486305</v>
      </c>
      <c r="L257">
        <v>0.26766781885143698</v>
      </c>
    </row>
    <row r="258" spans="1:12" x14ac:dyDescent="0.25">
      <c r="A258" t="str">
        <f t="shared" si="4"/>
        <v>TLEP</v>
      </c>
      <c r="C258" t="s">
        <v>411</v>
      </c>
      <c r="D258" t="s">
        <v>76</v>
      </c>
      <c r="E258" t="s">
        <v>66</v>
      </c>
      <c r="F258" t="s">
        <v>166</v>
      </c>
      <c r="G258" t="s">
        <v>38</v>
      </c>
      <c r="H258" t="s">
        <v>41</v>
      </c>
      <c r="I258">
        <v>2.0360942371292601</v>
      </c>
      <c r="J258">
        <v>1.91242995915671</v>
      </c>
      <c r="K258">
        <v>0.989237863546372</v>
      </c>
      <c r="L258">
        <v>0.52584910656445705</v>
      </c>
    </row>
    <row r="259" spans="1:12" x14ac:dyDescent="0.25">
      <c r="A259" t="str">
        <f t="shared" si="4"/>
        <v>TLES</v>
      </c>
      <c r="C259" t="s">
        <v>411</v>
      </c>
      <c r="D259" t="s">
        <v>76</v>
      </c>
      <c r="E259" t="s">
        <v>66</v>
      </c>
      <c r="F259" t="s">
        <v>167</v>
      </c>
      <c r="G259" t="s">
        <v>30</v>
      </c>
      <c r="H259" t="s">
        <v>41</v>
      </c>
      <c r="I259">
        <v>0.48859508679600899</v>
      </c>
      <c r="J259">
        <v>0.46002401125199399</v>
      </c>
      <c r="K259">
        <v>0.23973720509322399</v>
      </c>
      <c r="L259">
        <v>0.12790368538465999</v>
      </c>
    </row>
    <row r="260" spans="1:12" x14ac:dyDescent="0.25">
      <c r="A260" t="str">
        <f t="shared" si="4"/>
        <v>TLES</v>
      </c>
      <c r="C260" t="s">
        <v>411</v>
      </c>
      <c r="D260" t="s">
        <v>76</v>
      </c>
      <c r="E260" t="s">
        <v>66</v>
      </c>
      <c r="F260" t="s">
        <v>167</v>
      </c>
      <c r="G260" t="s">
        <v>31</v>
      </c>
      <c r="H260" t="s">
        <v>41</v>
      </c>
      <c r="I260">
        <v>1.3243370408558199</v>
      </c>
      <c r="J260">
        <v>1.2488835421515401</v>
      </c>
      <c r="K260">
        <v>0.63226231605080396</v>
      </c>
      <c r="L260">
        <v>0.32904008159540299</v>
      </c>
    </row>
    <row r="261" spans="1:12" x14ac:dyDescent="0.25">
      <c r="A261" t="str">
        <f t="shared" si="4"/>
        <v>TLES</v>
      </c>
      <c r="C261" t="s">
        <v>411</v>
      </c>
      <c r="D261" t="s">
        <v>76</v>
      </c>
      <c r="E261" t="s">
        <v>66</v>
      </c>
      <c r="F261" t="s">
        <v>167</v>
      </c>
      <c r="G261" t="s">
        <v>32</v>
      </c>
      <c r="H261" t="s">
        <v>41</v>
      </c>
      <c r="I261">
        <v>1.5190133967539501</v>
      </c>
      <c r="J261">
        <v>1.42603647317876</v>
      </c>
      <c r="K261">
        <v>0.744545484415428</v>
      </c>
      <c r="L261">
        <v>0.40855154778971797</v>
      </c>
    </row>
    <row r="262" spans="1:12" x14ac:dyDescent="0.25">
      <c r="A262" t="str">
        <f t="shared" si="4"/>
        <v>TLES</v>
      </c>
      <c r="C262" t="s">
        <v>411</v>
      </c>
      <c r="D262" t="s">
        <v>76</v>
      </c>
      <c r="E262" t="s">
        <v>66</v>
      </c>
      <c r="F262" t="s">
        <v>167</v>
      </c>
      <c r="G262" t="s">
        <v>33</v>
      </c>
      <c r="H262" t="s">
        <v>41</v>
      </c>
      <c r="I262">
        <v>0.65958035723416697</v>
      </c>
      <c r="J262">
        <v>0.61945936350973796</v>
      </c>
      <c r="K262">
        <v>0.31361240663263101</v>
      </c>
      <c r="L262">
        <v>0.15865839840633</v>
      </c>
    </row>
    <row r="263" spans="1:12" x14ac:dyDescent="0.25">
      <c r="A263" t="str">
        <f t="shared" si="4"/>
        <v>TLES</v>
      </c>
      <c r="C263" t="s">
        <v>411</v>
      </c>
      <c r="D263" t="s">
        <v>76</v>
      </c>
      <c r="E263" t="s">
        <v>66</v>
      </c>
      <c r="F263" t="s">
        <v>167</v>
      </c>
      <c r="G263" t="s">
        <v>34</v>
      </c>
      <c r="H263" t="s">
        <v>41</v>
      </c>
      <c r="I263">
        <v>1.9195371202636899</v>
      </c>
      <c r="J263">
        <v>1.8161182159790401</v>
      </c>
      <c r="K263">
        <v>0.96602134559203001</v>
      </c>
      <c r="L263">
        <v>0.54615101438591995</v>
      </c>
    </row>
    <row r="264" spans="1:12" x14ac:dyDescent="0.25">
      <c r="A264" t="str">
        <f t="shared" si="4"/>
        <v>TLES</v>
      </c>
      <c r="C264" t="s">
        <v>411</v>
      </c>
      <c r="D264" t="s">
        <v>76</v>
      </c>
      <c r="E264" t="s">
        <v>66</v>
      </c>
      <c r="F264" t="s">
        <v>167</v>
      </c>
      <c r="G264" t="s">
        <v>35</v>
      </c>
      <c r="H264" t="s">
        <v>41</v>
      </c>
      <c r="I264">
        <v>0.581037781633991</v>
      </c>
      <c r="J264">
        <v>0.54340066774599105</v>
      </c>
      <c r="K264">
        <v>0.27724199739202798</v>
      </c>
      <c r="L264">
        <v>0.14248620435582299</v>
      </c>
    </row>
    <row r="265" spans="1:12" x14ac:dyDescent="0.25">
      <c r="A265" t="str">
        <f t="shared" ref="A265:A328" si="5">LEFT(F265,4)</f>
        <v>TLES</v>
      </c>
      <c r="C265" t="s">
        <v>411</v>
      </c>
      <c r="D265" t="s">
        <v>76</v>
      </c>
      <c r="E265" t="s">
        <v>66</v>
      </c>
      <c r="F265" t="s">
        <v>167</v>
      </c>
      <c r="G265" t="s">
        <v>36</v>
      </c>
      <c r="H265" t="s">
        <v>41</v>
      </c>
      <c r="I265">
        <v>1.21749164383783</v>
      </c>
      <c r="J265">
        <v>1.1462948474857899</v>
      </c>
      <c r="K265">
        <v>0.59051032794962499</v>
      </c>
      <c r="L265">
        <v>0.30348392256013301</v>
      </c>
    </row>
    <row r="266" spans="1:12" x14ac:dyDescent="0.25">
      <c r="A266" t="str">
        <f t="shared" si="5"/>
        <v>TLES</v>
      </c>
      <c r="C266" t="s">
        <v>411</v>
      </c>
      <c r="D266" t="s">
        <v>76</v>
      </c>
      <c r="E266" t="s">
        <v>66</v>
      </c>
      <c r="F266" t="s">
        <v>167</v>
      </c>
      <c r="G266" t="s">
        <v>37</v>
      </c>
      <c r="H266" t="s">
        <v>41</v>
      </c>
      <c r="I266">
        <v>0.77115038140285797</v>
      </c>
      <c r="J266">
        <v>0.72417103701552199</v>
      </c>
      <c r="K266">
        <v>0.38696980163903999</v>
      </c>
      <c r="L266">
        <v>0.204989684766541</v>
      </c>
    </row>
    <row r="267" spans="1:12" x14ac:dyDescent="0.25">
      <c r="A267" t="str">
        <f t="shared" si="5"/>
        <v>TLES</v>
      </c>
      <c r="C267" t="s">
        <v>411</v>
      </c>
      <c r="D267" t="s">
        <v>76</v>
      </c>
      <c r="E267" t="s">
        <v>66</v>
      </c>
      <c r="F267" t="s">
        <v>167</v>
      </c>
      <c r="G267" t="s">
        <v>38</v>
      </c>
      <c r="H267" t="s">
        <v>41</v>
      </c>
      <c r="I267">
        <v>1.55931451758029</v>
      </c>
      <c r="J267">
        <v>1.46460794632623</v>
      </c>
      <c r="K267">
        <v>0.75759409060694005</v>
      </c>
      <c r="L267">
        <v>0.40271424130087102</v>
      </c>
    </row>
    <row r="268" spans="1:12" x14ac:dyDescent="0.25">
      <c r="A268" t="str">
        <f t="shared" si="5"/>
        <v>TLET</v>
      </c>
      <c r="C268" t="s">
        <v>411</v>
      </c>
      <c r="D268" t="s">
        <v>76</v>
      </c>
      <c r="E268" t="s">
        <v>66</v>
      </c>
      <c r="F268" t="s">
        <v>168</v>
      </c>
      <c r="G268" t="s">
        <v>30</v>
      </c>
      <c r="H268" t="s">
        <v>41</v>
      </c>
      <c r="I268">
        <v>1.22148771699002</v>
      </c>
      <c r="J268">
        <v>1.15006002812999</v>
      </c>
      <c r="K268">
        <v>0.59934301273306101</v>
      </c>
      <c r="L268">
        <v>0.31975921346165098</v>
      </c>
    </row>
    <row r="269" spans="1:12" x14ac:dyDescent="0.25">
      <c r="A269" t="str">
        <f t="shared" si="5"/>
        <v>TLET</v>
      </c>
      <c r="C269" t="s">
        <v>411</v>
      </c>
      <c r="D269" t="s">
        <v>76</v>
      </c>
      <c r="E269" t="s">
        <v>66</v>
      </c>
      <c r="F269" t="s">
        <v>168</v>
      </c>
      <c r="G269" t="s">
        <v>31</v>
      </c>
      <c r="H269" t="s">
        <v>41</v>
      </c>
      <c r="I269">
        <v>3.3108426021395401</v>
      </c>
      <c r="J269">
        <v>3.1222088553788399</v>
      </c>
      <c r="K269">
        <v>1.58065579012701</v>
      </c>
      <c r="L269">
        <v>0.82260020398850697</v>
      </c>
    </row>
    <row r="270" spans="1:12" x14ac:dyDescent="0.25">
      <c r="A270" t="str">
        <f t="shared" si="5"/>
        <v>TLET</v>
      </c>
      <c r="C270" t="s">
        <v>411</v>
      </c>
      <c r="D270" t="s">
        <v>76</v>
      </c>
      <c r="E270" t="s">
        <v>66</v>
      </c>
      <c r="F270" t="s">
        <v>168</v>
      </c>
      <c r="G270" t="s">
        <v>32</v>
      </c>
      <c r="H270" t="s">
        <v>41</v>
      </c>
      <c r="I270">
        <v>3.79753349188488</v>
      </c>
      <c r="J270">
        <v>3.5650911829469001</v>
      </c>
      <c r="K270">
        <v>1.8613637110385699</v>
      </c>
      <c r="L270">
        <v>1.0213788694743</v>
      </c>
    </row>
    <row r="271" spans="1:12" x14ac:dyDescent="0.25">
      <c r="A271" t="str">
        <f t="shared" si="5"/>
        <v>TLET</v>
      </c>
      <c r="C271" t="s">
        <v>411</v>
      </c>
      <c r="D271" t="s">
        <v>76</v>
      </c>
      <c r="E271" t="s">
        <v>66</v>
      </c>
      <c r="F271" t="s">
        <v>168</v>
      </c>
      <c r="G271" t="s">
        <v>33</v>
      </c>
      <c r="H271" t="s">
        <v>41</v>
      </c>
      <c r="I271">
        <v>1.64895089308542</v>
      </c>
      <c r="J271">
        <v>1.5486484087743499</v>
      </c>
      <c r="K271">
        <v>0.78403101658157603</v>
      </c>
      <c r="L271">
        <v>0.39664599601582501</v>
      </c>
    </row>
    <row r="272" spans="1:12" x14ac:dyDescent="0.25">
      <c r="A272" t="str">
        <f t="shared" si="5"/>
        <v>TLET</v>
      </c>
      <c r="C272" t="s">
        <v>411</v>
      </c>
      <c r="D272" t="s">
        <v>76</v>
      </c>
      <c r="E272" t="s">
        <v>66</v>
      </c>
      <c r="F272" t="s">
        <v>168</v>
      </c>
      <c r="G272" t="s">
        <v>34</v>
      </c>
      <c r="H272" t="s">
        <v>41</v>
      </c>
      <c r="I272">
        <v>4.7988428006592203</v>
      </c>
      <c r="J272">
        <v>4.5402955399475999</v>
      </c>
      <c r="K272">
        <v>2.4150533639800802</v>
      </c>
      <c r="L272">
        <v>1.3653775359647999</v>
      </c>
    </row>
    <row r="273" spans="1:12" x14ac:dyDescent="0.25">
      <c r="A273" t="str">
        <f t="shared" si="5"/>
        <v>TLET</v>
      </c>
      <c r="C273" t="s">
        <v>411</v>
      </c>
      <c r="D273" t="s">
        <v>76</v>
      </c>
      <c r="E273" t="s">
        <v>66</v>
      </c>
      <c r="F273" t="s">
        <v>168</v>
      </c>
      <c r="G273" t="s">
        <v>35</v>
      </c>
      <c r="H273" t="s">
        <v>41</v>
      </c>
      <c r="I273">
        <v>1.45259445408498</v>
      </c>
      <c r="J273">
        <v>1.3585016693649801</v>
      </c>
      <c r="K273">
        <v>0.69310499348007104</v>
      </c>
      <c r="L273">
        <v>0.356215510889558</v>
      </c>
    </row>
    <row r="274" spans="1:12" x14ac:dyDescent="0.25">
      <c r="A274" t="str">
        <f t="shared" si="5"/>
        <v>TLET</v>
      </c>
      <c r="C274" t="s">
        <v>411</v>
      </c>
      <c r="D274" t="s">
        <v>76</v>
      </c>
      <c r="E274" t="s">
        <v>66</v>
      </c>
      <c r="F274" t="s">
        <v>168</v>
      </c>
      <c r="G274" t="s">
        <v>36</v>
      </c>
      <c r="H274" t="s">
        <v>41</v>
      </c>
      <c r="I274">
        <v>3.0437291095945702</v>
      </c>
      <c r="J274">
        <v>2.86573711871447</v>
      </c>
      <c r="K274">
        <v>1.47627581987406</v>
      </c>
      <c r="L274">
        <v>0.75870980640033203</v>
      </c>
    </row>
    <row r="275" spans="1:12" x14ac:dyDescent="0.25">
      <c r="A275" t="str">
        <f t="shared" si="5"/>
        <v>TLET</v>
      </c>
      <c r="C275" t="s">
        <v>411</v>
      </c>
      <c r="D275" t="s">
        <v>76</v>
      </c>
      <c r="E275" t="s">
        <v>66</v>
      </c>
      <c r="F275" t="s">
        <v>168</v>
      </c>
      <c r="G275" t="s">
        <v>37</v>
      </c>
      <c r="H275" t="s">
        <v>41</v>
      </c>
      <c r="I275">
        <v>1.9278759535071499</v>
      </c>
      <c r="J275">
        <v>1.81042759253881</v>
      </c>
      <c r="K275">
        <v>0.96742450409759895</v>
      </c>
      <c r="L275">
        <v>0.51247421191635301</v>
      </c>
    </row>
    <row r="276" spans="1:12" x14ac:dyDescent="0.25">
      <c r="A276" t="str">
        <f t="shared" si="5"/>
        <v>TLET</v>
      </c>
      <c r="C276" t="s">
        <v>411</v>
      </c>
      <c r="D276" t="s">
        <v>76</v>
      </c>
      <c r="E276" t="s">
        <v>66</v>
      </c>
      <c r="F276" t="s">
        <v>168</v>
      </c>
      <c r="G276" t="s">
        <v>38</v>
      </c>
      <c r="H276" t="s">
        <v>41</v>
      </c>
      <c r="I276">
        <v>3.8982862939507399</v>
      </c>
      <c r="J276">
        <v>3.6615198658155599</v>
      </c>
      <c r="K276">
        <v>1.89398522651735</v>
      </c>
      <c r="L276">
        <v>1.00678560325218</v>
      </c>
    </row>
    <row r="277" spans="1:12" x14ac:dyDescent="0.25">
      <c r="A277" t="str">
        <f t="shared" si="5"/>
        <v>TLEV</v>
      </c>
      <c r="C277" t="s">
        <v>411</v>
      </c>
      <c r="D277" t="s">
        <v>76</v>
      </c>
      <c r="E277" t="s">
        <v>66</v>
      </c>
      <c r="F277" t="s">
        <v>169</v>
      </c>
      <c r="G277" t="s">
        <v>30</v>
      </c>
      <c r="H277" t="s">
        <v>41</v>
      </c>
      <c r="I277">
        <v>0.22614349048447399</v>
      </c>
      <c r="J277">
        <v>0.21291952871115999</v>
      </c>
      <c r="K277">
        <v>0.110961018282627</v>
      </c>
      <c r="L277">
        <v>5.9199502083391198E-2</v>
      </c>
    </row>
    <row r="278" spans="1:12" x14ac:dyDescent="0.25">
      <c r="A278" t="str">
        <f t="shared" si="5"/>
        <v>TLEV</v>
      </c>
      <c r="C278" t="s">
        <v>411</v>
      </c>
      <c r="D278" t="s">
        <v>76</v>
      </c>
      <c r="E278" t="s">
        <v>66</v>
      </c>
      <c r="F278" t="s">
        <v>169</v>
      </c>
      <c r="G278" t="s">
        <v>31</v>
      </c>
      <c r="H278" t="s">
        <v>41</v>
      </c>
      <c r="I278">
        <v>0.61296195784721896</v>
      </c>
      <c r="J278">
        <v>0.57803872994874395</v>
      </c>
      <c r="K278">
        <v>0.292639060272053</v>
      </c>
      <c r="L278">
        <v>0.15229435287454501</v>
      </c>
    </row>
    <row r="279" spans="1:12" x14ac:dyDescent="0.25">
      <c r="A279" t="str">
        <f t="shared" si="5"/>
        <v>TLEV</v>
      </c>
      <c r="C279" t="s">
        <v>411</v>
      </c>
      <c r="D279" t="s">
        <v>76</v>
      </c>
      <c r="E279" t="s">
        <v>66</v>
      </c>
      <c r="F279" t="s">
        <v>169</v>
      </c>
      <c r="G279" t="s">
        <v>32</v>
      </c>
      <c r="H279" t="s">
        <v>41</v>
      </c>
      <c r="I279">
        <v>0.70306681527895698</v>
      </c>
      <c r="J279">
        <v>0.66003296864394001</v>
      </c>
      <c r="K279">
        <v>0.34460869382515003</v>
      </c>
      <c r="L279">
        <v>0.18909578822386899</v>
      </c>
    </row>
    <row r="280" spans="1:12" x14ac:dyDescent="0.25">
      <c r="A280" t="str">
        <f t="shared" si="5"/>
        <v>TLEV</v>
      </c>
      <c r="C280" t="s">
        <v>411</v>
      </c>
      <c r="D280" t="s">
        <v>76</v>
      </c>
      <c r="E280" t="s">
        <v>66</v>
      </c>
      <c r="F280" t="s">
        <v>169</v>
      </c>
      <c r="G280" t="s">
        <v>33</v>
      </c>
      <c r="H280" t="s">
        <v>41</v>
      </c>
      <c r="I280">
        <v>0.30528306213239798</v>
      </c>
      <c r="J280">
        <v>0.28671328562882098</v>
      </c>
      <c r="K280">
        <v>0.145153740206866</v>
      </c>
      <c r="L280">
        <v>7.3434148193274096E-2</v>
      </c>
    </row>
    <row r="281" spans="1:12" x14ac:dyDescent="0.25">
      <c r="A281" t="str">
        <f t="shared" si="5"/>
        <v>TLEV</v>
      </c>
      <c r="C281" t="s">
        <v>411</v>
      </c>
      <c r="D281" t="s">
        <v>76</v>
      </c>
      <c r="E281" t="s">
        <v>66</v>
      </c>
      <c r="F281" t="s">
        <v>169</v>
      </c>
      <c r="G281" t="s">
        <v>34</v>
      </c>
      <c r="H281" t="s">
        <v>41</v>
      </c>
      <c r="I281">
        <v>0.888446970143563</v>
      </c>
      <c r="J281">
        <v>0.84058011141116096</v>
      </c>
      <c r="K281">
        <v>0.44711755168732897</v>
      </c>
      <c r="L281">
        <v>0.252782928159966</v>
      </c>
    </row>
    <row r="282" spans="1:12" x14ac:dyDescent="0.25">
      <c r="A282" t="str">
        <f t="shared" si="5"/>
        <v>TLEV</v>
      </c>
      <c r="C282" t="s">
        <v>411</v>
      </c>
      <c r="D282" t="s">
        <v>76</v>
      </c>
      <c r="E282" t="s">
        <v>66</v>
      </c>
      <c r="F282" t="s">
        <v>169</v>
      </c>
      <c r="G282" t="s">
        <v>35</v>
      </c>
      <c r="H282" t="s">
        <v>41</v>
      </c>
      <c r="I282">
        <v>0.26893007235032901</v>
      </c>
      <c r="J282">
        <v>0.25150994567200402</v>
      </c>
      <c r="K282">
        <v>0.12831990065691501</v>
      </c>
      <c r="L282">
        <v>6.5948939049325403E-2</v>
      </c>
    </row>
    <row r="283" spans="1:12" x14ac:dyDescent="0.25">
      <c r="A283" t="str">
        <f t="shared" si="5"/>
        <v>TLEV</v>
      </c>
      <c r="C283" t="s">
        <v>411</v>
      </c>
      <c r="D283" t="s">
        <v>76</v>
      </c>
      <c r="E283" t="s">
        <v>66</v>
      </c>
      <c r="F283" t="s">
        <v>169</v>
      </c>
      <c r="G283" t="s">
        <v>36</v>
      </c>
      <c r="H283" t="s">
        <v>41</v>
      </c>
      <c r="I283">
        <v>0.56350916620681601</v>
      </c>
      <c r="J283">
        <v>0.53055612907346394</v>
      </c>
      <c r="K283">
        <v>0.27331438718583201</v>
      </c>
      <c r="L283">
        <v>0.14046582826634499</v>
      </c>
    </row>
    <row r="284" spans="1:12" x14ac:dyDescent="0.25">
      <c r="A284" t="str">
        <f t="shared" si="5"/>
        <v>TLEV</v>
      </c>
      <c r="C284" t="s">
        <v>411</v>
      </c>
      <c r="D284" t="s">
        <v>76</v>
      </c>
      <c r="E284" t="s">
        <v>66</v>
      </c>
      <c r="F284" t="s">
        <v>169</v>
      </c>
      <c r="G284" t="s">
        <v>37</v>
      </c>
      <c r="H284" t="s">
        <v>41</v>
      </c>
      <c r="I284">
        <v>0.35692262090159799</v>
      </c>
      <c r="J284">
        <v>0.33517849533109301</v>
      </c>
      <c r="K284">
        <v>0.179106798286887</v>
      </c>
      <c r="L284">
        <v>9.4878323747393495E-2</v>
      </c>
    </row>
    <row r="285" spans="1:12" x14ac:dyDescent="0.25">
      <c r="A285" t="str">
        <f t="shared" si="5"/>
        <v>TLEV</v>
      </c>
      <c r="C285" t="s">
        <v>411</v>
      </c>
      <c r="D285" t="s">
        <v>76</v>
      </c>
      <c r="E285" t="s">
        <v>66</v>
      </c>
      <c r="F285" t="s">
        <v>169</v>
      </c>
      <c r="G285" t="s">
        <v>38</v>
      </c>
      <c r="H285" t="s">
        <v>41</v>
      </c>
      <c r="I285">
        <v>0.72171996259951199</v>
      </c>
      <c r="J285">
        <v>0.67788555825529995</v>
      </c>
      <c r="K285">
        <v>0.35064816788015102</v>
      </c>
      <c r="L285">
        <v>0.18639402371560901</v>
      </c>
    </row>
    <row r="286" spans="1:12" x14ac:dyDescent="0.25">
      <c r="A286" t="str">
        <f t="shared" si="5"/>
        <v>TLFE</v>
      </c>
      <c r="C286" t="s">
        <v>411</v>
      </c>
      <c r="D286" t="s">
        <v>76</v>
      </c>
      <c r="E286" t="s">
        <v>66</v>
      </c>
      <c r="F286" t="s">
        <v>170</v>
      </c>
      <c r="G286" t="s">
        <v>30</v>
      </c>
      <c r="H286" t="s">
        <v>41</v>
      </c>
      <c r="J286">
        <v>0.29760054714315898</v>
      </c>
      <c r="K286">
        <v>0.56087854744109999</v>
      </c>
      <c r="L286">
        <v>0.65440759053420905</v>
      </c>
    </row>
    <row r="287" spans="1:12" x14ac:dyDescent="0.25">
      <c r="A287" t="str">
        <f t="shared" si="5"/>
        <v>TLFE</v>
      </c>
      <c r="C287" t="s">
        <v>411</v>
      </c>
      <c r="D287" t="s">
        <v>76</v>
      </c>
      <c r="E287" t="s">
        <v>66</v>
      </c>
      <c r="F287" t="s">
        <v>170</v>
      </c>
      <c r="G287" t="s">
        <v>31</v>
      </c>
      <c r="H287" t="s">
        <v>41</v>
      </c>
      <c r="J287">
        <v>0.88958552907272603</v>
      </c>
      <c r="K287">
        <v>1.62743114361246</v>
      </c>
      <c r="L287">
        <v>1.86258500355552</v>
      </c>
    </row>
    <row r="288" spans="1:12" x14ac:dyDescent="0.25">
      <c r="A288" t="str">
        <f t="shared" si="5"/>
        <v>TLFE</v>
      </c>
      <c r="C288" t="s">
        <v>411</v>
      </c>
      <c r="D288" t="s">
        <v>76</v>
      </c>
      <c r="E288" t="s">
        <v>66</v>
      </c>
      <c r="F288" t="s">
        <v>170</v>
      </c>
      <c r="G288" t="s">
        <v>32</v>
      </c>
      <c r="H288" t="s">
        <v>41</v>
      </c>
      <c r="J288">
        <v>1.0288124630426001</v>
      </c>
      <c r="K288">
        <v>1.76857198877886</v>
      </c>
      <c r="L288">
        <v>2.0073032021050401</v>
      </c>
    </row>
    <row r="289" spans="1:12" x14ac:dyDescent="0.25">
      <c r="A289" t="str">
        <f t="shared" si="5"/>
        <v>TLFE</v>
      </c>
      <c r="C289" t="s">
        <v>411</v>
      </c>
      <c r="D289" t="s">
        <v>76</v>
      </c>
      <c r="E289" t="s">
        <v>66</v>
      </c>
      <c r="F289" t="s">
        <v>170</v>
      </c>
      <c r="G289" t="s">
        <v>33</v>
      </c>
      <c r="H289" t="s">
        <v>41</v>
      </c>
      <c r="J289">
        <v>0.47393812544193398</v>
      </c>
      <c r="K289">
        <v>0.853407452720641</v>
      </c>
      <c r="L289">
        <v>0.99293779196370102</v>
      </c>
    </row>
    <row r="290" spans="1:12" x14ac:dyDescent="0.25">
      <c r="A290" t="str">
        <f t="shared" si="5"/>
        <v>TLFE</v>
      </c>
      <c r="C290" t="s">
        <v>411</v>
      </c>
      <c r="D290" t="s">
        <v>76</v>
      </c>
      <c r="E290" t="s">
        <v>66</v>
      </c>
      <c r="F290" t="s">
        <v>170</v>
      </c>
      <c r="G290" t="s">
        <v>34</v>
      </c>
      <c r="H290" t="s">
        <v>41</v>
      </c>
      <c r="J290">
        <v>1.33834757327732</v>
      </c>
      <c r="K290">
        <v>2.4311671187121999</v>
      </c>
      <c r="L290">
        <v>2.8800800647207101</v>
      </c>
    </row>
    <row r="291" spans="1:12" x14ac:dyDescent="0.25">
      <c r="A291" t="str">
        <f t="shared" si="5"/>
        <v>TLFE</v>
      </c>
      <c r="C291" t="s">
        <v>411</v>
      </c>
      <c r="D291" t="s">
        <v>76</v>
      </c>
      <c r="E291" t="s">
        <v>66</v>
      </c>
      <c r="F291" t="s">
        <v>170</v>
      </c>
      <c r="G291" t="s">
        <v>35</v>
      </c>
      <c r="H291" t="s">
        <v>41</v>
      </c>
      <c r="J291">
        <v>0.42096398836103999</v>
      </c>
      <c r="K291">
        <v>0.73362188934328898</v>
      </c>
      <c r="L291">
        <v>0.84828630049676801</v>
      </c>
    </row>
    <row r="292" spans="1:12" x14ac:dyDescent="0.25">
      <c r="A292" t="str">
        <f t="shared" si="5"/>
        <v>TLFE</v>
      </c>
      <c r="C292" t="s">
        <v>411</v>
      </c>
      <c r="D292" t="s">
        <v>76</v>
      </c>
      <c r="E292" t="s">
        <v>66</v>
      </c>
      <c r="F292" t="s">
        <v>170</v>
      </c>
      <c r="G292" t="s">
        <v>36</v>
      </c>
      <c r="H292" t="s">
        <v>41</v>
      </c>
      <c r="J292">
        <v>0.88963235849530198</v>
      </c>
      <c r="K292">
        <v>1.5958992817509501</v>
      </c>
      <c r="L292">
        <v>1.9150527770705701</v>
      </c>
    </row>
    <row r="293" spans="1:12" x14ac:dyDescent="0.25">
      <c r="A293" t="str">
        <f t="shared" si="5"/>
        <v>TLFE</v>
      </c>
      <c r="C293" t="s">
        <v>411</v>
      </c>
      <c r="D293" t="s">
        <v>76</v>
      </c>
      <c r="E293" t="s">
        <v>66</v>
      </c>
      <c r="F293" t="s">
        <v>170</v>
      </c>
      <c r="G293" t="s">
        <v>37</v>
      </c>
      <c r="H293" t="s">
        <v>41</v>
      </c>
      <c r="J293">
        <v>0.53069893657462397</v>
      </c>
      <c r="K293">
        <v>0.91665575488814499</v>
      </c>
      <c r="L293">
        <v>1.1221044325695699</v>
      </c>
    </row>
    <row r="294" spans="1:12" x14ac:dyDescent="0.25">
      <c r="A294" t="str">
        <f t="shared" si="5"/>
        <v>TLFE</v>
      </c>
      <c r="C294" t="s">
        <v>411</v>
      </c>
      <c r="D294" t="s">
        <v>76</v>
      </c>
      <c r="E294" t="s">
        <v>66</v>
      </c>
      <c r="F294" t="s">
        <v>170</v>
      </c>
      <c r="G294" t="s">
        <v>38</v>
      </c>
      <c r="H294" t="s">
        <v>41</v>
      </c>
      <c r="J294">
        <v>1.1216330021561201</v>
      </c>
      <c r="K294">
        <v>2.0307252119403598</v>
      </c>
      <c r="L294">
        <v>2.40098378139741</v>
      </c>
    </row>
    <row r="295" spans="1:12" x14ac:dyDescent="0.25">
      <c r="A295" t="str">
        <f t="shared" si="5"/>
        <v>TLLS</v>
      </c>
      <c r="C295" t="s">
        <v>411</v>
      </c>
      <c r="D295" t="s">
        <v>76</v>
      </c>
      <c r="E295" t="s">
        <v>66</v>
      </c>
      <c r="F295" t="s">
        <v>171</v>
      </c>
      <c r="G295" t="s">
        <v>30</v>
      </c>
      <c r="H295" t="s">
        <v>41</v>
      </c>
      <c r="J295">
        <v>4.7176366811111502E-2</v>
      </c>
      <c r="K295">
        <v>9.8316873500100904E-2</v>
      </c>
      <c r="L295">
        <v>0.116987899622085</v>
      </c>
    </row>
    <row r="296" spans="1:12" x14ac:dyDescent="0.25">
      <c r="A296" t="str">
        <f t="shared" si="5"/>
        <v>TLLS</v>
      </c>
      <c r="C296" t="s">
        <v>411</v>
      </c>
      <c r="D296" t="s">
        <v>76</v>
      </c>
      <c r="E296" t="s">
        <v>66</v>
      </c>
      <c r="F296" t="s">
        <v>171</v>
      </c>
      <c r="G296" t="s">
        <v>31</v>
      </c>
      <c r="H296" t="s">
        <v>41</v>
      </c>
      <c r="J296">
        <v>0.145501705936599</v>
      </c>
      <c r="K296">
        <v>0.28753487896954399</v>
      </c>
      <c r="L296">
        <v>0.33417994199496298</v>
      </c>
    </row>
    <row r="297" spans="1:12" x14ac:dyDescent="0.25">
      <c r="A297" t="str">
        <f t="shared" si="5"/>
        <v>TLLS</v>
      </c>
      <c r="C297" t="s">
        <v>411</v>
      </c>
      <c r="D297" t="s">
        <v>76</v>
      </c>
      <c r="E297" t="s">
        <v>66</v>
      </c>
      <c r="F297" t="s">
        <v>171</v>
      </c>
      <c r="G297" t="s">
        <v>32</v>
      </c>
      <c r="H297" t="s">
        <v>41</v>
      </c>
      <c r="J297">
        <v>0.14831628132140701</v>
      </c>
      <c r="K297">
        <v>0.3011859210094</v>
      </c>
      <c r="L297">
        <v>0.35366240795163301</v>
      </c>
    </row>
    <row r="298" spans="1:12" x14ac:dyDescent="0.25">
      <c r="A298" t="str">
        <f t="shared" si="5"/>
        <v>TLLS</v>
      </c>
      <c r="C298" t="s">
        <v>411</v>
      </c>
      <c r="D298" t="s">
        <v>76</v>
      </c>
      <c r="E298" t="s">
        <v>66</v>
      </c>
      <c r="F298" t="s">
        <v>171</v>
      </c>
      <c r="G298" t="s">
        <v>33</v>
      </c>
      <c r="H298" t="s">
        <v>41</v>
      </c>
      <c r="J298">
        <v>7.6150072551758805E-2</v>
      </c>
      <c r="K298">
        <v>0.150019266506002</v>
      </c>
      <c r="L298">
        <v>0.177864413758413</v>
      </c>
    </row>
    <row r="299" spans="1:12" x14ac:dyDescent="0.25">
      <c r="A299" t="str">
        <f t="shared" si="5"/>
        <v>TLLS</v>
      </c>
      <c r="C299" t="s">
        <v>411</v>
      </c>
      <c r="D299" t="s">
        <v>76</v>
      </c>
      <c r="E299" t="s">
        <v>66</v>
      </c>
      <c r="F299" t="s">
        <v>171</v>
      </c>
      <c r="G299" t="s">
        <v>34</v>
      </c>
      <c r="H299" t="s">
        <v>41</v>
      </c>
      <c r="J299">
        <v>0.199704588976648</v>
      </c>
      <c r="K299">
        <v>0.41861854464126802</v>
      </c>
      <c r="L299">
        <v>0.51023642650801404</v>
      </c>
    </row>
    <row r="300" spans="1:12" x14ac:dyDescent="0.25">
      <c r="A300" t="str">
        <f t="shared" si="5"/>
        <v>TLLS</v>
      </c>
      <c r="C300" t="s">
        <v>411</v>
      </c>
      <c r="D300" t="s">
        <v>76</v>
      </c>
      <c r="E300" t="s">
        <v>66</v>
      </c>
      <c r="F300" t="s">
        <v>171</v>
      </c>
      <c r="G300" t="s">
        <v>35</v>
      </c>
      <c r="H300" t="s">
        <v>41</v>
      </c>
      <c r="J300">
        <v>6.4038334910796704E-2</v>
      </c>
      <c r="K300">
        <v>0.12694656888540601</v>
      </c>
      <c r="L300">
        <v>0.15086866248382799</v>
      </c>
    </row>
    <row r="301" spans="1:12" x14ac:dyDescent="0.25">
      <c r="A301" t="str">
        <f t="shared" si="5"/>
        <v>TLLS</v>
      </c>
      <c r="C301" t="s">
        <v>411</v>
      </c>
      <c r="D301" t="s">
        <v>76</v>
      </c>
      <c r="E301" t="s">
        <v>66</v>
      </c>
      <c r="F301" t="s">
        <v>171</v>
      </c>
      <c r="G301" t="s">
        <v>36</v>
      </c>
      <c r="H301" t="s">
        <v>41</v>
      </c>
      <c r="J301">
        <v>0.12505534631352699</v>
      </c>
      <c r="K301">
        <v>0.27112491936057198</v>
      </c>
      <c r="L301">
        <v>0.33827712426226297</v>
      </c>
    </row>
    <row r="302" spans="1:12" x14ac:dyDescent="0.25">
      <c r="A302" t="str">
        <f t="shared" si="5"/>
        <v>TLLS</v>
      </c>
      <c r="C302" t="s">
        <v>411</v>
      </c>
      <c r="D302" t="s">
        <v>76</v>
      </c>
      <c r="E302" t="s">
        <v>66</v>
      </c>
      <c r="F302" t="s">
        <v>171</v>
      </c>
      <c r="G302" t="s">
        <v>37</v>
      </c>
      <c r="H302" t="s">
        <v>41</v>
      </c>
      <c r="J302">
        <v>6.9322512499817704E-2</v>
      </c>
      <c r="K302">
        <v>0.152072023998159</v>
      </c>
      <c r="L302">
        <v>0.196213411680706</v>
      </c>
    </row>
    <row r="303" spans="1:12" x14ac:dyDescent="0.25">
      <c r="A303" t="str">
        <f t="shared" si="5"/>
        <v>TLLS</v>
      </c>
      <c r="C303" t="s">
        <v>411</v>
      </c>
      <c r="D303" t="s">
        <v>76</v>
      </c>
      <c r="E303" t="s">
        <v>66</v>
      </c>
      <c r="F303" t="s">
        <v>171</v>
      </c>
      <c r="G303" t="s">
        <v>38</v>
      </c>
      <c r="H303" t="s">
        <v>41</v>
      </c>
      <c r="J303">
        <v>0.17779474041299501</v>
      </c>
      <c r="K303">
        <v>0.35553032615670699</v>
      </c>
      <c r="L303">
        <v>0.42910747468007698</v>
      </c>
    </row>
    <row r="304" spans="1:12" x14ac:dyDescent="0.25">
      <c r="A304" t="str">
        <f t="shared" si="5"/>
        <v>TLPE</v>
      </c>
      <c r="C304" t="s">
        <v>411</v>
      </c>
      <c r="D304" t="s">
        <v>76</v>
      </c>
      <c r="E304" t="s">
        <v>66</v>
      </c>
      <c r="F304" t="s">
        <v>68</v>
      </c>
      <c r="G304" t="s">
        <v>30</v>
      </c>
      <c r="H304" t="s">
        <v>41</v>
      </c>
      <c r="J304">
        <v>0.248773774248298</v>
      </c>
      <c r="K304">
        <v>0.51845153296448099</v>
      </c>
      <c r="L304">
        <v>0.61690891642618695</v>
      </c>
    </row>
    <row r="305" spans="1:12" x14ac:dyDescent="0.25">
      <c r="A305" t="str">
        <f t="shared" si="5"/>
        <v>TLPE</v>
      </c>
      <c r="C305" t="s">
        <v>411</v>
      </c>
      <c r="D305" t="s">
        <v>76</v>
      </c>
      <c r="E305" t="s">
        <v>66</v>
      </c>
      <c r="F305" t="s">
        <v>68</v>
      </c>
      <c r="G305" t="s">
        <v>31</v>
      </c>
      <c r="H305" t="s">
        <v>41</v>
      </c>
      <c r="J305">
        <v>0.76726994875086996</v>
      </c>
      <c r="K305">
        <v>1.5162493829949</v>
      </c>
      <c r="L305">
        <v>1.7622214483160099</v>
      </c>
    </row>
    <row r="306" spans="1:12" x14ac:dyDescent="0.25">
      <c r="A306" t="str">
        <f t="shared" si="5"/>
        <v>TLPE</v>
      </c>
      <c r="C306" t="s">
        <v>411</v>
      </c>
      <c r="D306" t="s">
        <v>76</v>
      </c>
      <c r="E306" t="s">
        <v>66</v>
      </c>
      <c r="F306" t="s">
        <v>68</v>
      </c>
      <c r="G306" t="s">
        <v>32</v>
      </c>
      <c r="H306" t="s">
        <v>41</v>
      </c>
      <c r="J306">
        <v>0.78211196793790405</v>
      </c>
      <c r="K306">
        <v>1.5882350292034599</v>
      </c>
      <c r="L306">
        <v>1.8649577740511101</v>
      </c>
    </row>
    <row r="307" spans="1:12" x14ac:dyDescent="0.25">
      <c r="A307" t="str">
        <f t="shared" si="5"/>
        <v>TLPE</v>
      </c>
      <c r="C307" t="s">
        <v>411</v>
      </c>
      <c r="D307" t="s">
        <v>76</v>
      </c>
      <c r="E307" t="s">
        <v>66</v>
      </c>
      <c r="F307" t="s">
        <v>68</v>
      </c>
      <c r="G307" t="s">
        <v>33</v>
      </c>
      <c r="H307" t="s">
        <v>41</v>
      </c>
      <c r="J307">
        <v>0.40155998095048001</v>
      </c>
      <c r="K307">
        <v>0.79109227058734299</v>
      </c>
      <c r="L307">
        <v>0.93792728236799205</v>
      </c>
    </row>
    <row r="308" spans="1:12" x14ac:dyDescent="0.25">
      <c r="A308" t="str">
        <f t="shared" si="5"/>
        <v>TLPE</v>
      </c>
      <c r="C308" t="s">
        <v>411</v>
      </c>
      <c r="D308" t="s">
        <v>76</v>
      </c>
      <c r="E308" t="s">
        <v>66</v>
      </c>
      <c r="F308" t="s">
        <v>68</v>
      </c>
      <c r="G308" t="s">
        <v>34</v>
      </c>
      <c r="H308" t="s">
        <v>41</v>
      </c>
      <c r="J308">
        <v>1.0530964483412499</v>
      </c>
      <c r="K308">
        <v>2.2074890959220999</v>
      </c>
      <c r="L308">
        <v>2.6906150295462399</v>
      </c>
    </row>
    <row r="309" spans="1:12" x14ac:dyDescent="0.25">
      <c r="A309" t="str">
        <f t="shared" si="5"/>
        <v>TLPE</v>
      </c>
      <c r="C309" t="s">
        <v>411</v>
      </c>
      <c r="D309" t="s">
        <v>76</v>
      </c>
      <c r="E309" t="s">
        <v>66</v>
      </c>
      <c r="F309" t="s">
        <v>68</v>
      </c>
      <c r="G309" t="s">
        <v>35</v>
      </c>
      <c r="H309" t="s">
        <v>41</v>
      </c>
      <c r="J309">
        <v>0.33769150422544197</v>
      </c>
      <c r="K309">
        <v>0.66942367978322603</v>
      </c>
      <c r="L309">
        <v>0.79557136589531696</v>
      </c>
    </row>
    <row r="310" spans="1:12" x14ac:dyDescent="0.25">
      <c r="A310" t="str">
        <f t="shared" si="5"/>
        <v>TLPE</v>
      </c>
      <c r="C310" t="s">
        <v>411</v>
      </c>
      <c r="D310" t="s">
        <v>76</v>
      </c>
      <c r="E310" t="s">
        <v>66</v>
      </c>
      <c r="F310" t="s">
        <v>68</v>
      </c>
      <c r="G310" t="s">
        <v>36</v>
      </c>
      <c r="H310" t="s">
        <v>41</v>
      </c>
      <c r="J310">
        <v>0.65945075034935996</v>
      </c>
      <c r="K310">
        <v>1.4297152163531199</v>
      </c>
      <c r="L310">
        <v>1.78382700137821</v>
      </c>
    </row>
    <row r="311" spans="1:12" x14ac:dyDescent="0.25">
      <c r="A311" t="str">
        <f t="shared" si="5"/>
        <v>TLPE</v>
      </c>
      <c r="C311" t="s">
        <v>411</v>
      </c>
      <c r="D311" t="s">
        <v>76</v>
      </c>
      <c r="E311" t="s">
        <v>66</v>
      </c>
      <c r="F311" t="s">
        <v>68</v>
      </c>
      <c r="G311" t="s">
        <v>37</v>
      </c>
      <c r="H311" t="s">
        <v>41</v>
      </c>
      <c r="J311">
        <v>0.36555640547742702</v>
      </c>
      <c r="K311">
        <v>0.80191701745658495</v>
      </c>
      <c r="L311">
        <v>1.0346865238136</v>
      </c>
    </row>
    <row r="312" spans="1:12" x14ac:dyDescent="0.25">
      <c r="A312" t="str">
        <f t="shared" si="5"/>
        <v>TLPE</v>
      </c>
      <c r="C312" t="s">
        <v>411</v>
      </c>
      <c r="D312" t="s">
        <v>76</v>
      </c>
      <c r="E312" t="s">
        <v>66</v>
      </c>
      <c r="F312" t="s">
        <v>68</v>
      </c>
      <c r="G312" t="s">
        <v>38</v>
      </c>
      <c r="H312" t="s">
        <v>41</v>
      </c>
      <c r="J312">
        <v>0.93755987592540202</v>
      </c>
      <c r="K312">
        <v>1.87480781323988</v>
      </c>
      <c r="L312">
        <v>2.2628000681302098</v>
      </c>
    </row>
    <row r="313" spans="1:12" x14ac:dyDescent="0.25">
      <c r="A313" t="str">
        <f t="shared" si="5"/>
        <v>TLSS</v>
      </c>
      <c r="C313" t="s">
        <v>411</v>
      </c>
      <c r="D313" t="s">
        <v>76</v>
      </c>
      <c r="E313" t="s">
        <v>66</v>
      </c>
      <c r="F313" t="s">
        <v>418</v>
      </c>
      <c r="G313" t="s">
        <v>30</v>
      </c>
      <c r="H313" t="s">
        <v>41</v>
      </c>
      <c r="J313">
        <v>0.190519942891029</v>
      </c>
      <c r="K313">
        <v>0.190519942891029</v>
      </c>
      <c r="L313">
        <v>0.190519942891029</v>
      </c>
    </row>
    <row r="314" spans="1:12" x14ac:dyDescent="0.25">
      <c r="A314" t="str">
        <f t="shared" si="5"/>
        <v>TLSS</v>
      </c>
      <c r="C314" t="s">
        <v>411</v>
      </c>
      <c r="D314" t="s">
        <v>76</v>
      </c>
      <c r="E314" t="s">
        <v>66</v>
      </c>
      <c r="F314" t="s">
        <v>418</v>
      </c>
      <c r="G314" t="s">
        <v>31</v>
      </c>
      <c r="H314" t="s">
        <v>41</v>
      </c>
      <c r="J314">
        <v>0.58760304320549395</v>
      </c>
      <c r="K314">
        <v>0.58760304320549395</v>
      </c>
      <c r="L314">
        <v>0.58760304320549395</v>
      </c>
    </row>
    <row r="315" spans="1:12" x14ac:dyDescent="0.25">
      <c r="A315" t="str">
        <f t="shared" si="5"/>
        <v>TLSS</v>
      </c>
      <c r="C315" t="s">
        <v>411</v>
      </c>
      <c r="D315" t="s">
        <v>76</v>
      </c>
      <c r="E315" t="s">
        <v>66</v>
      </c>
      <c r="F315" t="s">
        <v>418</v>
      </c>
      <c r="G315" t="s">
        <v>32</v>
      </c>
      <c r="H315" t="s">
        <v>41</v>
      </c>
      <c r="J315">
        <v>0.59896959764414603</v>
      </c>
      <c r="K315">
        <v>0.59896959764414603</v>
      </c>
      <c r="L315">
        <v>0.59896959764414603</v>
      </c>
    </row>
    <row r="316" spans="1:12" x14ac:dyDescent="0.25">
      <c r="A316" t="str">
        <f t="shared" si="5"/>
        <v>TLSS</v>
      </c>
      <c r="C316" t="s">
        <v>411</v>
      </c>
      <c r="D316" t="s">
        <v>76</v>
      </c>
      <c r="E316" t="s">
        <v>66</v>
      </c>
      <c r="F316" t="s">
        <v>418</v>
      </c>
      <c r="G316" t="s">
        <v>33</v>
      </c>
      <c r="H316" t="s">
        <v>41</v>
      </c>
      <c r="J316">
        <v>0.30752913915133601</v>
      </c>
      <c r="K316">
        <v>0.30752913915133601</v>
      </c>
      <c r="L316">
        <v>0.30752913915133601</v>
      </c>
    </row>
    <row r="317" spans="1:12" x14ac:dyDescent="0.25">
      <c r="A317" t="str">
        <f t="shared" si="5"/>
        <v>TLSS</v>
      </c>
      <c r="C317" t="s">
        <v>411</v>
      </c>
      <c r="D317" t="s">
        <v>76</v>
      </c>
      <c r="E317" t="s">
        <v>66</v>
      </c>
      <c r="F317" t="s">
        <v>418</v>
      </c>
      <c r="G317" t="s">
        <v>34</v>
      </c>
      <c r="H317" t="s">
        <v>41</v>
      </c>
      <c r="J317">
        <v>0.806499301636463</v>
      </c>
      <c r="K317">
        <v>0.806499301636463</v>
      </c>
      <c r="L317">
        <v>0.806499301636463</v>
      </c>
    </row>
    <row r="318" spans="1:12" x14ac:dyDescent="0.25">
      <c r="A318" t="str">
        <f t="shared" si="5"/>
        <v>TLSS</v>
      </c>
      <c r="C318" t="s">
        <v>411</v>
      </c>
      <c r="D318" t="s">
        <v>76</v>
      </c>
      <c r="E318" t="s">
        <v>66</v>
      </c>
      <c r="F318" t="s">
        <v>418</v>
      </c>
      <c r="G318" t="s">
        <v>35</v>
      </c>
      <c r="H318" t="s">
        <v>41</v>
      </c>
      <c r="J318">
        <v>0.25861635252437298</v>
      </c>
      <c r="K318">
        <v>0.25861635252437298</v>
      </c>
      <c r="L318">
        <v>0.25861635252437298</v>
      </c>
    </row>
    <row r="319" spans="1:12" x14ac:dyDescent="0.25">
      <c r="A319" t="str">
        <f t="shared" si="5"/>
        <v>TLSS</v>
      </c>
      <c r="C319" t="s">
        <v>411</v>
      </c>
      <c r="D319" t="s">
        <v>76</v>
      </c>
      <c r="E319" t="s">
        <v>66</v>
      </c>
      <c r="F319" t="s">
        <v>418</v>
      </c>
      <c r="G319" t="s">
        <v>36</v>
      </c>
      <c r="H319" t="s">
        <v>41</v>
      </c>
      <c r="J319">
        <v>0.50503120626616804</v>
      </c>
      <c r="K319">
        <v>0.50503120626616804</v>
      </c>
      <c r="L319">
        <v>0.50503120626616804</v>
      </c>
    </row>
    <row r="320" spans="1:12" x14ac:dyDescent="0.25">
      <c r="A320" t="str">
        <f t="shared" si="5"/>
        <v>TLSS</v>
      </c>
      <c r="C320" t="s">
        <v>411</v>
      </c>
      <c r="D320" t="s">
        <v>76</v>
      </c>
      <c r="E320" t="s">
        <v>66</v>
      </c>
      <c r="F320" t="s">
        <v>418</v>
      </c>
      <c r="G320" t="s">
        <v>37</v>
      </c>
      <c r="H320" t="s">
        <v>41</v>
      </c>
      <c r="J320">
        <v>0.279956300480036</v>
      </c>
      <c r="K320">
        <v>0.279956300480036</v>
      </c>
      <c r="L320">
        <v>0.279956300480036</v>
      </c>
    </row>
    <row r="321" spans="1:12" x14ac:dyDescent="0.25">
      <c r="A321" t="str">
        <f t="shared" si="5"/>
        <v>TLSS</v>
      </c>
      <c r="C321" t="s">
        <v>411</v>
      </c>
      <c r="D321" t="s">
        <v>76</v>
      </c>
      <c r="E321" t="s">
        <v>66</v>
      </c>
      <c r="F321" t="s">
        <v>418</v>
      </c>
      <c r="G321" t="s">
        <v>38</v>
      </c>
      <c r="H321" t="s">
        <v>41</v>
      </c>
      <c r="J321">
        <v>0.71801722089862896</v>
      </c>
      <c r="K321">
        <v>0.71801722089862896</v>
      </c>
      <c r="L321">
        <v>0.71801722089862896</v>
      </c>
    </row>
    <row r="322" spans="1:12" x14ac:dyDescent="0.25">
      <c r="A322" t="str">
        <f t="shared" si="5"/>
        <v>TLTC</v>
      </c>
      <c r="C322" t="s">
        <v>411</v>
      </c>
      <c r="D322" t="s">
        <v>76</v>
      </c>
      <c r="E322" t="s">
        <v>66</v>
      </c>
      <c r="F322" t="s">
        <v>172</v>
      </c>
      <c r="G322" t="s">
        <v>30</v>
      </c>
      <c r="H322" t="s">
        <v>41</v>
      </c>
      <c r="J322">
        <v>0.47629985722756402</v>
      </c>
      <c r="K322">
        <v>0.99262228052997903</v>
      </c>
      <c r="L322">
        <v>1.18112783272297</v>
      </c>
    </row>
    <row r="323" spans="1:12" x14ac:dyDescent="0.25">
      <c r="A323" t="str">
        <f t="shared" si="5"/>
        <v>TLTC</v>
      </c>
      <c r="C323" t="s">
        <v>411</v>
      </c>
      <c r="D323" t="s">
        <v>76</v>
      </c>
      <c r="E323" t="s">
        <v>66</v>
      </c>
      <c r="F323" t="s">
        <v>172</v>
      </c>
      <c r="G323" t="s">
        <v>31</v>
      </c>
      <c r="H323" t="s">
        <v>41</v>
      </c>
      <c r="J323">
        <v>1.46900760801373</v>
      </c>
      <c r="K323">
        <v>2.9029963742120599</v>
      </c>
      <c r="L323">
        <v>3.3739321066799102</v>
      </c>
    </row>
    <row r="324" spans="1:12" x14ac:dyDescent="0.25">
      <c r="A324" t="str">
        <f t="shared" si="5"/>
        <v>TLTC</v>
      </c>
      <c r="C324" t="s">
        <v>411</v>
      </c>
      <c r="D324" t="s">
        <v>76</v>
      </c>
      <c r="E324" t="s">
        <v>66</v>
      </c>
      <c r="F324" t="s">
        <v>172</v>
      </c>
      <c r="G324" t="s">
        <v>32</v>
      </c>
      <c r="H324" t="s">
        <v>41</v>
      </c>
      <c r="J324">
        <v>1.49742399411035</v>
      </c>
      <c r="K324">
        <v>3.0408193948064599</v>
      </c>
      <c r="L324">
        <v>3.5706300802809001</v>
      </c>
    </row>
    <row r="325" spans="1:12" x14ac:dyDescent="0.25">
      <c r="A325" t="str">
        <f t="shared" si="5"/>
        <v>TLTC</v>
      </c>
      <c r="C325" t="s">
        <v>411</v>
      </c>
      <c r="D325" t="s">
        <v>76</v>
      </c>
      <c r="E325" t="s">
        <v>66</v>
      </c>
      <c r="F325" t="s">
        <v>172</v>
      </c>
      <c r="G325" t="s">
        <v>33</v>
      </c>
      <c r="H325" t="s">
        <v>41</v>
      </c>
      <c r="J325">
        <v>0.76882284787833</v>
      </c>
      <c r="K325">
        <v>1.51461759453192</v>
      </c>
      <c r="L325">
        <v>1.7957464850609</v>
      </c>
    </row>
    <row r="326" spans="1:12" x14ac:dyDescent="0.25">
      <c r="A326" t="str">
        <f t="shared" si="5"/>
        <v>TLTC</v>
      </c>
      <c r="C326" t="s">
        <v>411</v>
      </c>
      <c r="D326" t="s">
        <v>76</v>
      </c>
      <c r="E326" t="s">
        <v>66</v>
      </c>
      <c r="F326" t="s">
        <v>172</v>
      </c>
      <c r="G326" t="s">
        <v>34</v>
      </c>
      <c r="H326" t="s">
        <v>41</v>
      </c>
      <c r="J326">
        <v>2.0162482540911499</v>
      </c>
      <c r="K326">
        <v>4.2264372295517303</v>
      </c>
      <c r="L326">
        <v>5.1514254599366804</v>
      </c>
    </row>
    <row r="327" spans="1:12" x14ac:dyDescent="0.25">
      <c r="A327" t="str">
        <f t="shared" si="5"/>
        <v>TLTC</v>
      </c>
      <c r="C327" t="s">
        <v>411</v>
      </c>
      <c r="D327" t="s">
        <v>76</v>
      </c>
      <c r="E327" t="s">
        <v>66</v>
      </c>
      <c r="F327" t="s">
        <v>172</v>
      </c>
      <c r="G327" t="s">
        <v>35</v>
      </c>
      <c r="H327" t="s">
        <v>41</v>
      </c>
      <c r="J327">
        <v>0.64654088131092602</v>
      </c>
      <c r="K327">
        <v>1.2816720897085701</v>
      </c>
      <c r="L327">
        <v>1.52319322700018</v>
      </c>
    </row>
    <row r="328" spans="1:12" x14ac:dyDescent="0.25">
      <c r="A328" t="str">
        <f t="shared" si="5"/>
        <v>TLTC</v>
      </c>
      <c r="C328" t="s">
        <v>411</v>
      </c>
      <c r="D328" t="s">
        <v>76</v>
      </c>
      <c r="E328" t="s">
        <v>66</v>
      </c>
      <c r="F328" t="s">
        <v>172</v>
      </c>
      <c r="G328" t="s">
        <v>36</v>
      </c>
      <c r="H328" t="s">
        <v>41</v>
      </c>
      <c r="J328">
        <v>1.2625780156654201</v>
      </c>
      <c r="K328">
        <v>2.7373188973906899</v>
      </c>
      <c r="L328">
        <v>3.4152978891863102</v>
      </c>
    </row>
    <row r="329" spans="1:12" x14ac:dyDescent="0.25">
      <c r="A329" t="str">
        <f t="shared" ref="A329:A392" si="6">LEFT(F329,4)</f>
        <v>TLTC</v>
      </c>
      <c r="C329" t="s">
        <v>411</v>
      </c>
      <c r="D329" t="s">
        <v>76</v>
      </c>
      <c r="E329" t="s">
        <v>66</v>
      </c>
      <c r="F329" t="s">
        <v>172</v>
      </c>
      <c r="G329" t="s">
        <v>37</v>
      </c>
      <c r="H329" t="s">
        <v>41</v>
      </c>
      <c r="J329">
        <v>0.69989075120007904</v>
      </c>
      <c r="K329">
        <v>1.53534254998159</v>
      </c>
      <c r="L329">
        <v>1.9810007910071299</v>
      </c>
    </row>
    <row r="330" spans="1:12" x14ac:dyDescent="0.25">
      <c r="A330" t="str">
        <f t="shared" si="6"/>
        <v>TLTC</v>
      </c>
      <c r="C330" t="s">
        <v>411</v>
      </c>
      <c r="D330" t="s">
        <v>76</v>
      </c>
      <c r="E330" t="s">
        <v>66</v>
      </c>
      <c r="F330" t="s">
        <v>172</v>
      </c>
      <c r="G330" t="s">
        <v>38</v>
      </c>
      <c r="H330" t="s">
        <v>41</v>
      </c>
      <c r="J330">
        <v>1.7950430522465799</v>
      </c>
      <c r="K330">
        <v>3.5894888698517602</v>
      </c>
      <c r="L330">
        <v>4.3323350809046204</v>
      </c>
    </row>
    <row r="331" spans="1:12" x14ac:dyDescent="0.25">
      <c r="A331" t="str">
        <f t="shared" si="6"/>
        <v>TLVE</v>
      </c>
      <c r="C331" t="s">
        <v>411</v>
      </c>
      <c r="D331" t="s">
        <v>76</v>
      </c>
      <c r="E331" t="s">
        <v>66</v>
      </c>
      <c r="F331" t="s">
        <v>419</v>
      </c>
      <c r="G331" t="s">
        <v>30</v>
      </c>
      <c r="H331" t="s">
        <v>41</v>
      </c>
      <c r="J331">
        <v>8.8181085026481101E-2</v>
      </c>
      <c r="K331">
        <v>0.18377185798057599</v>
      </c>
      <c r="L331">
        <v>0.21867135222491599</v>
      </c>
    </row>
    <row r="332" spans="1:12" x14ac:dyDescent="0.25">
      <c r="A332" t="str">
        <f t="shared" si="6"/>
        <v>TLVE</v>
      </c>
      <c r="C332" t="s">
        <v>411</v>
      </c>
      <c r="D332" t="s">
        <v>76</v>
      </c>
      <c r="E332" t="s">
        <v>66</v>
      </c>
      <c r="F332" t="s">
        <v>419</v>
      </c>
      <c r="G332" t="s">
        <v>31</v>
      </c>
      <c r="H332" t="s">
        <v>41</v>
      </c>
      <c r="J332">
        <v>0.27196876677818299</v>
      </c>
      <c r="K332">
        <v>0.53745422389167397</v>
      </c>
      <c r="L332">
        <v>0.62464220691664896</v>
      </c>
    </row>
    <row r="333" spans="1:12" x14ac:dyDescent="0.25">
      <c r="A333" t="str">
        <f t="shared" si="6"/>
        <v>TLVE</v>
      </c>
      <c r="C333" t="s">
        <v>411</v>
      </c>
      <c r="D333" t="s">
        <v>76</v>
      </c>
      <c r="E333" t="s">
        <v>66</v>
      </c>
      <c r="F333" t="s">
        <v>419</v>
      </c>
      <c r="G333" t="s">
        <v>32</v>
      </c>
      <c r="H333" t="s">
        <v>41</v>
      </c>
      <c r="J333">
        <v>0.27722971263090002</v>
      </c>
      <c r="K333">
        <v>0.56297046815087604</v>
      </c>
      <c r="L333">
        <v>0.66105842764702405</v>
      </c>
    </row>
    <row r="334" spans="1:12" x14ac:dyDescent="0.25">
      <c r="A334" t="str">
        <f t="shared" si="6"/>
        <v>TLVE</v>
      </c>
      <c r="C334" t="s">
        <v>411</v>
      </c>
      <c r="D334" t="s">
        <v>76</v>
      </c>
      <c r="E334" t="s">
        <v>66</v>
      </c>
      <c r="F334" t="s">
        <v>419</v>
      </c>
      <c r="G334" t="s">
        <v>33</v>
      </c>
      <c r="H334" t="s">
        <v>41</v>
      </c>
      <c r="J334">
        <v>0.142338134035318</v>
      </c>
      <c r="K334">
        <v>0.28041289716828399</v>
      </c>
      <c r="L334">
        <v>0.33246046809016899</v>
      </c>
    </row>
    <row r="335" spans="1:12" x14ac:dyDescent="0.25">
      <c r="A335" t="str">
        <f t="shared" si="6"/>
        <v>TLVE</v>
      </c>
      <c r="C335" t="s">
        <v>411</v>
      </c>
      <c r="D335" t="s">
        <v>76</v>
      </c>
      <c r="E335" t="s">
        <v>66</v>
      </c>
      <c r="F335" t="s">
        <v>419</v>
      </c>
      <c r="G335" t="s">
        <v>34</v>
      </c>
      <c r="H335" t="s">
        <v>41</v>
      </c>
      <c r="J335">
        <v>0.373283670004455</v>
      </c>
      <c r="K335">
        <v>0.78247308925838799</v>
      </c>
      <c r="L335">
        <v>0.95372333121068698</v>
      </c>
    </row>
    <row r="336" spans="1:12" x14ac:dyDescent="0.25">
      <c r="A336" t="str">
        <f t="shared" si="6"/>
        <v>TLVE</v>
      </c>
      <c r="C336" t="s">
        <v>411</v>
      </c>
      <c r="D336" t="s">
        <v>76</v>
      </c>
      <c r="E336" t="s">
        <v>66</v>
      </c>
      <c r="F336" t="s">
        <v>419</v>
      </c>
      <c r="G336" t="s">
        <v>35</v>
      </c>
      <c r="H336" t="s">
        <v>41</v>
      </c>
      <c r="J336">
        <v>0.11969912558830501</v>
      </c>
      <c r="K336">
        <v>0.23728588997804201</v>
      </c>
      <c r="L336">
        <v>0.28200057048870297</v>
      </c>
    </row>
    <row r="337" spans="1:12" x14ac:dyDescent="0.25">
      <c r="A337" t="str">
        <f t="shared" si="6"/>
        <v>TLVE</v>
      </c>
      <c r="C337" t="s">
        <v>411</v>
      </c>
      <c r="D337" t="s">
        <v>76</v>
      </c>
      <c r="E337" t="s">
        <v>66</v>
      </c>
      <c r="F337" t="s">
        <v>419</v>
      </c>
      <c r="G337" t="s">
        <v>36</v>
      </c>
      <c r="H337" t="s">
        <v>41</v>
      </c>
      <c r="J337">
        <v>0.23375085602589801</v>
      </c>
      <c r="K337">
        <v>0.50678106821281899</v>
      </c>
      <c r="L337">
        <v>0.63230057491536196</v>
      </c>
    </row>
    <row r="338" spans="1:12" x14ac:dyDescent="0.25">
      <c r="A338" t="str">
        <f t="shared" si="6"/>
        <v>TLVE</v>
      </c>
      <c r="C338" t="s">
        <v>411</v>
      </c>
      <c r="D338" t="s">
        <v>76</v>
      </c>
      <c r="E338" t="s">
        <v>66</v>
      </c>
      <c r="F338" t="s">
        <v>419</v>
      </c>
      <c r="G338" t="s">
        <v>37</v>
      </c>
      <c r="H338" t="s">
        <v>41</v>
      </c>
      <c r="J338">
        <v>0.1295762005894</v>
      </c>
      <c r="K338">
        <v>0.28424986883843201</v>
      </c>
      <c r="L338">
        <v>0.366758033911948</v>
      </c>
    </row>
    <row r="339" spans="1:12" x14ac:dyDescent="0.25">
      <c r="A339" t="str">
        <f t="shared" si="6"/>
        <v>TLVE</v>
      </c>
      <c r="C339" t="s">
        <v>411</v>
      </c>
      <c r="D339" t="s">
        <v>76</v>
      </c>
      <c r="E339" t="s">
        <v>66</v>
      </c>
      <c r="F339" t="s">
        <v>419</v>
      </c>
      <c r="G339" t="s">
        <v>38</v>
      </c>
      <c r="H339" t="s">
        <v>41</v>
      </c>
      <c r="J339">
        <v>0.33233023611997498</v>
      </c>
      <c r="K339">
        <v>0.66454990156079996</v>
      </c>
      <c r="L339">
        <v>0.80207877943983097</v>
      </c>
    </row>
    <row r="340" spans="1:12" x14ac:dyDescent="0.25">
      <c r="A340" t="str">
        <f t="shared" si="6"/>
        <v>TLCE</v>
      </c>
      <c r="C340" t="s">
        <v>411</v>
      </c>
      <c r="D340" t="s">
        <v>76</v>
      </c>
      <c r="E340" t="s">
        <v>27</v>
      </c>
      <c r="F340" t="s">
        <v>173</v>
      </c>
      <c r="G340" t="s">
        <v>30</v>
      </c>
      <c r="H340" t="s">
        <v>41</v>
      </c>
      <c r="J340">
        <v>6.4189128993576297E-3</v>
      </c>
      <c r="K340">
        <v>0.18098996154765701</v>
      </c>
      <c r="L340">
        <v>0.71602646773090295</v>
      </c>
    </row>
    <row r="341" spans="1:12" x14ac:dyDescent="0.25">
      <c r="A341" t="str">
        <f t="shared" si="6"/>
        <v>TLCE</v>
      </c>
      <c r="C341" t="s">
        <v>411</v>
      </c>
      <c r="D341" t="s">
        <v>76</v>
      </c>
      <c r="E341" t="s">
        <v>27</v>
      </c>
      <c r="F341" t="s">
        <v>173</v>
      </c>
      <c r="G341" t="s">
        <v>31</v>
      </c>
      <c r="H341" t="s">
        <v>41</v>
      </c>
      <c r="J341">
        <v>1.8484964531350099E-2</v>
      </c>
      <c r="K341">
        <v>0.50994021385521104</v>
      </c>
      <c r="L341">
        <v>2.0022179222455398</v>
      </c>
    </row>
    <row r="342" spans="1:12" x14ac:dyDescent="0.25">
      <c r="A342" t="str">
        <f t="shared" si="6"/>
        <v>TLCE</v>
      </c>
      <c r="C342" t="s">
        <v>411</v>
      </c>
      <c r="D342" t="s">
        <v>76</v>
      </c>
      <c r="E342" t="s">
        <v>27</v>
      </c>
      <c r="F342" t="s">
        <v>173</v>
      </c>
      <c r="G342" t="s">
        <v>32</v>
      </c>
      <c r="H342" t="s">
        <v>41</v>
      </c>
      <c r="J342">
        <v>2.07448556623708E-2</v>
      </c>
      <c r="K342">
        <v>0.55749154927649902</v>
      </c>
      <c r="L342">
        <v>2.1906541986882702</v>
      </c>
    </row>
    <row r="343" spans="1:12" x14ac:dyDescent="0.25">
      <c r="A343" t="str">
        <f t="shared" si="6"/>
        <v>TLCE</v>
      </c>
      <c r="C343" t="s">
        <v>411</v>
      </c>
      <c r="D343" t="s">
        <v>76</v>
      </c>
      <c r="E343" t="s">
        <v>27</v>
      </c>
      <c r="F343" t="s">
        <v>173</v>
      </c>
      <c r="G343" t="s">
        <v>33</v>
      </c>
      <c r="H343" t="s">
        <v>41</v>
      </c>
      <c r="J343">
        <v>9.0897159429383905E-3</v>
      </c>
      <c r="K343">
        <v>0.261319309461789</v>
      </c>
      <c r="L343">
        <v>1.0458292348526701</v>
      </c>
    </row>
    <row r="344" spans="1:12" x14ac:dyDescent="0.25">
      <c r="A344" t="str">
        <f t="shared" si="6"/>
        <v>TLCE</v>
      </c>
      <c r="C344" t="s">
        <v>411</v>
      </c>
      <c r="D344" t="s">
        <v>76</v>
      </c>
      <c r="E344" t="s">
        <v>27</v>
      </c>
      <c r="F344" t="s">
        <v>173</v>
      </c>
      <c r="G344" t="s">
        <v>34</v>
      </c>
      <c r="H344" t="s">
        <v>41</v>
      </c>
      <c r="J344">
        <v>2.7374287957831499E-2</v>
      </c>
      <c r="K344">
        <v>0.75540333639514901</v>
      </c>
      <c r="L344">
        <v>3.1088206854559499</v>
      </c>
    </row>
    <row r="345" spans="1:12" x14ac:dyDescent="0.25">
      <c r="A345" t="str">
        <f t="shared" si="6"/>
        <v>TLCE</v>
      </c>
      <c r="C345" t="s">
        <v>411</v>
      </c>
      <c r="D345" t="s">
        <v>76</v>
      </c>
      <c r="E345" t="s">
        <v>27</v>
      </c>
      <c r="F345" t="s">
        <v>173</v>
      </c>
      <c r="G345" t="s">
        <v>35</v>
      </c>
      <c r="H345" t="s">
        <v>41</v>
      </c>
      <c r="J345">
        <v>7.8308640602280394E-3</v>
      </c>
      <c r="K345">
        <v>0.22447468617425201</v>
      </c>
      <c r="L345">
        <v>0.89646630162273999</v>
      </c>
    </row>
    <row r="346" spans="1:12" x14ac:dyDescent="0.25">
      <c r="A346" t="str">
        <f t="shared" si="6"/>
        <v>TLCE</v>
      </c>
      <c r="C346" t="s">
        <v>411</v>
      </c>
      <c r="D346" t="s">
        <v>76</v>
      </c>
      <c r="E346" t="s">
        <v>27</v>
      </c>
      <c r="F346" t="s">
        <v>173</v>
      </c>
      <c r="G346" t="s">
        <v>36</v>
      </c>
      <c r="H346" t="s">
        <v>41</v>
      </c>
      <c r="J346">
        <v>1.6916418915428302E-2</v>
      </c>
      <c r="K346">
        <v>0.47920491942268301</v>
      </c>
      <c r="L346">
        <v>1.9912481887709499</v>
      </c>
    </row>
    <row r="347" spans="1:12" x14ac:dyDescent="0.25">
      <c r="A347" t="str">
        <f t="shared" si="6"/>
        <v>TLCE</v>
      </c>
      <c r="C347" t="s">
        <v>411</v>
      </c>
      <c r="D347" t="s">
        <v>76</v>
      </c>
      <c r="E347" t="s">
        <v>27</v>
      </c>
      <c r="F347" t="s">
        <v>173</v>
      </c>
      <c r="G347" t="s">
        <v>37</v>
      </c>
      <c r="H347" t="s">
        <v>41</v>
      </c>
      <c r="J347">
        <v>1.03663541221486E-2</v>
      </c>
      <c r="K347">
        <v>0.28455623193537699</v>
      </c>
      <c r="L347">
        <v>1.1894902976794099</v>
      </c>
    </row>
    <row r="348" spans="1:12" x14ac:dyDescent="0.25">
      <c r="A348" t="str">
        <f t="shared" si="6"/>
        <v>TLCE</v>
      </c>
      <c r="C348" t="s">
        <v>411</v>
      </c>
      <c r="D348" t="s">
        <v>76</v>
      </c>
      <c r="E348" t="s">
        <v>27</v>
      </c>
      <c r="F348" t="s">
        <v>173</v>
      </c>
      <c r="G348" t="s">
        <v>38</v>
      </c>
      <c r="H348" t="s">
        <v>41</v>
      </c>
      <c r="J348">
        <v>2.1631957364984099E-2</v>
      </c>
      <c r="K348">
        <v>0.62318813890747604</v>
      </c>
      <c r="L348">
        <v>2.5464522088833799</v>
      </c>
    </row>
    <row r="349" spans="1:12" x14ac:dyDescent="0.25">
      <c r="A349" t="str">
        <f t="shared" si="6"/>
        <v>TLCP</v>
      </c>
      <c r="C349" t="s">
        <v>411</v>
      </c>
      <c r="D349" t="s">
        <v>76</v>
      </c>
      <c r="E349" t="s">
        <v>27</v>
      </c>
      <c r="F349" t="s">
        <v>174</v>
      </c>
      <c r="G349" t="s">
        <v>30</v>
      </c>
      <c r="H349" t="s">
        <v>41</v>
      </c>
      <c r="K349">
        <v>0.15876385800213</v>
      </c>
      <c r="L349">
        <v>0.42300432042352698</v>
      </c>
    </row>
    <row r="350" spans="1:12" x14ac:dyDescent="0.25">
      <c r="A350" t="str">
        <f t="shared" si="6"/>
        <v>TLCP</v>
      </c>
      <c r="C350" t="s">
        <v>411</v>
      </c>
      <c r="D350" t="s">
        <v>76</v>
      </c>
      <c r="E350" t="s">
        <v>27</v>
      </c>
      <c r="F350" t="s">
        <v>174</v>
      </c>
      <c r="G350" t="s">
        <v>31</v>
      </c>
      <c r="H350" t="s">
        <v>41</v>
      </c>
      <c r="L350">
        <v>0.73558814215242896</v>
      </c>
    </row>
    <row r="351" spans="1:12" x14ac:dyDescent="0.25">
      <c r="A351" t="str">
        <f t="shared" si="6"/>
        <v>TLCP</v>
      </c>
      <c r="C351" t="s">
        <v>411</v>
      </c>
      <c r="D351" t="s">
        <v>76</v>
      </c>
      <c r="E351" t="s">
        <v>27</v>
      </c>
      <c r="F351" t="s">
        <v>174</v>
      </c>
      <c r="G351" t="s">
        <v>32</v>
      </c>
      <c r="H351" t="s">
        <v>41</v>
      </c>
      <c r="L351">
        <v>0.80530843625630699</v>
      </c>
    </row>
    <row r="352" spans="1:12" x14ac:dyDescent="0.25">
      <c r="A352" t="str">
        <f t="shared" si="6"/>
        <v>TLCP</v>
      </c>
      <c r="C352" t="s">
        <v>411</v>
      </c>
      <c r="D352" t="s">
        <v>76</v>
      </c>
      <c r="E352" t="s">
        <v>27</v>
      </c>
      <c r="F352" t="s">
        <v>174</v>
      </c>
      <c r="G352" t="s">
        <v>33</v>
      </c>
      <c r="H352" t="s">
        <v>41</v>
      </c>
      <c r="L352">
        <v>0.38865546879830498</v>
      </c>
    </row>
    <row r="353" spans="1:12" x14ac:dyDescent="0.25">
      <c r="A353" t="str">
        <f t="shared" si="6"/>
        <v>TLCP</v>
      </c>
      <c r="C353" t="s">
        <v>411</v>
      </c>
      <c r="D353" t="s">
        <v>76</v>
      </c>
      <c r="E353" t="s">
        <v>27</v>
      </c>
      <c r="F353" t="s">
        <v>174</v>
      </c>
      <c r="G353" t="s">
        <v>34</v>
      </c>
      <c r="H353" t="s">
        <v>41</v>
      </c>
      <c r="L353">
        <v>1.17432706784801</v>
      </c>
    </row>
    <row r="354" spans="1:12" x14ac:dyDescent="0.25">
      <c r="A354" t="str">
        <f t="shared" si="6"/>
        <v>TLCP</v>
      </c>
      <c r="C354" t="s">
        <v>411</v>
      </c>
      <c r="D354" t="s">
        <v>76</v>
      </c>
      <c r="E354" t="s">
        <v>27</v>
      </c>
      <c r="F354" t="s">
        <v>174</v>
      </c>
      <c r="G354" t="s">
        <v>35</v>
      </c>
      <c r="H354" t="s">
        <v>41</v>
      </c>
      <c r="L354">
        <v>0.33274444562284</v>
      </c>
    </row>
    <row r="355" spans="1:12" x14ac:dyDescent="0.25">
      <c r="A355" t="str">
        <f t="shared" si="6"/>
        <v>TLCP</v>
      </c>
      <c r="C355" t="s">
        <v>411</v>
      </c>
      <c r="D355" t="s">
        <v>76</v>
      </c>
      <c r="E355" t="s">
        <v>27</v>
      </c>
      <c r="F355" t="s">
        <v>174</v>
      </c>
      <c r="G355" t="s">
        <v>36</v>
      </c>
      <c r="H355" t="s">
        <v>41</v>
      </c>
      <c r="L355">
        <v>0.75617223725825999</v>
      </c>
    </row>
    <row r="356" spans="1:12" x14ac:dyDescent="0.25">
      <c r="A356" t="str">
        <f t="shared" si="6"/>
        <v>TLCP</v>
      </c>
      <c r="C356" t="s">
        <v>411</v>
      </c>
      <c r="D356" t="s">
        <v>76</v>
      </c>
      <c r="E356" t="s">
        <v>27</v>
      </c>
      <c r="F356" t="s">
        <v>174</v>
      </c>
      <c r="G356" t="s">
        <v>37</v>
      </c>
      <c r="H356" t="s">
        <v>41</v>
      </c>
      <c r="L356">
        <v>0.453155058303784</v>
      </c>
    </row>
    <row r="357" spans="1:12" x14ac:dyDescent="0.25">
      <c r="A357" t="str">
        <f t="shared" si="6"/>
        <v>TLCP</v>
      </c>
      <c r="C357" t="s">
        <v>411</v>
      </c>
      <c r="D357" t="s">
        <v>76</v>
      </c>
      <c r="E357" t="s">
        <v>27</v>
      </c>
      <c r="F357" t="s">
        <v>174</v>
      </c>
      <c r="G357" t="s">
        <v>38</v>
      </c>
      <c r="H357" t="s">
        <v>41</v>
      </c>
      <c r="L357">
        <v>0.95790046453057098</v>
      </c>
    </row>
    <row r="358" spans="1:12" x14ac:dyDescent="0.25">
      <c r="A358" t="str">
        <f t="shared" si="6"/>
        <v>TLCP</v>
      </c>
      <c r="C358" t="s">
        <v>411</v>
      </c>
      <c r="D358" t="s">
        <v>76</v>
      </c>
      <c r="E358" t="s">
        <v>27</v>
      </c>
      <c r="F358" t="s">
        <v>175</v>
      </c>
      <c r="G358" t="s">
        <v>31</v>
      </c>
      <c r="H358" t="s">
        <v>41</v>
      </c>
      <c r="K358">
        <v>0.44714662974279701</v>
      </c>
      <c r="L358">
        <v>0.44714662974279701</v>
      </c>
    </row>
    <row r="359" spans="1:12" x14ac:dyDescent="0.25">
      <c r="A359" t="str">
        <f t="shared" si="6"/>
        <v>TLCP</v>
      </c>
      <c r="C359" t="s">
        <v>411</v>
      </c>
      <c r="D359" t="s">
        <v>76</v>
      </c>
      <c r="E359" t="s">
        <v>27</v>
      </c>
      <c r="F359" t="s">
        <v>175</v>
      </c>
      <c r="G359" t="s">
        <v>32</v>
      </c>
      <c r="H359" t="s">
        <v>41</v>
      </c>
      <c r="K359">
        <v>0.48888597371464598</v>
      </c>
      <c r="L359">
        <v>0.48888597371464598</v>
      </c>
    </row>
    <row r="360" spans="1:12" x14ac:dyDescent="0.25">
      <c r="A360" t="str">
        <f t="shared" si="6"/>
        <v>TLCP</v>
      </c>
      <c r="C360" t="s">
        <v>411</v>
      </c>
      <c r="D360" t="s">
        <v>76</v>
      </c>
      <c r="E360" t="s">
        <v>27</v>
      </c>
      <c r="F360" t="s">
        <v>175</v>
      </c>
      <c r="G360" t="s">
        <v>33</v>
      </c>
      <c r="H360" t="s">
        <v>41</v>
      </c>
      <c r="K360">
        <v>0.22924012428914001</v>
      </c>
      <c r="L360">
        <v>0.22924012428914001</v>
      </c>
    </row>
    <row r="361" spans="1:12" x14ac:dyDescent="0.25">
      <c r="A361" t="str">
        <f t="shared" si="6"/>
        <v>TLCP</v>
      </c>
      <c r="C361" t="s">
        <v>411</v>
      </c>
      <c r="D361" t="s">
        <v>76</v>
      </c>
      <c r="E361" t="s">
        <v>27</v>
      </c>
      <c r="F361" t="s">
        <v>175</v>
      </c>
      <c r="G361" t="s">
        <v>34</v>
      </c>
      <c r="H361" t="s">
        <v>41</v>
      </c>
      <c r="K361">
        <v>0.66234400584997299</v>
      </c>
      <c r="L361">
        <v>0.66234400584997299</v>
      </c>
    </row>
    <row r="362" spans="1:12" x14ac:dyDescent="0.25">
      <c r="A362" t="str">
        <f t="shared" si="6"/>
        <v>TLCP</v>
      </c>
      <c r="C362" t="s">
        <v>411</v>
      </c>
      <c r="D362" t="s">
        <v>76</v>
      </c>
      <c r="E362" t="s">
        <v>27</v>
      </c>
      <c r="F362" t="s">
        <v>175</v>
      </c>
      <c r="G362" t="s">
        <v>35</v>
      </c>
      <c r="H362" t="s">
        <v>41</v>
      </c>
      <c r="K362">
        <v>0.19694099472394599</v>
      </c>
      <c r="L362">
        <v>0.19694099472394599</v>
      </c>
    </row>
    <row r="363" spans="1:12" x14ac:dyDescent="0.25">
      <c r="A363" t="str">
        <f t="shared" si="6"/>
        <v>TLCP</v>
      </c>
      <c r="C363" t="s">
        <v>411</v>
      </c>
      <c r="D363" t="s">
        <v>76</v>
      </c>
      <c r="E363" t="s">
        <v>27</v>
      </c>
      <c r="F363" t="s">
        <v>175</v>
      </c>
      <c r="G363" t="s">
        <v>36</v>
      </c>
      <c r="H363" t="s">
        <v>41</v>
      </c>
      <c r="K363">
        <v>0.420214282435248</v>
      </c>
      <c r="L363">
        <v>0.420214282435248</v>
      </c>
    </row>
    <row r="364" spans="1:12" x14ac:dyDescent="0.25">
      <c r="A364" t="str">
        <f t="shared" si="6"/>
        <v>TLCP</v>
      </c>
      <c r="C364" t="s">
        <v>411</v>
      </c>
      <c r="D364" t="s">
        <v>76</v>
      </c>
      <c r="E364" t="s">
        <v>27</v>
      </c>
      <c r="F364" t="s">
        <v>175</v>
      </c>
      <c r="G364" t="s">
        <v>37</v>
      </c>
      <c r="H364" t="s">
        <v>41</v>
      </c>
      <c r="K364">
        <v>0.24959649237817</v>
      </c>
      <c r="L364">
        <v>0.24959649237817</v>
      </c>
    </row>
    <row r="365" spans="1:12" x14ac:dyDescent="0.25">
      <c r="A365" t="str">
        <f t="shared" si="6"/>
        <v>TLCP</v>
      </c>
      <c r="C365" t="s">
        <v>411</v>
      </c>
      <c r="D365" t="s">
        <v>76</v>
      </c>
      <c r="E365" t="s">
        <v>27</v>
      </c>
      <c r="F365" t="s">
        <v>175</v>
      </c>
      <c r="G365" t="s">
        <v>38</v>
      </c>
      <c r="H365" t="s">
        <v>41</v>
      </c>
      <c r="K365">
        <v>0.54685708694684498</v>
      </c>
      <c r="L365">
        <v>0.54685708694684498</v>
      </c>
    </row>
    <row r="366" spans="1:12" x14ac:dyDescent="0.25">
      <c r="A366" t="str">
        <f t="shared" si="6"/>
        <v>TLEC</v>
      </c>
      <c r="C366" t="s">
        <v>411</v>
      </c>
      <c r="D366" t="s">
        <v>76</v>
      </c>
      <c r="E366" t="s">
        <v>27</v>
      </c>
      <c r="F366" t="s">
        <v>176</v>
      </c>
      <c r="G366" t="s">
        <v>30</v>
      </c>
      <c r="H366" t="s">
        <v>41</v>
      </c>
      <c r="I366">
        <v>4.43717601220098E-3</v>
      </c>
      <c r="J366">
        <v>4.0770207075815201E-3</v>
      </c>
      <c r="K366">
        <v>1.0865168747799E-3</v>
      </c>
      <c r="L366">
        <v>2.4642670989802302E-4</v>
      </c>
    </row>
    <row r="367" spans="1:12" x14ac:dyDescent="0.25">
      <c r="A367" t="str">
        <f t="shared" si="6"/>
        <v>TLEC</v>
      </c>
      <c r="C367" t="s">
        <v>411</v>
      </c>
      <c r="D367" t="s">
        <v>76</v>
      </c>
      <c r="E367" t="s">
        <v>27</v>
      </c>
      <c r="F367" t="s">
        <v>176</v>
      </c>
      <c r="G367" t="s">
        <v>31</v>
      </c>
      <c r="H367" t="s">
        <v>41</v>
      </c>
      <c r="I367">
        <v>1.2293793848031901E-2</v>
      </c>
      <c r="J367">
        <v>1.1278574633840899E-2</v>
      </c>
      <c r="K367">
        <v>2.8646820861380601E-3</v>
      </c>
      <c r="L367">
        <v>5.6608191067873302E-4</v>
      </c>
    </row>
    <row r="368" spans="1:12" x14ac:dyDescent="0.25">
      <c r="A368" t="str">
        <f t="shared" si="6"/>
        <v>TLEC</v>
      </c>
      <c r="C368" t="s">
        <v>411</v>
      </c>
      <c r="D368" t="s">
        <v>76</v>
      </c>
      <c r="E368" t="s">
        <v>27</v>
      </c>
      <c r="F368" t="s">
        <v>176</v>
      </c>
      <c r="G368" t="s">
        <v>32</v>
      </c>
      <c r="H368" t="s">
        <v>41</v>
      </c>
      <c r="I368">
        <v>1.3340288450433099E-2</v>
      </c>
      <c r="J368">
        <v>1.22060408934721E-2</v>
      </c>
      <c r="K368">
        <v>3.1816263708967299E-3</v>
      </c>
      <c r="L368">
        <v>7.8996023887134299E-4</v>
      </c>
    </row>
    <row r="369" spans="1:12" x14ac:dyDescent="0.25">
      <c r="A369" t="str">
        <f t="shared" si="6"/>
        <v>TLEC</v>
      </c>
      <c r="C369" t="s">
        <v>411</v>
      </c>
      <c r="D369" t="s">
        <v>76</v>
      </c>
      <c r="E369" t="s">
        <v>27</v>
      </c>
      <c r="F369" t="s">
        <v>176</v>
      </c>
      <c r="G369" t="s">
        <v>33</v>
      </c>
      <c r="H369" t="s">
        <v>41</v>
      </c>
      <c r="I369">
        <v>6.4057393350033702E-3</v>
      </c>
      <c r="J369">
        <v>5.8676419743288804E-3</v>
      </c>
      <c r="K369">
        <v>1.5820527810475301E-3</v>
      </c>
      <c r="L369">
        <v>4.2419671641940102E-4</v>
      </c>
    </row>
    <row r="370" spans="1:12" x14ac:dyDescent="0.25">
      <c r="A370" t="str">
        <f t="shared" si="6"/>
        <v>TLEC</v>
      </c>
      <c r="C370" t="s">
        <v>411</v>
      </c>
      <c r="D370" t="s">
        <v>76</v>
      </c>
      <c r="E370" t="s">
        <v>27</v>
      </c>
      <c r="F370" t="s">
        <v>176</v>
      </c>
      <c r="G370" t="s">
        <v>34</v>
      </c>
      <c r="H370" t="s">
        <v>41</v>
      </c>
      <c r="I370">
        <v>1.6774166056162901E-2</v>
      </c>
      <c r="J370">
        <v>1.5411351233306499E-2</v>
      </c>
      <c r="K370">
        <v>4.1981598582013597E-3</v>
      </c>
      <c r="L370">
        <v>1.1656698490618901E-3</v>
      </c>
    </row>
    <row r="371" spans="1:12" x14ac:dyDescent="0.25">
      <c r="A371" t="str">
        <f t="shared" si="6"/>
        <v>TLEC</v>
      </c>
      <c r="C371" t="s">
        <v>411</v>
      </c>
      <c r="D371" t="s">
        <v>76</v>
      </c>
      <c r="E371" t="s">
        <v>27</v>
      </c>
      <c r="F371" t="s">
        <v>176</v>
      </c>
      <c r="G371" t="s">
        <v>35</v>
      </c>
      <c r="H371" t="s">
        <v>41</v>
      </c>
      <c r="I371">
        <v>5.5986109201842096E-3</v>
      </c>
      <c r="J371">
        <v>5.1140451055513804E-3</v>
      </c>
      <c r="K371">
        <v>1.38479612597447E-3</v>
      </c>
      <c r="L371">
        <v>4.0645150268197298E-4</v>
      </c>
    </row>
    <row r="372" spans="1:12" x14ac:dyDescent="0.25">
      <c r="A372" t="str">
        <f t="shared" si="6"/>
        <v>TLEC</v>
      </c>
      <c r="C372" t="s">
        <v>411</v>
      </c>
      <c r="D372" t="s">
        <v>76</v>
      </c>
      <c r="E372" t="s">
        <v>27</v>
      </c>
      <c r="F372" t="s">
        <v>176</v>
      </c>
      <c r="G372" t="s">
        <v>36</v>
      </c>
      <c r="H372" t="s">
        <v>41</v>
      </c>
      <c r="I372">
        <v>1.0848143461999299E-2</v>
      </c>
      <c r="J372">
        <v>9.9478819596717297E-3</v>
      </c>
      <c r="K372">
        <v>2.7129281997555002E-3</v>
      </c>
      <c r="L372">
        <v>7.1437398787939496E-4</v>
      </c>
    </row>
    <row r="373" spans="1:12" x14ac:dyDescent="0.25">
      <c r="A373" t="str">
        <f t="shared" si="6"/>
        <v>TLEC</v>
      </c>
      <c r="C373" t="s">
        <v>411</v>
      </c>
      <c r="D373" t="s">
        <v>76</v>
      </c>
      <c r="E373" t="s">
        <v>27</v>
      </c>
      <c r="F373" t="s">
        <v>176</v>
      </c>
      <c r="G373" t="s">
        <v>37</v>
      </c>
      <c r="H373" t="s">
        <v>41</v>
      </c>
      <c r="I373">
        <v>6.5187079320355897E-3</v>
      </c>
      <c r="J373">
        <v>5.9853162302942802E-3</v>
      </c>
      <c r="K373">
        <v>1.6905935744936499E-3</v>
      </c>
      <c r="L373">
        <v>4.5618570207021101E-4</v>
      </c>
    </row>
    <row r="374" spans="1:12" x14ac:dyDescent="0.25">
      <c r="A374" t="str">
        <f t="shared" si="6"/>
        <v>TLEC</v>
      </c>
      <c r="C374" t="s">
        <v>411</v>
      </c>
      <c r="D374" t="s">
        <v>76</v>
      </c>
      <c r="E374" t="s">
        <v>27</v>
      </c>
      <c r="F374" t="s">
        <v>176</v>
      </c>
      <c r="G374" t="s">
        <v>38</v>
      </c>
      <c r="H374" t="s">
        <v>41</v>
      </c>
      <c r="I374">
        <v>1.47441407648048E-2</v>
      </c>
      <c r="J374">
        <v>1.3577460128545099E-2</v>
      </c>
      <c r="K374">
        <v>3.9685316635910397E-3</v>
      </c>
      <c r="L374">
        <v>1.32990176262207E-3</v>
      </c>
    </row>
    <row r="375" spans="1:12" x14ac:dyDescent="0.25">
      <c r="A375" t="str">
        <f t="shared" si="6"/>
        <v>TLES</v>
      </c>
      <c r="C375" t="s">
        <v>411</v>
      </c>
      <c r="D375" t="s">
        <v>76</v>
      </c>
      <c r="E375" t="s">
        <v>27</v>
      </c>
      <c r="F375" t="s">
        <v>177</v>
      </c>
      <c r="G375" t="s">
        <v>30</v>
      </c>
      <c r="H375" t="s">
        <v>41</v>
      </c>
      <c r="I375">
        <v>2.1284667656043198E-3</v>
      </c>
      <c r="J375">
        <v>1.9557040457503501E-3</v>
      </c>
      <c r="L375">
        <v>1.18208306529401E-4</v>
      </c>
    </row>
    <row r="376" spans="1:12" x14ac:dyDescent="0.25">
      <c r="A376" t="str">
        <f t="shared" si="6"/>
        <v>TLES</v>
      </c>
      <c r="C376" t="s">
        <v>411</v>
      </c>
      <c r="D376" t="s">
        <v>76</v>
      </c>
      <c r="E376" t="s">
        <v>27</v>
      </c>
      <c r="F376" t="s">
        <v>177</v>
      </c>
      <c r="G376" t="s">
        <v>31</v>
      </c>
      <c r="H376" t="s">
        <v>41</v>
      </c>
      <c r="I376">
        <v>5.8723943587096596E-3</v>
      </c>
      <c r="J376">
        <v>5.3874531225083103E-3</v>
      </c>
      <c r="L376">
        <v>2.70401168258531E-4</v>
      </c>
    </row>
    <row r="377" spans="1:12" x14ac:dyDescent="0.25">
      <c r="A377" t="str">
        <f t="shared" si="6"/>
        <v>TLES</v>
      </c>
      <c r="C377" t="s">
        <v>411</v>
      </c>
      <c r="D377" t="s">
        <v>76</v>
      </c>
      <c r="E377" t="s">
        <v>27</v>
      </c>
      <c r="F377" t="s">
        <v>177</v>
      </c>
      <c r="G377" t="s">
        <v>32</v>
      </c>
      <c r="H377" t="s">
        <v>41</v>
      </c>
      <c r="I377">
        <v>6.3481726838094804E-3</v>
      </c>
      <c r="J377">
        <v>5.8084242829760597E-3</v>
      </c>
      <c r="L377">
        <v>3.7591421117553499E-4</v>
      </c>
    </row>
    <row r="378" spans="1:12" x14ac:dyDescent="0.25">
      <c r="A378" t="str">
        <f t="shared" si="6"/>
        <v>TLES</v>
      </c>
      <c r="C378" t="s">
        <v>411</v>
      </c>
      <c r="D378" t="s">
        <v>76</v>
      </c>
      <c r="E378" t="s">
        <v>27</v>
      </c>
      <c r="F378" t="s">
        <v>177</v>
      </c>
      <c r="G378" t="s">
        <v>33</v>
      </c>
      <c r="H378" t="s">
        <v>41</v>
      </c>
      <c r="I378">
        <v>3.0409736150732998E-3</v>
      </c>
      <c r="J378">
        <v>2.7855245887274801E-3</v>
      </c>
      <c r="L378">
        <v>2.01377382807827E-4</v>
      </c>
    </row>
    <row r="379" spans="1:12" x14ac:dyDescent="0.25">
      <c r="A379" t="str">
        <f t="shared" si="6"/>
        <v>TLES</v>
      </c>
      <c r="C379" t="s">
        <v>411</v>
      </c>
      <c r="D379" t="s">
        <v>76</v>
      </c>
      <c r="E379" t="s">
        <v>27</v>
      </c>
      <c r="F379" t="s">
        <v>177</v>
      </c>
      <c r="G379" t="s">
        <v>34</v>
      </c>
      <c r="H379" t="s">
        <v>41</v>
      </c>
      <c r="I379">
        <v>8.0676258472522008E-3</v>
      </c>
      <c r="J379">
        <v>7.4121726907088398E-3</v>
      </c>
      <c r="L379">
        <v>5.60635215614736E-4</v>
      </c>
    </row>
    <row r="380" spans="1:12" x14ac:dyDescent="0.25">
      <c r="A380" t="str">
        <f t="shared" si="6"/>
        <v>TLES</v>
      </c>
      <c r="C380" t="s">
        <v>411</v>
      </c>
      <c r="D380" t="s">
        <v>76</v>
      </c>
      <c r="E380" t="s">
        <v>27</v>
      </c>
      <c r="F380" t="s">
        <v>177</v>
      </c>
      <c r="G380" t="s">
        <v>35</v>
      </c>
      <c r="H380" t="s">
        <v>41</v>
      </c>
      <c r="I380">
        <v>2.6339466004463102E-3</v>
      </c>
      <c r="J380">
        <v>2.4059756808127901E-3</v>
      </c>
      <c r="L380">
        <v>1.91220924082406E-4</v>
      </c>
    </row>
    <row r="381" spans="1:12" x14ac:dyDescent="0.25">
      <c r="A381" t="str">
        <f t="shared" si="6"/>
        <v>TLES</v>
      </c>
      <c r="C381" t="s">
        <v>411</v>
      </c>
      <c r="D381" t="s">
        <v>76</v>
      </c>
      <c r="E381" t="s">
        <v>27</v>
      </c>
      <c r="F381" t="s">
        <v>177</v>
      </c>
      <c r="G381" t="s">
        <v>36</v>
      </c>
      <c r="H381" t="s">
        <v>41</v>
      </c>
      <c r="I381">
        <v>5.17185423072891E-3</v>
      </c>
      <c r="J381">
        <v>4.7426544071936597E-3</v>
      </c>
      <c r="L381">
        <v>3.40577919574804E-4</v>
      </c>
    </row>
    <row r="382" spans="1:12" x14ac:dyDescent="0.25">
      <c r="A382" t="str">
        <f t="shared" si="6"/>
        <v>TLES</v>
      </c>
      <c r="C382" t="s">
        <v>411</v>
      </c>
      <c r="D382" t="s">
        <v>76</v>
      </c>
      <c r="E382" t="s">
        <v>27</v>
      </c>
      <c r="F382" t="s">
        <v>177</v>
      </c>
      <c r="G382" t="s">
        <v>37</v>
      </c>
      <c r="H382" t="s">
        <v>41</v>
      </c>
      <c r="I382">
        <v>3.12323417631938E-3</v>
      </c>
      <c r="J382">
        <v>2.8676762943568102E-3</v>
      </c>
      <c r="L382">
        <v>2.1856705198464399E-4</v>
      </c>
    </row>
    <row r="383" spans="1:12" x14ac:dyDescent="0.25">
      <c r="A383" t="str">
        <f t="shared" si="6"/>
        <v>TLES</v>
      </c>
      <c r="C383" t="s">
        <v>411</v>
      </c>
      <c r="D383" t="s">
        <v>76</v>
      </c>
      <c r="E383" t="s">
        <v>27</v>
      </c>
      <c r="F383" t="s">
        <v>177</v>
      </c>
      <c r="G383" t="s">
        <v>38</v>
      </c>
      <c r="H383" t="s">
        <v>41</v>
      </c>
      <c r="I383">
        <v>7.1310570065937998E-3</v>
      </c>
      <c r="J383">
        <v>6.5667876972884702E-3</v>
      </c>
      <c r="L383">
        <v>6.4321179739856697E-4</v>
      </c>
    </row>
    <row r="384" spans="1:12" x14ac:dyDescent="0.25">
      <c r="A384" t="str">
        <f t="shared" si="6"/>
        <v>TLFE</v>
      </c>
      <c r="C384" t="s">
        <v>411</v>
      </c>
      <c r="D384" t="s">
        <v>76</v>
      </c>
      <c r="E384" t="s">
        <v>27</v>
      </c>
      <c r="F384" t="s">
        <v>178</v>
      </c>
      <c r="G384" t="s">
        <v>31</v>
      </c>
      <c r="H384" t="s">
        <v>41</v>
      </c>
    </row>
    <row r="385" spans="1:8" x14ac:dyDescent="0.25">
      <c r="A385" t="str">
        <f t="shared" si="6"/>
        <v>TLFE</v>
      </c>
      <c r="C385" t="s">
        <v>411</v>
      </c>
      <c r="D385" t="s">
        <v>76</v>
      </c>
      <c r="E385" t="s">
        <v>27</v>
      </c>
      <c r="F385" t="s">
        <v>178</v>
      </c>
      <c r="G385" t="s">
        <v>32</v>
      </c>
      <c r="H385" t="s">
        <v>41</v>
      </c>
    </row>
    <row r="386" spans="1:8" x14ac:dyDescent="0.25">
      <c r="A386" t="str">
        <f t="shared" si="6"/>
        <v>TLFE</v>
      </c>
      <c r="C386" t="s">
        <v>411</v>
      </c>
      <c r="D386" t="s">
        <v>76</v>
      </c>
      <c r="E386" t="s">
        <v>27</v>
      </c>
      <c r="F386" t="s">
        <v>178</v>
      </c>
      <c r="G386" t="s">
        <v>33</v>
      </c>
      <c r="H386" t="s">
        <v>41</v>
      </c>
    </row>
    <row r="387" spans="1:8" x14ac:dyDescent="0.25">
      <c r="A387" t="str">
        <f t="shared" si="6"/>
        <v>TLFE</v>
      </c>
      <c r="C387" t="s">
        <v>411</v>
      </c>
      <c r="D387" t="s">
        <v>76</v>
      </c>
      <c r="E387" t="s">
        <v>27</v>
      </c>
      <c r="F387" t="s">
        <v>178</v>
      </c>
      <c r="G387" t="s">
        <v>34</v>
      </c>
      <c r="H387" t="s">
        <v>41</v>
      </c>
    </row>
    <row r="388" spans="1:8" x14ac:dyDescent="0.25">
      <c r="A388" t="str">
        <f t="shared" si="6"/>
        <v>TLFE</v>
      </c>
      <c r="C388" t="s">
        <v>411</v>
      </c>
      <c r="D388" t="s">
        <v>76</v>
      </c>
      <c r="E388" t="s">
        <v>27</v>
      </c>
      <c r="F388" t="s">
        <v>178</v>
      </c>
      <c r="G388" t="s">
        <v>35</v>
      </c>
      <c r="H388" t="s">
        <v>41</v>
      </c>
    </row>
    <row r="389" spans="1:8" x14ac:dyDescent="0.25">
      <c r="A389" t="str">
        <f t="shared" si="6"/>
        <v>TLFE</v>
      </c>
      <c r="C389" t="s">
        <v>411</v>
      </c>
      <c r="D389" t="s">
        <v>76</v>
      </c>
      <c r="E389" t="s">
        <v>27</v>
      </c>
      <c r="F389" t="s">
        <v>178</v>
      </c>
      <c r="G389" t="s">
        <v>36</v>
      </c>
      <c r="H389" t="s">
        <v>41</v>
      </c>
    </row>
    <row r="390" spans="1:8" x14ac:dyDescent="0.25">
      <c r="A390" t="str">
        <f t="shared" si="6"/>
        <v>TLFE</v>
      </c>
      <c r="C390" t="s">
        <v>411</v>
      </c>
      <c r="D390" t="s">
        <v>76</v>
      </c>
      <c r="E390" t="s">
        <v>27</v>
      </c>
      <c r="F390" t="s">
        <v>178</v>
      </c>
      <c r="G390" t="s">
        <v>37</v>
      </c>
      <c r="H390" t="s">
        <v>41</v>
      </c>
    </row>
    <row r="391" spans="1:8" x14ac:dyDescent="0.25">
      <c r="A391" t="str">
        <f t="shared" si="6"/>
        <v>TLMC</v>
      </c>
      <c r="C391" t="s">
        <v>411</v>
      </c>
      <c r="D391" t="s">
        <v>76</v>
      </c>
      <c r="E391" t="s">
        <v>27</v>
      </c>
      <c r="F391" t="s">
        <v>420</v>
      </c>
      <c r="G391" t="s">
        <v>30</v>
      </c>
      <c r="H391" t="s">
        <v>41</v>
      </c>
    </row>
    <row r="392" spans="1:8" x14ac:dyDescent="0.25">
      <c r="A392" t="str">
        <f t="shared" si="6"/>
        <v>TLMC</v>
      </c>
      <c r="C392" t="s">
        <v>411</v>
      </c>
      <c r="D392" t="s">
        <v>76</v>
      </c>
      <c r="E392" t="s">
        <v>27</v>
      </c>
      <c r="F392" t="s">
        <v>420</v>
      </c>
      <c r="G392" t="s">
        <v>31</v>
      </c>
      <c r="H392" t="s">
        <v>41</v>
      </c>
    </row>
    <row r="393" spans="1:8" x14ac:dyDescent="0.25">
      <c r="A393" t="str">
        <f t="shared" ref="A393:A394" si="7">LEFT(F393,4)</f>
        <v>TLMC</v>
      </c>
      <c r="C393" t="s">
        <v>411</v>
      </c>
      <c r="D393" t="s">
        <v>76</v>
      </c>
      <c r="E393" t="s">
        <v>27</v>
      </c>
      <c r="F393" t="s">
        <v>420</v>
      </c>
      <c r="G393" t="s">
        <v>32</v>
      </c>
      <c r="H393" t="s">
        <v>41</v>
      </c>
    </row>
    <row r="394" spans="1:8" x14ac:dyDescent="0.25">
      <c r="A394" t="str">
        <f t="shared" si="7"/>
        <v>TLMC</v>
      </c>
      <c r="C394" t="s">
        <v>411</v>
      </c>
      <c r="D394" t="s">
        <v>76</v>
      </c>
      <c r="E394" t="s">
        <v>27</v>
      </c>
      <c r="F394" t="s">
        <v>420</v>
      </c>
      <c r="G394" t="s">
        <v>33</v>
      </c>
      <c r="H394" t="s">
        <v>41</v>
      </c>
    </row>
    <row r="395" spans="1:8" x14ac:dyDescent="0.25">
      <c r="A395" t="str">
        <f t="shared" ref="A395:A458" si="8">LEFT(F395,3)</f>
        <v>TLM</v>
      </c>
      <c r="C395" s="55" t="s">
        <v>411</v>
      </c>
      <c r="D395" t="s">
        <v>76</v>
      </c>
      <c r="E395" t="s">
        <v>27</v>
      </c>
      <c r="F395" t="s">
        <v>420</v>
      </c>
      <c r="G395" t="s">
        <v>34</v>
      </c>
      <c r="H395" t="s">
        <v>41</v>
      </c>
    </row>
    <row r="396" spans="1:8" x14ac:dyDescent="0.25">
      <c r="A396" t="str">
        <f t="shared" si="8"/>
        <v>TLM</v>
      </c>
      <c r="C396" s="55" t="s">
        <v>411</v>
      </c>
      <c r="D396" t="s">
        <v>76</v>
      </c>
      <c r="E396" t="s">
        <v>27</v>
      </c>
      <c r="F396" t="s">
        <v>420</v>
      </c>
      <c r="G396" t="s">
        <v>35</v>
      </c>
      <c r="H396" t="s">
        <v>41</v>
      </c>
    </row>
    <row r="397" spans="1:8" x14ac:dyDescent="0.25">
      <c r="A397" t="str">
        <f t="shared" si="8"/>
        <v>TLM</v>
      </c>
      <c r="C397" s="55" t="s">
        <v>411</v>
      </c>
      <c r="D397" t="s">
        <v>76</v>
      </c>
      <c r="E397" t="s">
        <v>27</v>
      </c>
      <c r="F397" t="s">
        <v>420</v>
      </c>
      <c r="G397" t="s">
        <v>36</v>
      </c>
      <c r="H397" t="s">
        <v>41</v>
      </c>
    </row>
    <row r="398" spans="1:8" x14ac:dyDescent="0.25">
      <c r="A398" t="str">
        <f t="shared" si="8"/>
        <v>TLM</v>
      </c>
      <c r="C398" s="55" t="s">
        <v>411</v>
      </c>
      <c r="D398" t="s">
        <v>76</v>
      </c>
      <c r="E398" t="s">
        <v>27</v>
      </c>
      <c r="F398" t="s">
        <v>420</v>
      </c>
      <c r="G398" t="s">
        <v>37</v>
      </c>
      <c r="H398" t="s">
        <v>41</v>
      </c>
    </row>
    <row r="399" spans="1:8" x14ac:dyDescent="0.25">
      <c r="A399" t="str">
        <f t="shared" si="8"/>
        <v>TLM</v>
      </c>
      <c r="C399" s="55" t="s">
        <v>411</v>
      </c>
      <c r="D399" t="s">
        <v>76</v>
      </c>
      <c r="E399" t="s">
        <v>27</v>
      </c>
      <c r="F399" t="s">
        <v>420</v>
      </c>
      <c r="G399" t="s">
        <v>38</v>
      </c>
      <c r="H399" t="s">
        <v>41</v>
      </c>
    </row>
    <row r="400" spans="1:8" x14ac:dyDescent="0.25">
      <c r="A400" t="str">
        <f t="shared" si="8"/>
        <v>TLP</v>
      </c>
      <c r="C400" s="55" t="s">
        <v>411</v>
      </c>
      <c r="D400" t="s">
        <v>76</v>
      </c>
      <c r="E400" t="s">
        <v>27</v>
      </c>
      <c r="F400" t="s">
        <v>421</v>
      </c>
      <c r="G400" t="s">
        <v>30</v>
      </c>
      <c r="H400" t="s">
        <v>41</v>
      </c>
    </row>
    <row r="401" spans="1:8" x14ac:dyDescent="0.25">
      <c r="A401" t="str">
        <f t="shared" si="8"/>
        <v>TLP</v>
      </c>
      <c r="C401" s="55" t="s">
        <v>411</v>
      </c>
      <c r="D401" t="s">
        <v>76</v>
      </c>
      <c r="E401" t="s">
        <v>27</v>
      </c>
      <c r="F401" t="s">
        <v>421</v>
      </c>
      <c r="G401" t="s">
        <v>31</v>
      </c>
      <c r="H401" t="s">
        <v>41</v>
      </c>
    </row>
    <row r="402" spans="1:8" x14ac:dyDescent="0.25">
      <c r="A402" t="str">
        <f t="shared" si="8"/>
        <v>TLP</v>
      </c>
      <c r="C402" s="55" t="s">
        <v>411</v>
      </c>
      <c r="D402" t="s">
        <v>76</v>
      </c>
      <c r="E402" t="s">
        <v>27</v>
      </c>
      <c r="F402" t="s">
        <v>421</v>
      </c>
      <c r="G402" t="s">
        <v>33</v>
      </c>
      <c r="H402" t="s">
        <v>41</v>
      </c>
    </row>
    <row r="403" spans="1:8" x14ac:dyDescent="0.25">
      <c r="A403" t="str">
        <f t="shared" si="8"/>
        <v>TLP</v>
      </c>
      <c r="C403" s="55" t="s">
        <v>411</v>
      </c>
      <c r="D403" t="s">
        <v>76</v>
      </c>
      <c r="E403" t="s">
        <v>27</v>
      </c>
      <c r="F403" t="s">
        <v>421</v>
      </c>
      <c r="G403" t="s">
        <v>34</v>
      </c>
      <c r="H403" t="s">
        <v>41</v>
      </c>
    </row>
    <row r="404" spans="1:8" x14ac:dyDescent="0.25">
      <c r="A404" t="str">
        <f t="shared" si="8"/>
        <v>TLP</v>
      </c>
      <c r="C404" s="55" t="s">
        <v>411</v>
      </c>
      <c r="D404" t="s">
        <v>76</v>
      </c>
      <c r="E404" t="s">
        <v>27</v>
      </c>
      <c r="F404" t="s">
        <v>421</v>
      </c>
      <c r="G404" t="s">
        <v>35</v>
      </c>
      <c r="H404" t="s">
        <v>41</v>
      </c>
    </row>
    <row r="405" spans="1:8" x14ac:dyDescent="0.25">
      <c r="A405" t="str">
        <f t="shared" si="8"/>
        <v>TLP</v>
      </c>
      <c r="C405" s="55" t="s">
        <v>411</v>
      </c>
      <c r="D405" t="s">
        <v>76</v>
      </c>
      <c r="E405" t="s">
        <v>27</v>
      </c>
      <c r="F405" t="s">
        <v>421</v>
      </c>
      <c r="G405" t="s">
        <v>36</v>
      </c>
      <c r="H405" t="s">
        <v>41</v>
      </c>
    </row>
    <row r="406" spans="1:8" x14ac:dyDescent="0.25">
      <c r="A406" t="str">
        <f t="shared" si="8"/>
        <v>TLP</v>
      </c>
      <c r="C406" s="55" t="s">
        <v>411</v>
      </c>
      <c r="D406" t="s">
        <v>76</v>
      </c>
      <c r="E406" t="s">
        <v>27</v>
      </c>
      <c r="F406" t="s">
        <v>421</v>
      </c>
      <c r="G406" t="s">
        <v>37</v>
      </c>
      <c r="H406" t="s">
        <v>41</v>
      </c>
    </row>
    <row r="407" spans="1:8" x14ac:dyDescent="0.25">
      <c r="A407" t="str">
        <f t="shared" si="8"/>
        <v>TLT</v>
      </c>
      <c r="C407" s="55" t="s">
        <v>411</v>
      </c>
      <c r="D407" t="s">
        <v>76</v>
      </c>
      <c r="E407" t="s">
        <v>27</v>
      </c>
      <c r="F407" t="s">
        <v>179</v>
      </c>
      <c r="G407" t="s">
        <v>30</v>
      </c>
      <c r="H407" t="s">
        <v>41</v>
      </c>
    </row>
    <row r="408" spans="1:8" x14ac:dyDescent="0.25">
      <c r="A408" t="str">
        <f t="shared" si="8"/>
        <v>TLT</v>
      </c>
      <c r="C408" s="55" t="s">
        <v>411</v>
      </c>
      <c r="D408" t="s">
        <v>76</v>
      </c>
      <c r="E408" t="s">
        <v>27</v>
      </c>
      <c r="F408" t="s">
        <v>179</v>
      </c>
      <c r="G408" t="s">
        <v>31</v>
      </c>
      <c r="H408" t="s">
        <v>41</v>
      </c>
    </row>
    <row r="409" spans="1:8" x14ac:dyDescent="0.25">
      <c r="A409" t="str">
        <f t="shared" si="8"/>
        <v>TLT</v>
      </c>
      <c r="C409" s="55" t="s">
        <v>411</v>
      </c>
      <c r="D409" t="s">
        <v>76</v>
      </c>
      <c r="E409" t="s">
        <v>27</v>
      </c>
      <c r="F409" t="s">
        <v>179</v>
      </c>
      <c r="G409" t="s">
        <v>32</v>
      </c>
      <c r="H409" t="s">
        <v>41</v>
      </c>
    </row>
    <row r="410" spans="1:8" x14ac:dyDescent="0.25">
      <c r="A410" t="str">
        <f t="shared" si="8"/>
        <v>TLT</v>
      </c>
      <c r="C410" s="55" t="s">
        <v>411</v>
      </c>
      <c r="D410" t="s">
        <v>76</v>
      </c>
      <c r="E410" t="s">
        <v>27</v>
      </c>
      <c r="F410" t="s">
        <v>179</v>
      </c>
      <c r="G410" t="s">
        <v>33</v>
      </c>
      <c r="H410" t="s">
        <v>41</v>
      </c>
    </row>
    <row r="411" spans="1:8" x14ac:dyDescent="0.25">
      <c r="A411" t="str">
        <f t="shared" si="8"/>
        <v>TLT</v>
      </c>
      <c r="C411" s="55" t="s">
        <v>411</v>
      </c>
      <c r="D411" t="s">
        <v>76</v>
      </c>
      <c r="E411" t="s">
        <v>27</v>
      </c>
      <c r="F411" t="s">
        <v>179</v>
      </c>
      <c r="G411" t="s">
        <v>34</v>
      </c>
      <c r="H411" t="s">
        <v>41</v>
      </c>
    </row>
    <row r="412" spans="1:8" x14ac:dyDescent="0.25">
      <c r="A412" t="str">
        <f t="shared" si="8"/>
        <v>TLT</v>
      </c>
      <c r="C412" s="55" t="s">
        <v>411</v>
      </c>
      <c r="D412" t="s">
        <v>76</v>
      </c>
      <c r="E412" t="s">
        <v>27</v>
      </c>
      <c r="F412" t="s">
        <v>179</v>
      </c>
      <c r="G412" t="s">
        <v>35</v>
      </c>
      <c r="H412" t="s">
        <v>41</v>
      </c>
    </row>
    <row r="413" spans="1:8" x14ac:dyDescent="0.25">
      <c r="A413" t="str">
        <f t="shared" si="8"/>
        <v>TLT</v>
      </c>
      <c r="C413" s="55" t="s">
        <v>411</v>
      </c>
      <c r="D413" t="s">
        <v>76</v>
      </c>
      <c r="E413" t="s">
        <v>27</v>
      </c>
      <c r="F413" t="s">
        <v>179</v>
      </c>
      <c r="G413" t="s">
        <v>36</v>
      </c>
      <c r="H413" t="s">
        <v>41</v>
      </c>
    </row>
    <row r="414" spans="1:8" x14ac:dyDescent="0.25">
      <c r="A414" t="str">
        <f t="shared" si="8"/>
        <v>TLT</v>
      </c>
      <c r="C414" s="55" t="s">
        <v>411</v>
      </c>
      <c r="D414" t="s">
        <v>76</v>
      </c>
      <c r="E414" t="s">
        <v>27</v>
      </c>
      <c r="F414" t="s">
        <v>179</v>
      </c>
      <c r="G414" t="s">
        <v>37</v>
      </c>
      <c r="H414" t="s">
        <v>41</v>
      </c>
    </row>
    <row r="415" spans="1:8" x14ac:dyDescent="0.25">
      <c r="A415" t="str">
        <f t="shared" si="8"/>
        <v>TLT</v>
      </c>
      <c r="C415" s="55" t="s">
        <v>411</v>
      </c>
      <c r="D415" t="s">
        <v>76</v>
      </c>
      <c r="E415" t="s">
        <v>27</v>
      </c>
      <c r="F415" t="s">
        <v>179</v>
      </c>
      <c r="G415" t="s">
        <v>38</v>
      </c>
      <c r="H415" t="s">
        <v>41</v>
      </c>
    </row>
    <row r="416" spans="1:8" x14ac:dyDescent="0.25">
      <c r="A416" t="str">
        <f t="shared" si="8"/>
        <v>TLC</v>
      </c>
      <c r="C416" s="55" t="s">
        <v>411</v>
      </c>
      <c r="D416" t="s">
        <v>76</v>
      </c>
      <c r="E416" t="s">
        <v>69</v>
      </c>
      <c r="F416" t="s">
        <v>180</v>
      </c>
      <c r="G416" t="s">
        <v>30</v>
      </c>
      <c r="H416" t="s">
        <v>41</v>
      </c>
    </row>
    <row r="417" spans="1:8" x14ac:dyDescent="0.25">
      <c r="A417" t="str">
        <f t="shared" si="8"/>
        <v>TLC</v>
      </c>
      <c r="C417" s="55" t="s">
        <v>411</v>
      </c>
      <c r="D417" t="s">
        <v>76</v>
      </c>
      <c r="E417" t="s">
        <v>69</v>
      </c>
      <c r="F417" t="s">
        <v>180</v>
      </c>
      <c r="G417" t="s">
        <v>31</v>
      </c>
      <c r="H417" t="s">
        <v>41</v>
      </c>
    </row>
    <row r="418" spans="1:8" x14ac:dyDescent="0.25">
      <c r="A418" t="str">
        <f t="shared" si="8"/>
        <v>TLC</v>
      </c>
      <c r="C418" s="55" t="s">
        <v>411</v>
      </c>
      <c r="D418" t="s">
        <v>76</v>
      </c>
      <c r="E418" t="s">
        <v>69</v>
      </c>
      <c r="F418" t="s">
        <v>180</v>
      </c>
      <c r="G418" t="s">
        <v>32</v>
      </c>
      <c r="H418" t="s">
        <v>41</v>
      </c>
    </row>
    <row r="419" spans="1:8" x14ac:dyDescent="0.25">
      <c r="A419" t="str">
        <f t="shared" si="8"/>
        <v>TLC</v>
      </c>
      <c r="C419" s="55" t="s">
        <v>411</v>
      </c>
      <c r="D419" t="s">
        <v>76</v>
      </c>
      <c r="E419" t="s">
        <v>69</v>
      </c>
      <c r="F419" t="s">
        <v>180</v>
      </c>
      <c r="G419" t="s">
        <v>33</v>
      </c>
      <c r="H419" t="s">
        <v>41</v>
      </c>
    </row>
    <row r="420" spans="1:8" x14ac:dyDescent="0.25">
      <c r="A420" t="str">
        <f t="shared" si="8"/>
        <v>TLC</v>
      </c>
      <c r="C420" s="55" t="s">
        <v>411</v>
      </c>
      <c r="D420" t="s">
        <v>76</v>
      </c>
      <c r="E420" t="s">
        <v>69</v>
      </c>
      <c r="F420" t="s">
        <v>180</v>
      </c>
      <c r="G420" t="s">
        <v>34</v>
      </c>
      <c r="H420" t="s">
        <v>41</v>
      </c>
    </row>
    <row r="421" spans="1:8" x14ac:dyDescent="0.25">
      <c r="A421" t="str">
        <f t="shared" si="8"/>
        <v>TLC</v>
      </c>
      <c r="C421" s="55" t="s">
        <v>411</v>
      </c>
      <c r="D421" t="s">
        <v>76</v>
      </c>
      <c r="E421" t="s">
        <v>69</v>
      </c>
      <c r="F421" t="s">
        <v>180</v>
      </c>
      <c r="G421" t="s">
        <v>35</v>
      </c>
      <c r="H421" t="s">
        <v>41</v>
      </c>
    </row>
    <row r="422" spans="1:8" x14ac:dyDescent="0.25">
      <c r="A422" t="str">
        <f t="shared" si="8"/>
        <v>TLC</v>
      </c>
      <c r="C422" s="55" t="s">
        <v>411</v>
      </c>
      <c r="D422" t="s">
        <v>76</v>
      </c>
      <c r="E422" t="s">
        <v>69</v>
      </c>
      <c r="F422" t="s">
        <v>180</v>
      </c>
      <c r="G422" t="s">
        <v>36</v>
      </c>
      <c r="H422" t="s">
        <v>41</v>
      </c>
    </row>
    <row r="423" spans="1:8" x14ac:dyDescent="0.25">
      <c r="A423" t="str">
        <f t="shared" si="8"/>
        <v>TLC</v>
      </c>
      <c r="C423" s="55" t="s">
        <v>411</v>
      </c>
      <c r="D423" t="s">
        <v>76</v>
      </c>
      <c r="E423" t="s">
        <v>69</v>
      </c>
      <c r="F423" t="s">
        <v>180</v>
      </c>
      <c r="G423" t="s">
        <v>37</v>
      </c>
      <c r="H423" t="s">
        <v>41</v>
      </c>
    </row>
    <row r="424" spans="1:8" x14ac:dyDescent="0.25">
      <c r="A424" t="str">
        <f t="shared" si="8"/>
        <v>TLC</v>
      </c>
      <c r="C424" s="55" t="s">
        <v>411</v>
      </c>
      <c r="D424" t="s">
        <v>76</v>
      </c>
      <c r="E424" t="s">
        <v>69</v>
      </c>
      <c r="F424" t="s">
        <v>180</v>
      </c>
      <c r="G424" t="s">
        <v>38</v>
      </c>
      <c r="H424" t="s">
        <v>41</v>
      </c>
    </row>
    <row r="425" spans="1:8" x14ac:dyDescent="0.25">
      <c r="A425" t="str">
        <f t="shared" si="8"/>
        <v>TLC</v>
      </c>
      <c r="C425" s="55" t="s">
        <v>411</v>
      </c>
      <c r="D425" t="s">
        <v>76</v>
      </c>
      <c r="E425" t="s">
        <v>69</v>
      </c>
      <c r="F425" t="s">
        <v>181</v>
      </c>
      <c r="G425" t="s">
        <v>30</v>
      </c>
      <c r="H425" t="s">
        <v>41</v>
      </c>
    </row>
    <row r="426" spans="1:8" x14ac:dyDescent="0.25">
      <c r="A426" t="str">
        <f t="shared" si="8"/>
        <v>TLC</v>
      </c>
      <c r="C426" s="55" t="s">
        <v>411</v>
      </c>
      <c r="D426" t="s">
        <v>76</v>
      </c>
      <c r="E426" t="s">
        <v>69</v>
      </c>
      <c r="F426" t="s">
        <v>181</v>
      </c>
      <c r="G426" t="s">
        <v>31</v>
      </c>
      <c r="H426" t="s">
        <v>41</v>
      </c>
    </row>
    <row r="427" spans="1:8" x14ac:dyDescent="0.25">
      <c r="A427" t="str">
        <f t="shared" si="8"/>
        <v>TLC</v>
      </c>
      <c r="C427" s="55" t="s">
        <v>411</v>
      </c>
      <c r="D427" t="s">
        <v>76</v>
      </c>
      <c r="E427" t="s">
        <v>69</v>
      </c>
      <c r="F427" t="s">
        <v>181</v>
      </c>
      <c r="G427" t="s">
        <v>32</v>
      </c>
      <c r="H427" t="s">
        <v>41</v>
      </c>
    </row>
    <row r="428" spans="1:8" x14ac:dyDescent="0.25">
      <c r="A428" t="str">
        <f t="shared" si="8"/>
        <v>TLC</v>
      </c>
      <c r="C428" s="55" t="s">
        <v>411</v>
      </c>
      <c r="D428" t="s">
        <v>76</v>
      </c>
      <c r="E428" t="s">
        <v>69</v>
      </c>
      <c r="F428" t="s">
        <v>181</v>
      </c>
      <c r="G428" t="s">
        <v>33</v>
      </c>
      <c r="H428" t="s">
        <v>41</v>
      </c>
    </row>
    <row r="429" spans="1:8" x14ac:dyDescent="0.25">
      <c r="A429" t="str">
        <f t="shared" si="8"/>
        <v>TLC</v>
      </c>
      <c r="C429" s="55" t="s">
        <v>411</v>
      </c>
      <c r="D429" t="s">
        <v>76</v>
      </c>
      <c r="E429" t="s">
        <v>69</v>
      </c>
      <c r="F429" t="s">
        <v>181</v>
      </c>
      <c r="G429" t="s">
        <v>34</v>
      </c>
      <c r="H429" t="s">
        <v>41</v>
      </c>
    </row>
    <row r="430" spans="1:8" x14ac:dyDescent="0.25">
      <c r="A430" t="str">
        <f t="shared" si="8"/>
        <v>TLC</v>
      </c>
      <c r="C430" s="55" t="s">
        <v>411</v>
      </c>
      <c r="D430" t="s">
        <v>76</v>
      </c>
      <c r="E430" t="s">
        <v>69</v>
      </c>
      <c r="F430" t="s">
        <v>181</v>
      </c>
      <c r="G430" t="s">
        <v>35</v>
      </c>
      <c r="H430" t="s">
        <v>41</v>
      </c>
    </row>
    <row r="431" spans="1:8" x14ac:dyDescent="0.25">
      <c r="A431" t="str">
        <f t="shared" si="8"/>
        <v>TLC</v>
      </c>
      <c r="C431" s="55" t="s">
        <v>411</v>
      </c>
      <c r="D431" t="s">
        <v>76</v>
      </c>
      <c r="E431" t="s">
        <v>69</v>
      </c>
      <c r="F431" t="s">
        <v>181</v>
      </c>
      <c r="G431" t="s">
        <v>36</v>
      </c>
      <c r="H431" t="s">
        <v>41</v>
      </c>
    </row>
    <row r="432" spans="1:8" x14ac:dyDescent="0.25">
      <c r="A432" t="str">
        <f t="shared" si="8"/>
        <v>TLC</v>
      </c>
      <c r="C432" s="55" t="s">
        <v>411</v>
      </c>
      <c r="D432" t="s">
        <v>76</v>
      </c>
      <c r="E432" t="s">
        <v>69</v>
      </c>
      <c r="F432" t="s">
        <v>181</v>
      </c>
      <c r="G432" t="s">
        <v>37</v>
      </c>
      <c r="H432" t="s">
        <v>41</v>
      </c>
    </row>
    <row r="433" spans="1:12" x14ac:dyDescent="0.25">
      <c r="A433" t="str">
        <f t="shared" si="8"/>
        <v>TLC</v>
      </c>
      <c r="C433" s="55" t="s">
        <v>411</v>
      </c>
      <c r="D433" t="s">
        <v>76</v>
      </c>
      <c r="E433" t="s">
        <v>69</v>
      </c>
      <c r="F433" t="s">
        <v>181</v>
      </c>
      <c r="G433" t="s">
        <v>38</v>
      </c>
      <c r="H433" t="s">
        <v>41</v>
      </c>
    </row>
    <row r="434" spans="1:12" x14ac:dyDescent="0.25">
      <c r="A434" t="str">
        <f t="shared" si="8"/>
        <v>TLC</v>
      </c>
      <c r="C434" s="55" t="s">
        <v>411</v>
      </c>
      <c r="D434" t="s">
        <v>76</v>
      </c>
      <c r="E434" t="s">
        <v>69</v>
      </c>
      <c r="F434" t="s">
        <v>70</v>
      </c>
      <c r="G434" t="s">
        <v>30</v>
      </c>
      <c r="H434" t="s">
        <v>41</v>
      </c>
      <c r="J434">
        <v>1.01069453747369</v>
      </c>
      <c r="K434">
        <v>10.162840559864501</v>
      </c>
      <c r="L434">
        <v>19.542283927916301</v>
      </c>
    </row>
    <row r="435" spans="1:12" x14ac:dyDescent="0.25">
      <c r="A435" t="str">
        <f t="shared" si="8"/>
        <v>TLC</v>
      </c>
      <c r="C435" s="55" t="s">
        <v>411</v>
      </c>
      <c r="D435" t="s">
        <v>76</v>
      </c>
      <c r="E435" t="s">
        <v>69</v>
      </c>
      <c r="F435" t="s">
        <v>70</v>
      </c>
      <c r="G435" t="s">
        <v>31</v>
      </c>
      <c r="H435" t="s">
        <v>41</v>
      </c>
      <c r="J435">
        <v>2.7544453832112299</v>
      </c>
      <c r="K435">
        <v>28.303586754536099</v>
      </c>
      <c r="L435">
        <v>55.476442940462199</v>
      </c>
    </row>
    <row r="436" spans="1:12" x14ac:dyDescent="0.25">
      <c r="A436" t="str">
        <f t="shared" si="8"/>
        <v>TLC</v>
      </c>
      <c r="C436" s="55" t="s">
        <v>411</v>
      </c>
      <c r="D436" t="s">
        <v>76</v>
      </c>
      <c r="E436" t="s">
        <v>69</v>
      </c>
      <c r="F436" t="s">
        <v>70</v>
      </c>
      <c r="G436" t="s">
        <v>32</v>
      </c>
      <c r="H436" t="s">
        <v>41</v>
      </c>
      <c r="J436">
        <v>3.65400713152451</v>
      </c>
      <c r="K436">
        <v>30.261505938025302</v>
      </c>
      <c r="L436">
        <v>59.625490396925699</v>
      </c>
    </row>
    <row r="437" spans="1:12" x14ac:dyDescent="0.25">
      <c r="A437" t="str">
        <f t="shared" si="8"/>
        <v>TLC</v>
      </c>
      <c r="C437" s="55" t="s">
        <v>411</v>
      </c>
      <c r="D437" t="s">
        <v>76</v>
      </c>
      <c r="E437" t="s">
        <v>69</v>
      </c>
      <c r="F437" t="s">
        <v>70</v>
      </c>
      <c r="G437" t="s">
        <v>33</v>
      </c>
      <c r="H437" t="s">
        <v>41</v>
      </c>
      <c r="J437">
        <v>1.57937229923405</v>
      </c>
      <c r="K437">
        <v>15.2957894675361</v>
      </c>
      <c r="L437">
        <v>29.487150948692999</v>
      </c>
    </row>
    <row r="438" spans="1:12" x14ac:dyDescent="0.25">
      <c r="A438" t="str">
        <f t="shared" si="8"/>
        <v>TLC</v>
      </c>
      <c r="C438" s="55" t="s">
        <v>411</v>
      </c>
      <c r="D438" t="s">
        <v>76</v>
      </c>
      <c r="E438" t="s">
        <v>69</v>
      </c>
      <c r="F438" t="s">
        <v>70</v>
      </c>
      <c r="G438" t="s">
        <v>34</v>
      </c>
      <c r="H438" t="s">
        <v>41</v>
      </c>
      <c r="J438">
        <v>4.5150987388256896</v>
      </c>
      <c r="K438">
        <v>42.090327044839697</v>
      </c>
      <c r="L438">
        <v>86.003459180887006</v>
      </c>
    </row>
    <row r="439" spans="1:12" x14ac:dyDescent="0.25">
      <c r="A439" t="str">
        <f t="shared" si="8"/>
        <v>TLC</v>
      </c>
      <c r="C439" s="55" t="s">
        <v>411</v>
      </c>
      <c r="D439" t="s">
        <v>76</v>
      </c>
      <c r="E439" t="s">
        <v>69</v>
      </c>
      <c r="F439" t="s">
        <v>70</v>
      </c>
      <c r="G439" t="s">
        <v>35</v>
      </c>
      <c r="H439" t="s">
        <v>41</v>
      </c>
      <c r="J439">
        <v>1.5237462242266899</v>
      </c>
      <c r="K439">
        <v>13.292553318196401</v>
      </c>
      <c r="L439">
        <v>25.1653405283697</v>
      </c>
    </row>
    <row r="440" spans="1:12" x14ac:dyDescent="0.25">
      <c r="A440" t="str">
        <f t="shared" si="8"/>
        <v>TLC</v>
      </c>
      <c r="C440" s="55" t="s">
        <v>411</v>
      </c>
      <c r="D440" t="s">
        <v>76</v>
      </c>
      <c r="E440" t="s">
        <v>69</v>
      </c>
      <c r="F440" t="s">
        <v>70</v>
      </c>
      <c r="G440" t="s">
        <v>36</v>
      </c>
      <c r="H440" t="s">
        <v>41</v>
      </c>
      <c r="J440">
        <v>4.1109761254248598</v>
      </c>
      <c r="K440">
        <v>29.038484783239401</v>
      </c>
      <c r="L440">
        <v>57.343836136430397</v>
      </c>
    </row>
    <row r="441" spans="1:12" x14ac:dyDescent="0.25">
      <c r="A441" t="str">
        <f t="shared" si="8"/>
        <v>TLC</v>
      </c>
      <c r="C441" s="55" t="s">
        <v>411</v>
      </c>
      <c r="D441" t="s">
        <v>76</v>
      </c>
      <c r="E441" t="s">
        <v>69</v>
      </c>
      <c r="F441" t="s">
        <v>70</v>
      </c>
      <c r="G441" t="s">
        <v>37</v>
      </c>
      <c r="H441" t="s">
        <v>41</v>
      </c>
      <c r="J441">
        <v>2.7064974383940701</v>
      </c>
      <c r="K441">
        <v>16.4507121912884</v>
      </c>
      <c r="L441">
        <v>33.5329194587</v>
      </c>
    </row>
    <row r="442" spans="1:12" x14ac:dyDescent="0.25">
      <c r="A442" t="str">
        <f t="shared" si="8"/>
        <v>TLC</v>
      </c>
      <c r="C442" s="55" t="s">
        <v>411</v>
      </c>
      <c r="D442" t="s">
        <v>76</v>
      </c>
      <c r="E442" t="s">
        <v>69</v>
      </c>
      <c r="F442" t="s">
        <v>70</v>
      </c>
      <c r="G442" t="s">
        <v>38</v>
      </c>
      <c r="H442" t="s">
        <v>41</v>
      </c>
      <c r="J442">
        <v>4.2274940721090504</v>
      </c>
      <c r="K442">
        <v>35.652317459145699</v>
      </c>
      <c r="L442">
        <v>71.724936375251303</v>
      </c>
    </row>
    <row r="443" spans="1:12" x14ac:dyDescent="0.25">
      <c r="A443" t="str">
        <f t="shared" si="8"/>
        <v>TLC</v>
      </c>
      <c r="C443" s="55" t="s">
        <v>411</v>
      </c>
      <c r="D443" t="s">
        <v>76</v>
      </c>
      <c r="E443" t="s">
        <v>69</v>
      </c>
      <c r="F443" t="s">
        <v>422</v>
      </c>
      <c r="G443" t="s">
        <v>30</v>
      </c>
      <c r="H443" t="s">
        <v>41</v>
      </c>
      <c r="K443">
        <v>0.58750876503383298</v>
      </c>
      <c r="L443">
        <v>1.5823677001285901</v>
      </c>
    </row>
    <row r="444" spans="1:12" x14ac:dyDescent="0.25">
      <c r="A444" t="str">
        <f t="shared" si="8"/>
        <v>TLC</v>
      </c>
      <c r="C444" s="55" t="s">
        <v>411</v>
      </c>
      <c r="D444" t="s">
        <v>76</v>
      </c>
      <c r="E444" t="s">
        <v>69</v>
      </c>
      <c r="F444" t="s">
        <v>422</v>
      </c>
      <c r="G444" t="s">
        <v>31</v>
      </c>
      <c r="H444" t="s">
        <v>41</v>
      </c>
      <c r="K444">
        <v>1.6785646609185001</v>
      </c>
      <c r="L444">
        <v>4.4912259726307999</v>
      </c>
    </row>
    <row r="445" spans="1:12" x14ac:dyDescent="0.25">
      <c r="A445" t="str">
        <f t="shared" si="8"/>
        <v>TLC</v>
      </c>
      <c r="C445" s="55" t="s">
        <v>411</v>
      </c>
      <c r="D445" t="s">
        <v>76</v>
      </c>
      <c r="E445" t="s">
        <v>69</v>
      </c>
      <c r="F445" t="s">
        <v>422</v>
      </c>
      <c r="G445" t="s">
        <v>32</v>
      </c>
      <c r="H445" t="s">
        <v>41</v>
      </c>
      <c r="K445">
        <v>1.7923274008819801</v>
      </c>
      <c r="L445">
        <v>4.8605150152222301</v>
      </c>
    </row>
    <row r="446" spans="1:12" x14ac:dyDescent="0.25">
      <c r="A446" t="str">
        <f t="shared" si="8"/>
        <v>TLC</v>
      </c>
      <c r="C446" s="55" t="s">
        <v>411</v>
      </c>
      <c r="D446" t="s">
        <v>76</v>
      </c>
      <c r="E446" t="s">
        <v>69</v>
      </c>
      <c r="F446" t="s">
        <v>422</v>
      </c>
      <c r="G446" t="s">
        <v>33</v>
      </c>
      <c r="H446" t="s">
        <v>41</v>
      </c>
      <c r="K446">
        <v>1.0058360037270799</v>
      </c>
      <c r="L446">
        <v>2.4890861682717098</v>
      </c>
    </row>
    <row r="447" spans="1:12" x14ac:dyDescent="0.25">
      <c r="A447" t="str">
        <f t="shared" si="8"/>
        <v>TLC</v>
      </c>
      <c r="C447" s="55" t="s">
        <v>411</v>
      </c>
      <c r="D447" t="s">
        <v>76</v>
      </c>
      <c r="E447" t="s">
        <v>69</v>
      </c>
      <c r="F447" t="s">
        <v>422</v>
      </c>
      <c r="G447" t="s">
        <v>34</v>
      </c>
      <c r="H447" t="s">
        <v>41</v>
      </c>
      <c r="K447">
        <v>2.5483655262464602</v>
      </c>
      <c r="L447">
        <v>7.1165732223265099</v>
      </c>
    </row>
    <row r="448" spans="1:12" x14ac:dyDescent="0.25">
      <c r="A448" t="str">
        <f t="shared" si="8"/>
        <v>TLC</v>
      </c>
      <c r="C448" s="55" t="s">
        <v>411</v>
      </c>
      <c r="D448" t="s">
        <v>76</v>
      </c>
      <c r="E448" t="s">
        <v>69</v>
      </c>
      <c r="F448" t="s">
        <v>422</v>
      </c>
      <c r="G448" t="s">
        <v>35</v>
      </c>
      <c r="H448" t="s">
        <v>41</v>
      </c>
      <c r="K448">
        <v>0.879882132705743</v>
      </c>
      <c r="L448">
        <v>2.13652488900857</v>
      </c>
    </row>
    <row r="449" spans="1:12" x14ac:dyDescent="0.25">
      <c r="A449" t="str">
        <f t="shared" si="8"/>
        <v>TLC</v>
      </c>
      <c r="C449" s="55" t="s">
        <v>411</v>
      </c>
      <c r="D449" t="s">
        <v>76</v>
      </c>
      <c r="E449" t="s">
        <v>69</v>
      </c>
      <c r="F449" t="s">
        <v>422</v>
      </c>
      <c r="G449" t="s">
        <v>36</v>
      </c>
      <c r="H449" t="s">
        <v>41</v>
      </c>
      <c r="K449">
        <v>1.89202966649371</v>
      </c>
      <c r="L449">
        <v>4.8294759166172296</v>
      </c>
    </row>
    <row r="450" spans="1:12" x14ac:dyDescent="0.25">
      <c r="A450" t="str">
        <f t="shared" si="8"/>
        <v>TLC</v>
      </c>
      <c r="C450" s="55" t="s">
        <v>411</v>
      </c>
      <c r="D450" t="s">
        <v>76</v>
      </c>
      <c r="E450" t="s">
        <v>69</v>
      </c>
      <c r="F450" t="s">
        <v>422</v>
      </c>
      <c r="G450" t="s">
        <v>37</v>
      </c>
      <c r="H450" t="s">
        <v>41</v>
      </c>
      <c r="K450">
        <v>1.0104308511856099</v>
      </c>
      <c r="L450">
        <v>2.7884877121086098</v>
      </c>
    </row>
    <row r="451" spans="1:12" x14ac:dyDescent="0.25">
      <c r="A451" t="str">
        <f t="shared" si="8"/>
        <v>TLC</v>
      </c>
      <c r="C451" s="55" t="s">
        <v>411</v>
      </c>
      <c r="D451" t="s">
        <v>76</v>
      </c>
      <c r="E451" t="s">
        <v>69</v>
      </c>
      <c r="F451" t="s">
        <v>422</v>
      </c>
      <c r="G451" t="s">
        <v>38</v>
      </c>
      <c r="H451" t="s">
        <v>41</v>
      </c>
      <c r="K451">
        <v>2.1054963321818101</v>
      </c>
      <c r="L451">
        <v>5.8743085440085601</v>
      </c>
    </row>
    <row r="452" spans="1:12" x14ac:dyDescent="0.25">
      <c r="A452" t="str">
        <f t="shared" si="8"/>
        <v>TLE</v>
      </c>
      <c r="C452" s="55" t="s">
        <v>411</v>
      </c>
      <c r="D452" t="s">
        <v>76</v>
      </c>
      <c r="E452" t="s">
        <v>69</v>
      </c>
      <c r="F452" t="s">
        <v>182</v>
      </c>
      <c r="G452" t="s">
        <v>30</v>
      </c>
      <c r="H452" t="s">
        <v>41</v>
      </c>
      <c r="I452">
        <v>30.844803170715402</v>
      </c>
      <c r="J452">
        <v>28.3799935819168</v>
      </c>
      <c r="K452">
        <v>17.092122642699501</v>
      </c>
      <c r="L452">
        <v>7.58092752976623</v>
      </c>
    </row>
    <row r="453" spans="1:12" x14ac:dyDescent="0.25">
      <c r="A453" t="str">
        <f t="shared" si="8"/>
        <v>TLE</v>
      </c>
      <c r="C453" s="55" t="s">
        <v>411</v>
      </c>
      <c r="D453" t="s">
        <v>76</v>
      </c>
      <c r="E453" t="s">
        <v>69</v>
      </c>
      <c r="F453" t="s">
        <v>182</v>
      </c>
      <c r="G453" t="s">
        <v>31</v>
      </c>
      <c r="H453" t="s">
        <v>41</v>
      </c>
      <c r="I453">
        <v>87.178965174496696</v>
      </c>
      <c r="J453">
        <v>80.215512483473304</v>
      </c>
      <c r="K453">
        <v>48.4579954666955</v>
      </c>
      <c r="L453">
        <v>20.360998351742399</v>
      </c>
    </row>
    <row r="454" spans="1:12" x14ac:dyDescent="0.25">
      <c r="A454" t="str">
        <f t="shared" si="8"/>
        <v>TLE</v>
      </c>
      <c r="C454" s="55" t="s">
        <v>411</v>
      </c>
      <c r="D454" t="s">
        <v>76</v>
      </c>
      <c r="E454" t="s">
        <v>69</v>
      </c>
      <c r="F454" t="s">
        <v>182</v>
      </c>
      <c r="G454" t="s">
        <v>32</v>
      </c>
      <c r="H454" t="s">
        <v>41</v>
      </c>
      <c r="I454">
        <v>95.603876600457795</v>
      </c>
      <c r="J454">
        <v>87.833003835829203</v>
      </c>
      <c r="K454">
        <v>53.665462022551601</v>
      </c>
      <c r="L454">
        <v>23.3587888507349</v>
      </c>
    </row>
    <row r="455" spans="1:12" x14ac:dyDescent="0.25">
      <c r="A455" t="str">
        <f t="shared" si="8"/>
        <v>TLE</v>
      </c>
      <c r="C455" s="55" t="s">
        <v>411</v>
      </c>
      <c r="D455" t="s">
        <v>76</v>
      </c>
      <c r="E455" t="s">
        <v>69</v>
      </c>
      <c r="F455" t="s">
        <v>182</v>
      </c>
      <c r="G455" t="s">
        <v>33</v>
      </c>
      <c r="H455" t="s">
        <v>41</v>
      </c>
      <c r="I455">
        <v>43.992233124438201</v>
      </c>
      <c r="J455">
        <v>40.300703287453501</v>
      </c>
      <c r="K455">
        <v>24.057821805678799</v>
      </c>
      <c r="L455">
        <v>10.1325692785163</v>
      </c>
    </row>
    <row r="456" spans="1:12" x14ac:dyDescent="0.25">
      <c r="A456" t="str">
        <f t="shared" si="8"/>
        <v>TLE</v>
      </c>
      <c r="C456" s="55" t="s">
        <v>411</v>
      </c>
      <c r="D456" t="s">
        <v>76</v>
      </c>
      <c r="E456" t="s">
        <v>69</v>
      </c>
      <c r="F456" t="s">
        <v>182</v>
      </c>
      <c r="G456" t="s">
        <v>34</v>
      </c>
      <c r="H456" t="s">
        <v>41</v>
      </c>
      <c r="I456">
        <v>123.327897691936</v>
      </c>
      <c r="J456">
        <v>113.971181897242</v>
      </c>
      <c r="K456">
        <v>71.614150372417598</v>
      </c>
      <c r="L456">
        <v>31.7646474432755</v>
      </c>
    </row>
    <row r="457" spans="1:12" x14ac:dyDescent="0.25">
      <c r="A457" t="str">
        <f t="shared" si="8"/>
        <v>TLE</v>
      </c>
      <c r="C457" s="55" t="s">
        <v>411</v>
      </c>
      <c r="D457" t="s">
        <v>76</v>
      </c>
      <c r="E457" t="s">
        <v>69</v>
      </c>
      <c r="F457" t="s">
        <v>182</v>
      </c>
      <c r="G457" t="s">
        <v>35</v>
      </c>
      <c r="H457" t="s">
        <v>41</v>
      </c>
      <c r="I457">
        <v>38.034062644064001</v>
      </c>
      <c r="J457">
        <v>34.710288323463303</v>
      </c>
      <c r="K457">
        <v>20.5162721400857</v>
      </c>
      <c r="L457">
        <v>8.7983083303395198</v>
      </c>
    </row>
    <row r="458" spans="1:12" x14ac:dyDescent="0.25">
      <c r="A458" t="str">
        <f t="shared" si="8"/>
        <v>TLE</v>
      </c>
      <c r="C458" s="55" t="s">
        <v>411</v>
      </c>
      <c r="D458" t="s">
        <v>76</v>
      </c>
      <c r="E458" t="s">
        <v>69</v>
      </c>
      <c r="F458" t="s">
        <v>182</v>
      </c>
      <c r="G458" t="s">
        <v>36</v>
      </c>
      <c r="H458" t="s">
        <v>41</v>
      </c>
      <c r="I458">
        <v>76.672614860712002</v>
      </c>
      <c r="J458">
        <v>70.493681592410894</v>
      </c>
      <c r="K458">
        <v>43.099626176566503</v>
      </c>
      <c r="L458">
        <v>18.086552606803799</v>
      </c>
    </row>
    <row r="459" spans="1:12" x14ac:dyDescent="0.25">
      <c r="A459" t="str">
        <f t="shared" ref="A459:A522" si="9">LEFT(F459,3)</f>
        <v>TLE</v>
      </c>
      <c r="C459" s="55" t="s">
        <v>411</v>
      </c>
      <c r="D459" t="s">
        <v>76</v>
      </c>
      <c r="E459" t="s">
        <v>69</v>
      </c>
      <c r="F459" t="s">
        <v>182</v>
      </c>
      <c r="G459" t="s">
        <v>37</v>
      </c>
      <c r="H459" t="s">
        <v>41</v>
      </c>
      <c r="I459">
        <v>46.308163790712797</v>
      </c>
      <c r="J459">
        <v>42.6586054428751</v>
      </c>
      <c r="K459">
        <v>26.397473163118899</v>
      </c>
      <c r="L459">
        <v>11.527799761085999</v>
      </c>
    </row>
    <row r="460" spans="1:12" x14ac:dyDescent="0.25">
      <c r="A460" t="str">
        <f t="shared" si="9"/>
        <v>TLE</v>
      </c>
      <c r="C460" s="55" t="s">
        <v>411</v>
      </c>
      <c r="D460" t="s">
        <v>76</v>
      </c>
      <c r="E460" t="s">
        <v>69</v>
      </c>
      <c r="F460" t="s">
        <v>182</v>
      </c>
      <c r="G460" t="s">
        <v>38</v>
      </c>
      <c r="H460" t="s">
        <v>41</v>
      </c>
      <c r="I460">
        <v>102.36046234378399</v>
      </c>
      <c r="J460">
        <v>94.380532584511201</v>
      </c>
      <c r="K460">
        <v>58.226541176285203</v>
      </c>
      <c r="L460">
        <v>24.760738334648298</v>
      </c>
    </row>
    <row r="461" spans="1:12" x14ac:dyDescent="0.25">
      <c r="A461" t="str">
        <f t="shared" si="9"/>
        <v>TLE</v>
      </c>
      <c r="C461" s="55" t="s">
        <v>411</v>
      </c>
      <c r="D461" t="s">
        <v>76</v>
      </c>
      <c r="E461" t="s">
        <v>69</v>
      </c>
      <c r="F461" t="s">
        <v>183</v>
      </c>
      <c r="G461" t="s">
        <v>30</v>
      </c>
      <c r="H461" t="s">
        <v>41</v>
      </c>
      <c r="I461">
        <v>0.53547155004075697</v>
      </c>
      <c r="J461">
        <v>0.53547155004075697</v>
      </c>
      <c r="K461">
        <v>0.50948202679215004</v>
      </c>
      <c r="L461">
        <v>0.36185764632797601</v>
      </c>
    </row>
    <row r="462" spans="1:12" x14ac:dyDescent="0.25">
      <c r="A462" t="str">
        <f t="shared" si="9"/>
        <v>TLE</v>
      </c>
      <c r="C462" s="55" t="s">
        <v>411</v>
      </c>
      <c r="D462" t="s">
        <v>76</v>
      </c>
      <c r="E462" t="s">
        <v>69</v>
      </c>
      <c r="F462" t="s">
        <v>183</v>
      </c>
      <c r="G462" t="s">
        <v>31</v>
      </c>
      <c r="H462" t="s">
        <v>41</v>
      </c>
      <c r="I462">
        <v>1.4951641548507499</v>
      </c>
      <c r="J462">
        <v>1.4951641548507499</v>
      </c>
      <c r="K462">
        <v>1.4231757914591701</v>
      </c>
      <c r="L462">
        <v>0.97889750635181805</v>
      </c>
    </row>
    <row r="463" spans="1:12" x14ac:dyDescent="0.25">
      <c r="A463" t="str">
        <f t="shared" si="9"/>
        <v>TLE</v>
      </c>
      <c r="C463" s="55" t="s">
        <v>411</v>
      </c>
      <c r="D463" t="s">
        <v>76</v>
      </c>
      <c r="E463" t="s">
        <v>69</v>
      </c>
      <c r="F463" t="s">
        <v>183</v>
      </c>
      <c r="G463" t="s">
        <v>32</v>
      </c>
      <c r="H463" t="s">
        <v>41</v>
      </c>
      <c r="I463">
        <v>1.6548540630647</v>
      </c>
      <c r="J463">
        <v>1.6548540630647</v>
      </c>
      <c r="K463">
        <v>1.5769291918696999</v>
      </c>
      <c r="L463">
        <v>1.0976702917093599</v>
      </c>
    </row>
    <row r="464" spans="1:12" x14ac:dyDescent="0.25">
      <c r="A464" t="str">
        <f t="shared" si="9"/>
        <v>TLE</v>
      </c>
      <c r="C464" s="55" t="s">
        <v>411</v>
      </c>
      <c r="D464" t="s">
        <v>76</v>
      </c>
      <c r="E464" t="s">
        <v>69</v>
      </c>
      <c r="F464" t="s">
        <v>183</v>
      </c>
      <c r="G464" t="s">
        <v>33</v>
      </c>
      <c r="H464" t="s">
        <v>41</v>
      </c>
      <c r="I464">
        <v>0.69502027105339603</v>
      </c>
      <c r="J464">
        <v>0.69502027105339603</v>
      </c>
      <c r="K464">
        <v>0.65821437931309301</v>
      </c>
      <c r="L464">
        <v>0.441245511040674</v>
      </c>
    </row>
    <row r="465" spans="1:12" x14ac:dyDescent="0.25">
      <c r="A465" t="str">
        <f t="shared" si="9"/>
        <v>TLE</v>
      </c>
      <c r="C465" s="55" t="s">
        <v>411</v>
      </c>
      <c r="D465" t="s">
        <v>76</v>
      </c>
      <c r="E465" t="s">
        <v>69</v>
      </c>
      <c r="F465" t="s">
        <v>183</v>
      </c>
      <c r="G465" t="s">
        <v>34</v>
      </c>
      <c r="H465" t="s">
        <v>41</v>
      </c>
      <c r="I465">
        <v>2.17233289243286</v>
      </c>
      <c r="J465">
        <v>2.17233289243286</v>
      </c>
      <c r="K465">
        <v>2.0776489494663499</v>
      </c>
      <c r="L465">
        <v>1.45026583322558</v>
      </c>
    </row>
    <row r="466" spans="1:12" x14ac:dyDescent="0.25">
      <c r="A466" t="str">
        <f t="shared" si="9"/>
        <v>TLE</v>
      </c>
      <c r="C466" s="55" t="s">
        <v>411</v>
      </c>
      <c r="D466" t="s">
        <v>76</v>
      </c>
      <c r="E466" t="s">
        <v>69</v>
      </c>
      <c r="F466" t="s">
        <v>183</v>
      </c>
      <c r="G466" t="s">
        <v>35</v>
      </c>
      <c r="H466" t="s">
        <v>41</v>
      </c>
      <c r="I466">
        <v>0.58977243334884899</v>
      </c>
      <c r="J466">
        <v>0.58977243334884899</v>
      </c>
      <c r="K466">
        <v>0.55772536873990397</v>
      </c>
      <c r="L466">
        <v>0.37688820014173402</v>
      </c>
    </row>
    <row r="467" spans="1:12" x14ac:dyDescent="0.25">
      <c r="A467" t="str">
        <f t="shared" si="9"/>
        <v>TLE</v>
      </c>
      <c r="C467" s="55" t="s">
        <v>411</v>
      </c>
      <c r="D467" t="s">
        <v>76</v>
      </c>
      <c r="E467" t="s">
        <v>69</v>
      </c>
      <c r="F467" t="s">
        <v>183</v>
      </c>
      <c r="G467" t="s">
        <v>36</v>
      </c>
      <c r="H467" t="s">
        <v>41</v>
      </c>
      <c r="I467">
        <v>1.2444079767742799</v>
      </c>
      <c r="J467">
        <v>1.2444079767742799</v>
      </c>
      <c r="K467">
        <v>1.1828363654940299</v>
      </c>
      <c r="L467">
        <v>0.79553447153755397</v>
      </c>
    </row>
    <row r="468" spans="1:12" x14ac:dyDescent="0.25">
      <c r="A468" t="str">
        <f t="shared" si="9"/>
        <v>TLE</v>
      </c>
      <c r="C468" s="55" t="s">
        <v>411</v>
      </c>
      <c r="D468" t="s">
        <v>76</v>
      </c>
      <c r="E468" t="s">
        <v>69</v>
      </c>
      <c r="F468" t="s">
        <v>183</v>
      </c>
      <c r="G468" t="s">
        <v>37</v>
      </c>
      <c r="H468" t="s">
        <v>41</v>
      </c>
      <c r="I468">
        <v>0.79578098126977603</v>
      </c>
      <c r="J468">
        <v>0.79578098126977603</v>
      </c>
      <c r="K468">
        <v>0.75830709439536503</v>
      </c>
      <c r="L468">
        <v>0.52269569334959898</v>
      </c>
    </row>
    <row r="469" spans="1:12" x14ac:dyDescent="0.25">
      <c r="A469" t="str">
        <f t="shared" si="9"/>
        <v>TLE</v>
      </c>
      <c r="C469" s="55" t="s">
        <v>411</v>
      </c>
      <c r="D469" t="s">
        <v>76</v>
      </c>
      <c r="E469" t="s">
        <v>69</v>
      </c>
      <c r="F469" t="s">
        <v>183</v>
      </c>
      <c r="G469" t="s">
        <v>38</v>
      </c>
      <c r="H469" t="s">
        <v>41</v>
      </c>
      <c r="I469">
        <v>1.7989975043188999</v>
      </c>
      <c r="J469">
        <v>1.7989975043188999</v>
      </c>
      <c r="K469">
        <v>1.7146674606628001</v>
      </c>
      <c r="L469">
        <v>1.1666499996348401</v>
      </c>
    </row>
    <row r="470" spans="1:12" x14ac:dyDescent="0.25">
      <c r="A470" t="str">
        <f t="shared" si="9"/>
        <v>TLE</v>
      </c>
      <c r="C470" s="55" t="s">
        <v>411</v>
      </c>
      <c r="D470" t="s">
        <v>76</v>
      </c>
      <c r="E470" t="s">
        <v>69</v>
      </c>
      <c r="F470" t="s">
        <v>184</v>
      </c>
      <c r="G470" t="s">
        <v>30</v>
      </c>
      <c r="H470" t="s">
        <v>41</v>
      </c>
      <c r="I470">
        <v>31.907878713854998</v>
      </c>
      <c r="J470">
        <v>29.358118711275299</v>
      </c>
      <c r="K470">
        <v>17.681207859461299</v>
      </c>
      <c r="L470">
        <v>7.8422065078360204</v>
      </c>
    </row>
    <row r="471" spans="1:12" x14ac:dyDescent="0.25">
      <c r="A471" t="str">
        <f t="shared" si="9"/>
        <v>TLE</v>
      </c>
      <c r="C471" s="55" t="s">
        <v>411</v>
      </c>
      <c r="D471" t="s">
        <v>76</v>
      </c>
      <c r="E471" t="s">
        <v>69</v>
      </c>
      <c r="F471" t="s">
        <v>184</v>
      </c>
      <c r="G471" t="s">
        <v>31</v>
      </c>
      <c r="H471" t="s">
        <v>41</v>
      </c>
      <c r="I471">
        <v>90.183614782415603</v>
      </c>
      <c r="J471">
        <v>82.980164571853294</v>
      </c>
      <c r="K471">
        <v>50.128115051025397</v>
      </c>
      <c r="L471">
        <v>21.062746366208302</v>
      </c>
    </row>
    <row r="472" spans="1:12" x14ac:dyDescent="0.25">
      <c r="A472" t="str">
        <f t="shared" si="9"/>
        <v>TLE</v>
      </c>
      <c r="C472" s="55" t="s">
        <v>411</v>
      </c>
      <c r="D472" t="s">
        <v>76</v>
      </c>
      <c r="E472" t="s">
        <v>69</v>
      </c>
      <c r="F472" t="s">
        <v>184</v>
      </c>
      <c r="G472" t="s">
        <v>32</v>
      </c>
      <c r="H472" t="s">
        <v>41</v>
      </c>
      <c r="I472">
        <v>98.898893348685206</v>
      </c>
      <c r="J472">
        <v>90.8601950855697</v>
      </c>
      <c r="K472">
        <v>55.515058529026497</v>
      </c>
      <c r="L472">
        <v>24.163856628510601</v>
      </c>
    </row>
    <row r="473" spans="1:12" x14ac:dyDescent="0.25">
      <c r="A473" t="str">
        <f t="shared" si="9"/>
        <v>TLE</v>
      </c>
      <c r="C473" s="55" t="s">
        <v>411</v>
      </c>
      <c r="D473" t="s">
        <v>76</v>
      </c>
      <c r="E473" t="s">
        <v>69</v>
      </c>
      <c r="F473" t="s">
        <v>184</v>
      </c>
      <c r="G473" t="s">
        <v>33</v>
      </c>
      <c r="H473" t="s">
        <v>41</v>
      </c>
      <c r="I473">
        <v>45.508438848425001</v>
      </c>
      <c r="J473">
        <v>41.689679310386701</v>
      </c>
      <c r="K473">
        <v>24.8869819673202</v>
      </c>
      <c r="L473">
        <v>10.4817913672273</v>
      </c>
    </row>
    <row r="474" spans="1:12" x14ac:dyDescent="0.25">
      <c r="A474" t="str">
        <f t="shared" si="9"/>
        <v>TLE</v>
      </c>
      <c r="C474" s="55" t="s">
        <v>411</v>
      </c>
      <c r="D474" t="s">
        <v>76</v>
      </c>
      <c r="E474" t="s">
        <v>69</v>
      </c>
      <c r="F474" t="s">
        <v>184</v>
      </c>
      <c r="G474" t="s">
        <v>34</v>
      </c>
      <c r="H474" t="s">
        <v>41</v>
      </c>
      <c r="I474">
        <v>127.578431277691</v>
      </c>
      <c r="J474">
        <v>117.899233421095</v>
      </c>
      <c r="K474">
        <v>74.082353893843205</v>
      </c>
      <c r="L474">
        <v>32.859425699648298</v>
      </c>
    </row>
    <row r="475" spans="1:12" x14ac:dyDescent="0.25">
      <c r="A475" t="str">
        <f t="shared" si="9"/>
        <v>TLE</v>
      </c>
      <c r="C475" s="55" t="s">
        <v>411</v>
      </c>
      <c r="D475" t="s">
        <v>76</v>
      </c>
      <c r="E475" t="s">
        <v>69</v>
      </c>
      <c r="F475" t="s">
        <v>184</v>
      </c>
      <c r="G475" t="s">
        <v>35</v>
      </c>
      <c r="H475" t="s">
        <v>41</v>
      </c>
      <c r="I475">
        <v>39.344918206323896</v>
      </c>
      <c r="J475">
        <v>35.9065889906379</v>
      </c>
      <c r="K475">
        <v>21.223371712996201</v>
      </c>
      <c r="L475">
        <v>9.1015447087731296</v>
      </c>
    </row>
    <row r="476" spans="1:12" x14ac:dyDescent="0.25">
      <c r="A476" t="str">
        <f t="shared" si="9"/>
        <v>TLE</v>
      </c>
      <c r="C476" s="55" t="s">
        <v>411</v>
      </c>
      <c r="D476" t="s">
        <v>76</v>
      </c>
      <c r="E476" t="s">
        <v>69</v>
      </c>
      <c r="F476" t="s">
        <v>184</v>
      </c>
      <c r="G476" t="s">
        <v>36</v>
      </c>
      <c r="H476" t="s">
        <v>41</v>
      </c>
      <c r="I476">
        <v>79.315159902606496</v>
      </c>
      <c r="J476">
        <v>72.923267815801395</v>
      </c>
      <c r="K476">
        <v>44.5850679300178</v>
      </c>
      <c r="L476">
        <v>18.709911155392501</v>
      </c>
    </row>
    <row r="477" spans="1:12" x14ac:dyDescent="0.25">
      <c r="A477" t="str">
        <f t="shared" si="9"/>
        <v>TLE</v>
      </c>
      <c r="C477" s="55" t="s">
        <v>411</v>
      </c>
      <c r="D477" t="s">
        <v>76</v>
      </c>
      <c r="E477" t="s">
        <v>69</v>
      </c>
      <c r="F477" t="s">
        <v>184</v>
      </c>
      <c r="G477" t="s">
        <v>37</v>
      </c>
      <c r="H477" t="s">
        <v>41</v>
      </c>
      <c r="I477">
        <v>47.904188771035798</v>
      </c>
      <c r="J477">
        <v>44.128847282311398</v>
      </c>
      <c r="K477">
        <v>27.307270121947901</v>
      </c>
      <c r="L477">
        <v>11.9251088936616</v>
      </c>
    </row>
    <row r="478" spans="1:12" x14ac:dyDescent="0.25">
      <c r="A478" t="str">
        <f t="shared" si="9"/>
        <v>TLE</v>
      </c>
      <c r="C478" s="55" t="s">
        <v>411</v>
      </c>
      <c r="D478" t="s">
        <v>76</v>
      </c>
      <c r="E478" t="s">
        <v>69</v>
      </c>
      <c r="F478" t="s">
        <v>184</v>
      </c>
      <c r="G478" t="s">
        <v>38</v>
      </c>
      <c r="H478" t="s">
        <v>41</v>
      </c>
      <c r="I478">
        <v>105.888346879143</v>
      </c>
      <c r="J478">
        <v>97.633386408339206</v>
      </c>
      <c r="K478">
        <v>60.233336666064403</v>
      </c>
      <c r="L478">
        <v>25.614124728717901</v>
      </c>
    </row>
    <row r="479" spans="1:12" x14ac:dyDescent="0.25">
      <c r="A479" t="str">
        <f t="shared" si="9"/>
        <v>TLE</v>
      </c>
      <c r="C479" s="55" t="s">
        <v>411</v>
      </c>
      <c r="D479" t="s">
        <v>76</v>
      </c>
      <c r="E479" t="s">
        <v>69</v>
      </c>
      <c r="F479" t="s">
        <v>185</v>
      </c>
      <c r="G479" t="s">
        <v>30</v>
      </c>
      <c r="H479" t="s">
        <v>41</v>
      </c>
      <c r="I479">
        <v>0.55392674023097499</v>
      </c>
      <c r="J479">
        <v>0.55392674023097499</v>
      </c>
      <c r="K479">
        <v>0.52704148014169006</v>
      </c>
      <c r="L479">
        <v>0.37432918040716101</v>
      </c>
    </row>
    <row r="480" spans="1:12" x14ac:dyDescent="0.25">
      <c r="A480" t="str">
        <f t="shared" si="9"/>
        <v>TLE</v>
      </c>
      <c r="C480" s="55" t="s">
        <v>411</v>
      </c>
      <c r="D480" t="s">
        <v>76</v>
      </c>
      <c r="E480" t="s">
        <v>69</v>
      </c>
      <c r="F480" t="s">
        <v>185</v>
      </c>
      <c r="G480" t="s">
        <v>31</v>
      </c>
      <c r="H480" t="s">
        <v>41</v>
      </c>
      <c r="I480">
        <v>1.5466954431914099</v>
      </c>
      <c r="J480">
        <v>1.5466954431914099</v>
      </c>
      <c r="K480">
        <v>1.47222597891262</v>
      </c>
      <c r="L480">
        <v>1.01263550728777</v>
      </c>
    </row>
    <row r="481" spans="1:12" x14ac:dyDescent="0.25">
      <c r="A481" t="str">
        <f t="shared" si="9"/>
        <v>TLE</v>
      </c>
      <c r="C481" s="55" t="s">
        <v>411</v>
      </c>
      <c r="D481" t="s">
        <v>76</v>
      </c>
      <c r="E481" t="s">
        <v>69</v>
      </c>
      <c r="F481" t="s">
        <v>185</v>
      </c>
      <c r="G481" t="s">
        <v>32</v>
      </c>
      <c r="H481" t="s">
        <v>41</v>
      </c>
      <c r="I481">
        <v>1.7118891127673199</v>
      </c>
      <c r="J481">
        <v>1.7118891127673199</v>
      </c>
      <c r="K481">
        <v>1.63127853713416</v>
      </c>
      <c r="L481">
        <v>1.13550183289601</v>
      </c>
    </row>
    <row r="482" spans="1:12" x14ac:dyDescent="0.25">
      <c r="A482" t="str">
        <f t="shared" si="9"/>
        <v>TLE</v>
      </c>
      <c r="C482" s="55" t="s">
        <v>411</v>
      </c>
      <c r="D482" t="s">
        <v>76</v>
      </c>
      <c r="E482" t="s">
        <v>69</v>
      </c>
      <c r="F482" t="s">
        <v>185</v>
      </c>
      <c r="G482" t="s">
        <v>33</v>
      </c>
      <c r="H482" t="s">
        <v>41</v>
      </c>
      <c r="I482">
        <v>0.718974356545652</v>
      </c>
      <c r="J482">
        <v>0.718974356545652</v>
      </c>
      <c r="K482">
        <v>0.68089993852764796</v>
      </c>
      <c r="L482">
        <v>0.45645317207554198</v>
      </c>
    </row>
    <row r="483" spans="1:12" x14ac:dyDescent="0.25">
      <c r="A483" t="str">
        <f t="shared" si="9"/>
        <v>TLE</v>
      </c>
      <c r="C483" s="55" t="s">
        <v>411</v>
      </c>
      <c r="D483" t="s">
        <v>76</v>
      </c>
      <c r="E483" t="s">
        <v>69</v>
      </c>
      <c r="F483" t="s">
        <v>185</v>
      </c>
      <c r="G483" t="s">
        <v>34</v>
      </c>
      <c r="H483" t="s">
        <v>41</v>
      </c>
      <c r="I483">
        <v>2.24720300772332</v>
      </c>
      <c r="J483">
        <v>2.24720300772332</v>
      </c>
      <c r="K483">
        <v>2.1492557538016901</v>
      </c>
      <c r="L483">
        <v>1.5002496872258799</v>
      </c>
    </row>
    <row r="484" spans="1:12" x14ac:dyDescent="0.25">
      <c r="A484" t="str">
        <f t="shared" si="9"/>
        <v>TLE</v>
      </c>
      <c r="C484" s="55" t="s">
        <v>411</v>
      </c>
      <c r="D484" t="s">
        <v>76</v>
      </c>
      <c r="E484" t="s">
        <v>69</v>
      </c>
      <c r="F484" t="s">
        <v>185</v>
      </c>
      <c r="G484" t="s">
        <v>35</v>
      </c>
      <c r="H484" t="s">
        <v>41</v>
      </c>
      <c r="I484">
        <v>0.61009912003383104</v>
      </c>
      <c r="J484">
        <v>0.61009912003383104</v>
      </c>
      <c r="K484">
        <v>0.57694754357481504</v>
      </c>
      <c r="L484">
        <v>0.38987776683960101</v>
      </c>
    </row>
    <row r="485" spans="1:12" x14ac:dyDescent="0.25">
      <c r="A485" t="str">
        <f t="shared" si="9"/>
        <v>TLE</v>
      </c>
      <c r="C485" s="55" t="s">
        <v>411</v>
      </c>
      <c r="D485" t="s">
        <v>76</v>
      </c>
      <c r="E485" t="s">
        <v>69</v>
      </c>
      <c r="F485" t="s">
        <v>185</v>
      </c>
      <c r="G485" t="s">
        <v>36</v>
      </c>
      <c r="H485" t="s">
        <v>41</v>
      </c>
      <c r="I485">
        <v>1.28729687700408</v>
      </c>
      <c r="J485">
        <v>1.28729687700408</v>
      </c>
      <c r="K485">
        <v>1.2236031813732999</v>
      </c>
      <c r="L485">
        <v>0.82295280958741401</v>
      </c>
    </row>
    <row r="486" spans="1:12" x14ac:dyDescent="0.25">
      <c r="A486" t="str">
        <f t="shared" si="9"/>
        <v>TLE</v>
      </c>
      <c r="C486" s="55" t="s">
        <v>411</v>
      </c>
      <c r="D486" t="s">
        <v>76</v>
      </c>
      <c r="E486" t="s">
        <v>69</v>
      </c>
      <c r="F486" t="s">
        <v>185</v>
      </c>
      <c r="G486" t="s">
        <v>37</v>
      </c>
      <c r="H486" t="s">
        <v>41</v>
      </c>
      <c r="I486">
        <v>0.82320781535269605</v>
      </c>
      <c r="J486">
        <v>0.82320781535269605</v>
      </c>
      <c r="K486">
        <v>0.784442379544674</v>
      </c>
      <c r="L486">
        <v>0.54071055974472304</v>
      </c>
    </row>
    <row r="487" spans="1:12" x14ac:dyDescent="0.25">
      <c r="A487" t="str">
        <f t="shared" si="9"/>
        <v>TLE</v>
      </c>
      <c r="C487" s="55" t="s">
        <v>411</v>
      </c>
      <c r="D487" t="s">
        <v>76</v>
      </c>
      <c r="E487" t="s">
        <v>69</v>
      </c>
      <c r="F487" t="s">
        <v>185</v>
      </c>
      <c r="G487" t="s">
        <v>38</v>
      </c>
      <c r="H487" t="s">
        <v>41</v>
      </c>
      <c r="I487">
        <v>1.8610005016609701</v>
      </c>
      <c r="J487">
        <v>1.8610005016609701</v>
      </c>
      <c r="K487">
        <v>1.77376399734547</v>
      </c>
      <c r="L487">
        <v>1.2068589474809801</v>
      </c>
    </row>
    <row r="488" spans="1:12" x14ac:dyDescent="0.25">
      <c r="A488" t="str">
        <f t="shared" si="9"/>
        <v>TLE</v>
      </c>
      <c r="C488" s="55" t="s">
        <v>411</v>
      </c>
      <c r="D488" t="s">
        <v>76</v>
      </c>
      <c r="E488" t="s">
        <v>69</v>
      </c>
      <c r="F488" t="s">
        <v>186</v>
      </c>
      <c r="G488" t="s">
        <v>30</v>
      </c>
      <c r="H488" t="s">
        <v>41</v>
      </c>
      <c r="I488">
        <v>2.8667078820731402</v>
      </c>
      <c r="J488">
        <v>2.6376291281283901</v>
      </c>
      <c r="K488">
        <v>1.5885373762964099</v>
      </c>
      <c r="L488">
        <v>0.70456940777755095</v>
      </c>
    </row>
    <row r="489" spans="1:12" x14ac:dyDescent="0.25">
      <c r="A489" t="str">
        <f t="shared" si="9"/>
        <v>TLE</v>
      </c>
      <c r="C489" s="55" t="s">
        <v>411</v>
      </c>
      <c r="D489" t="s">
        <v>76</v>
      </c>
      <c r="E489" t="s">
        <v>69</v>
      </c>
      <c r="F489" t="s">
        <v>186</v>
      </c>
      <c r="G489" t="s">
        <v>31</v>
      </c>
      <c r="H489" t="s">
        <v>41</v>
      </c>
      <c r="I489">
        <v>8.1198676673061208</v>
      </c>
      <c r="J489">
        <v>7.4712901779371901</v>
      </c>
      <c r="K489">
        <v>4.51338817597704</v>
      </c>
      <c r="L489">
        <v>1.89642778919738</v>
      </c>
    </row>
    <row r="490" spans="1:12" x14ac:dyDescent="0.25">
      <c r="A490" t="str">
        <f t="shared" si="9"/>
        <v>TLE</v>
      </c>
      <c r="C490" s="55" t="s">
        <v>411</v>
      </c>
      <c r="D490" t="s">
        <v>76</v>
      </c>
      <c r="E490" t="s">
        <v>69</v>
      </c>
      <c r="F490" t="s">
        <v>186</v>
      </c>
      <c r="G490" t="s">
        <v>32</v>
      </c>
      <c r="H490" t="s">
        <v>41</v>
      </c>
      <c r="I490">
        <v>9.0023623185438595</v>
      </c>
      <c r="J490">
        <v>8.2706324489398497</v>
      </c>
      <c r="K490">
        <v>5.0533090319974701</v>
      </c>
      <c r="L490">
        <v>2.1995371739525398</v>
      </c>
    </row>
    <row r="491" spans="1:12" x14ac:dyDescent="0.25">
      <c r="A491" t="str">
        <f t="shared" si="9"/>
        <v>TLE</v>
      </c>
      <c r="C491" s="55" t="s">
        <v>411</v>
      </c>
      <c r="D491" t="s">
        <v>76</v>
      </c>
      <c r="E491" t="s">
        <v>69</v>
      </c>
      <c r="F491" t="s">
        <v>186</v>
      </c>
      <c r="G491" t="s">
        <v>33</v>
      </c>
      <c r="H491" t="s">
        <v>41</v>
      </c>
      <c r="I491">
        <v>4.07726850405599</v>
      </c>
      <c r="J491">
        <v>3.7351317842958101</v>
      </c>
      <c r="K491">
        <v>2.22971629667046</v>
      </c>
      <c r="L491">
        <v>0.93910226079225401</v>
      </c>
    </row>
    <row r="492" spans="1:12" x14ac:dyDescent="0.25">
      <c r="A492" t="str">
        <f t="shared" si="9"/>
        <v>TLE</v>
      </c>
      <c r="C492" s="55" t="s">
        <v>411</v>
      </c>
      <c r="D492" t="s">
        <v>76</v>
      </c>
      <c r="E492" t="s">
        <v>69</v>
      </c>
      <c r="F492" t="s">
        <v>186</v>
      </c>
      <c r="G492" t="s">
        <v>34</v>
      </c>
      <c r="H492" t="s">
        <v>41</v>
      </c>
      <c r="I492">
        <v>11.5621986291328</v>
      </c>
      <c r="J492">
        <v>10.684990725979899</v>
      </c>
      <c r="K492">
        <v>6.7139475070822998</v>
      </c>
      <c r="L492">
        <v>2.9779893276129399</v>
      </c>
    </row>
    <row r="493" spans="1:12" x14ac:dyDescent="0.25">
      <c r="A493" t="str">
        <f t="shared" si="9"/>
        <v>TLE</v>
      </c>
      <c r="C493" s="55" t="s">
        <v>411</v>
      </c>
      <c r="D493" t="s">
        <v>76</v>
      </c>
      <c r="E493" t="s">
        <v>69</v>
      </c>
      <c r="F493" t="s">
        <v>186</v>
      </c>
      <c r="G493" t="s">
        <v>35</v>
      </c>
      <c r="H493" t="s">
        <v>41</v>
      </c>
      <c r="I493">
        <v>3.5277179380253401</v>
      </c>
      <c r="J493">
        <v>3.21943274634175</v>
      </c>
      <c r="K493">
        <v>1.9029158658991101</v>
      </c>
      <c r="L493">
        <v>0.81605665983359399</v>
      </c>
    </row>
    <row r="494" spans="1:12" x14ac:dyDescent="0.25">
      <c r="A494" t="str">
        <f t="shared" si="9"/>
        <v>TLE</v>
      </c>
      <c r="C494" s="55" t="s">
        <v>411</v>
      </c>
      <c r="D494" t="s">
        <v>76</v>
      </c>
      <c r="E494" t="s">
        <v>69</v>
      </c>
      <c r="F494" t="s">
        <v>186</v>
      </c>
      <c r="G494" t="s">
        <v>36</v>
      </c>
      <c r="H494" t="s">
        <v>41</v>
      </c>
      <c r="I494">
        <v>7.3167943863718801</v>
      </c>
      <c r="J494">
        <v>6.7271446876704202</v>
      </c>
      <c r="K494">
        <v>4.1129561504627699</v>
      </c>
      <c r="L494">
        <v>1.72598243613695</v>
      </c>
    </row>
    <row r="495" spans="1:12" x14ac:dyDescent="0.25">
      <c r="A495" t="str">
        <f t="shared" si="9"/>
        <v>TLE</v>
      </c>
      <c r="C495" s="55" t="s">
        <v>411</v>
      </c>
      <c r="D495" t="s">
        <v>76</v>
      </c>
      <c r="E495" t="s">
        <v>69</v>
      </c>
      <c r="F495" t="s">
        <v>186</v>
      </c>
      <c r="G495" t="s">
        <v>37</v>
      </c>
      <c r="H495" t="s">
        <v>41</v>
      </c>
      <c r="I495">
        <v>4.4482046897949301</v>
      </c>
      <c r="J495">
        <v>4.0976405294041101</v>
      </c>
      <c r="K495">
        <v>2.5356514772125398</v>
      </c>
      <c r="L495">
        <v>1.1073212315657299</v>
      </c>
    </row>
    <row r="496" spans="1:12" x14ac:dyDescent="0.25">
      <c r="A496" t="str">
        <f t="shared" si="9"/>
        <v>TLE</v>
      </c>
      <c r="C496" s="55" t="s">
        <v>411</v>
      </c>
      <c r="D496" t="s">
        <v>76</v>
      </c>
      <c r="E496" t="s">
        <v>69</v>
      </c>
      <c r="F496" t="s">
        <v>186</v>
      </c>
      <c r="G496" t="s">
        <v>38</v>
      </c>
      <c r="H496" t="s">
        <v>41</v>
      </c>
      <c r="I496">
        <v>9.5634547465728694</v>
      </c>
      <c r="J496">
        <v>8.8178963992753907</v>
      </c>
      <c r="K496">
        <v>5.4400583862024696</v>
      </c>
      <c r="L496">
        <v>2.31337564459057</v>
      </c>
    </row>
    <row r="497" spans="1:12" x14ac:dyDescent="0.25">
      <c r="A497" t="str">
        <f t="shared" si="9"/>
        <v>TLE</v>
      </c>
      <c r="C497" s="55" t="s">
        <v>411</v>
      </c>
      <c r="D497" t="s">
        <v>76</v>
      </c>
      <c r="E497" t="s">
        <v>69</v>
      </c>
      <c r="F497" t="s">
        <v>187</v>
      </c>
      <c r="G497" t="s">
        <v>30</v>
      </c>
      <c r="H497" t="s">
        <v>41</v>
      </c>
      <c r="I497">
        <v>1.52236005848355E-2</v>
      </c>
      <c r="J497">
        <v>1.52236005848355E-2</v>
      </c>
      <c r="K497">
        <v>1.4484711429478899E-2</v>
      </c>
      <c r="L497">
        <v>1.02877104784493E-2</v>
      </c>
    </row>
    <row r="498" spans="1:12" x14ac:dyDescent="0.25">
      <c r="A498" t="str">
        <f t="shared" si="9"/>
        <v>TLE</v>
      </c>
      <c r="C498" s="55" t="s">
        <v>411</v>
      </c>
      <c r="D498" t="s">
        <v>76</v>
      </c>
      <c r="E498" t="s">
        <v>69</v>
      </c>
      <c r="F498" t="s">
        <v>187</v>
      </c>
      <c r="G498" t="s">
        <v>31</v>
      </c>
      <c r="H498" t="s">
        <v>41</v>
      </c>
      <c r="I498">
        <v>4.2740500149410797E-2</v>
      </c>
      <c r="J498">
        <v>4.2740500149410797E-2</v>
      </c>
      <c r="K498">
        <v>4.0682653426486297E-2</v>
      </c>
      <c r="L498">
        <v>2.7982592333257301E-2</v>
      </c>
    </row>
    <row r="499" spans="1:12" x14ac:dyDescent="0.25">
      <c r="A499" t="str">
        <f t="shared" si="9"/>
        <v>TLE</v>
      </c>
      <c r="C499" s="55" t="s">
        <v>411</v>
      </c>
      <c r="D499" t="s">
        <v>76</v>
      </c>
      <c r="E499" t="s">
        <v>69</v>
      </c>
      <c r="F499" t="s">
        <v>187</v>
      </c>
      <c r="G499" t="s">
        <v>32</v>
      </c>
      <c r="H499" t="s">
        <v>41</v>
      </c>
      <c r="J499">
        <v>4.9642289790670001E-2</v>
      </c>
      <c r="K499">
        <v>4.73047005590259E-2</v>
      </c>
      <c r="L499">
        <v>3.29278985572488E-2</v>
      </c>
    </row>
    <row r="500" spans="1:12" x14ac:dyDescent="0.25">
      <c r="A500" t="str">
        <f t="shared" si="9"/>
        <v>TLE</v>
      </c>
      <c r="C500" s="55" t="s">
        <v>411</v>
      </c>
      <c r="D500" t="s">
        <v>76</v>
      </c>
      <c r="E500" t="s">
        <v>69</v>
      </c>
      <c r="F500" t="s">
        <v>187</v>
      </c>
      <c r="G500" t="s">
        <v>33</v>
      </c>
      <c r="H500" t="s">
        <v>41</v>
      </c>
      <c r="I500">
        <v>2.0107824323281599E-2</v>
      </c>
      <c r="J500">
        <v>2.0107824323281599E-2</v>
      </c>
      <c r="K500">
        <v>1.90429828560622E-2</v>
      </c>
      <c r="L500">
        <v>1.2765796321300101E-2</v>
      </c>
    </row>
    <row r="501" spans="1:12" x14ac:dyDescent="0.25">
      <c r="A501" t="str">
        <f t="shared" si="9"/>
        <v>TLE</v>
      </c>
      <c r="C501" s="55" t="s">
        <v>411</v>
      </c>
      <c r="D501" t="s">
        <v>76</v>
      </c>
      <c r="E501" t="s">
        <v>69</v>
      </c>
      <c r="F501" t="s">
        <v>187</v>
      </c>
      <c r="G501" t="s">
        <v>34</v>
      </c>
      <c r="H501" t="s">
        <v>41</v>
      </c>
      <c r="I501">
        <v>6.3265637979800796E-2</v>
      </c>
      <c r="J501">
        <v>6.3265637979800796E-2</v>
      </c>
      <c r="K501">
        <v>6.0508123199683198E-2</v>
      </c>
      <c r="L501">
        <v>4.2236617370631301E-2</v>
      </c>
    </row>
    <row r="502" spans="1:12" x14ac:dyDescent="0.25">
      <c r="A502" t="str">
        <f t="shared" si="9"/>
        <v>TLE</v>
      </c>
      <c r="C502" s="55" t="s">
        <v>411</v>
      </c>
      <c r="D502" t="s">
        <v>76</v>
      </c>
      <c r="E502" t="s">
        <v>69</v>
      </c>
      <c r="F502" t="s">
        <v>187</v>
      </c>
      <c r="G502" t="s">
        <v>35</v>
      </c>
      <c r="H502" t="s">
        <v>41</v>
      </c>
      <c r="I502">
        <v>1.7274652134357998E-2</v>
      </c>
      <c r="J502">
        <v>1.7274652134357998E-2</v>
      </c>
      <c r="K502">
        <v>1.6335981790097601E-2</v>
      </c>
      <c r="L502">
        <v>1.10391944127062E-2</v>
      </c>
    </row>
    <row r="503" spans="1:12" x14ac:dyDescent="0.25">
      <c r="A503" t="str">
        <f t="shared" si="9"/>
        <v>TLE</v>
      </c>
      <c r="C503" s="55" t="s">
        <v>411</v>
      </c>
      <c r="D503" t="s">
        <v>76</v>
      </c>
      <c r="E503" t="s">
        <v>69</v>
      </c>
      <c r="F503" t="s">
        <v>187</v>
      </c>
      <c r="G503" t="s">
        <v>36</v>
      </c>
      <c r="H503" t="s">
        <v>41</v>
      </c>
      <c r="I503">
        <v>3.8998541980527802E-2</v>
      </c>
      <c r="J503">
        <v>3.8998541980527802E-2</v>
      </c>
      <c r="K503">
        <v>3.7068947255857403E-2</v>
      </c>
      <c r="L503">
        <v>2.4931280628428299E-2</v>
      </c>
    </row>
    <row r="504" spans="1:12" x14ac:dyDescent="0.25">
      <c r="A504" t="str">
        <f t="shared" si="9"/>
        <v>TLE</v>
      </c>
      <c r="C504" s="55" t="s">
        <v>411</v>
      </c>
      <c r="D504" t="s">
        <v>76</v>
      </c>
      <c r="E504" t="s">
        <v>69</v>
      </c>
      <c r="F504" t="s">
        <v>187</v>
      </c>
      <c r="G504" t="s">
        <v>37</v>
      </c>
      <c r="H504" t="s">
        <v>41</v>
      </c>
      <c r="I504">
        <v>2.5446779525174702E-2</v>
      </c>
      <c r="J504">
        <v>2.5446779525174702E-2</v>
      </c>
      <c r="K504">
        <v>2.4248472755235499E-2</v>
      </c>
      <c r="L504">
        <v>1.6714300015316E-2</v>
      </c>
    </row>
    <row r="505" spans="1:12" x14ac:dyDescent="0.25">
      <c r="A505" t="str">
        <f t="shared" si="9"/>
        <v>TLE</v>
      </c>
      <c r="C505" s="55" t="s">
        <v>411</v>
      </c>
      <c r="D505" t="s">
        <v>76</v>
      </c>
      <c r="E505" t="s">
        <v>69</v>
      </c>
      <c r="F505" t="s">
        <v>187</v>
      </c>
      <c r="G505" t="s">
        <v>38</v>
      </c>
      <c r="H505" t="s">
        <v>41</v>
      </c>
      <c r="I505">
        <v>5.2967156996606403E-2</v>
      </c>
      <c r="J505">
        <v>5.2967156996606403E-2</v>
      </c>
      <c r="K505">
        <v>5.0484261577830099E-2</v>
      </c>
      <c r="L505">
        <v>3.4349204788999901E-2</v>
      </c>
    </row>
    <row r="506" spans="1:12" x14ac:dyDescent="0.25">
      <c r="A506" t="str">
        <f t="shared" si="9"/>
        <v>TLE</v>
      </c>
      <c r="C506" s="55" t="s">
        <v>411</v>
      </c>
      <c r="D506" t="s">
        <v>76</v>
      </c>
      <c r="E506" t="s">
        <v>69</v>
      </c>
      <c r="F506" t="s">
        <v>188</v>
      </c>
      <c r="G506" t="s">
        <v>30</v>
      </c>
      <c r="H506" t="s">
        <v>41</v>
      </c>
      <c r="I506">
        <v>0.93248782633225002</v>
      </c>
      <c r="J506">
        <v>0.85797268279053696</v>
      </c>
      <c r="K506">
        <v>0.51672225633221502</v>
      </c>
      <c r="L506">
        <v>0.22918358709209</v>
      </c>
    </row>
    <row r="507" spans="1:12" x14ac:dyDescent="0.25">
      <c r="A507" t="str">
        <f t="shared" si="9"/>
        <v>TLE</v>
      </c>
      <c r="C507" s="55" t="s">
        <v>411</v>
      </c>
      <c r="D507" t="s">
        <v>76</v>
      </c>
      <c r="E507" t="s">
        <v>69</v>
      </c>
      <c r="F507" t="s">
        <v>188</v>
      </c>
      <c r="G507" t="s">
        <v>31</v>
      </c>
      <c r="H507" t="s">
        <v>41</v>
      </c>
      <c r="I507">
        <v>2.63555981497209</v>
      </c>
      <c r="J507">
        <v>2.4250434817122701</v>
      </c>
      <c r="K507">
        <v>1.46496285325814</v>
      </c>
      <c r="L507">
        <v>0.61554560714450501</v>
      </c>
    </row>
    <row r="508" spans="1:12" x14ac:dyDescent="0.25">
      <c r="A508" t="str">
        <f t="shared" si="9"/>
        <v>TLE</v>
      </c>
      <c r="C508" s="55" t="s">
        <v>411</v>
      </c>
      <c r="D508" t="s">
        <v>76</v>
      </c>
      <c r="E508" t="s">
        <v>69</v>
      </c>
      <c r="F508" t="s">
        <v>188</v>
      </c>
      <c r="G508" t="s">
        <v>32</v>
      </c>
      <c r="H508" t="s">
        <v>41</v>
      </c>
      <c r="I508">
        <v>2.8902583876669898</v>
      </c>
      <c r="J508">
        <v>2.65533245175203</v>
      </c>
      <c r="K508">
        <v>1.62239291181589</v>
      </c>
      <c r="L508">
        <v>0.70617361766327502</v>
      </c>
    </row>
    <row r="509" spans="1:12" x14ac:dyDescent="0.25">
      <c r="A509" t="str">
        <f t="shared" si="9"/>
        <v>TLE</v>
      </c>
      <c r="C509" s="55" t="s">
        <v>411</v>
      </c>
      <c r="D509" t="s">
        <v>76</v>
      </c>
      <c r="E509" t="s">
        <v>69</v>
      </c>
      <c r="F509" t="s">
        <v>188</v>
      </c>
      <c r="G509" t="s">
        <v>33</v>
      </c>
      <c r="H509" t="s">
        <v>41</v>
      </c>
      <c r="I509">
        <v>1.3299557016028001</v>
      </c>
      <c r="J509">
        <v>1.2183548392313099</v>
      </c>
      <c r="K509">
        <v>0.72730650403906305</v>
      </c>
      <c r="L509">
        <v>0.306323805971151</v>
      </c>
    </row>
    <row r="510" spans="1:12" x14ac:dyDescent="0.25">
      <c r="A510" t="str">
        <f t="shared" si="9"/>
        <v>TLE</v>
      </c>
      <c r="C510" s="55" t="s">
        <v>411</v>
      </c>
      <c r="D510" t="s">
        <v>76</v>
      </c>
      <c r="E510" t="s">
        <v>69</v>
      </c>
      <c r="F510" t="s">
        <v>188</v>
      </c>
      <c r="G510" t="s">
        <v>34</v>
      </c>
      <c r="H510" t="s">
        <v>41</v>
      </c>
      <c r="I510">
        <v>3.7283999709248898</v>
      </c>
      <c r="J510">
        <v>3.4455314590166699</v>
      </c>
      <c r="K510">
        <v>2.1650105220579898</v>
      </c>
      <c r="L510">
        <v>0.96029619267313404</v>
      </c>
    </row>
    <row r="511" spans="1:12" x14ac:dyDescent="0.25">
      <c r="A511" t="str">
        <f t="shared" si="9"/>
        <v>TLE</v>
      </c>
      <c r="C511" s="55" t="s">
        <v>411</v>
      </c>
      <c r="D511" t="s">
        <v>76</v>
      </c>
      <c r="E511" t="s">
        <v>69</v>
      </c>
      <c r="F511" t="s">
        <v>188</v>
      </c>
      <c r="G511" t="s">
        <v>35</v>
      </c>
      <c r="H511" t="s">
        <v>41</v>
      </c>
      <c r="I511">
        <v>1.14983066046018</v>
      </c>
      <c r="J511">
        <v>1.04934763664959</v>
      </c>
      <c r="K511">
        <v>0.62023978258071399</v>
      </c>
      <c r="L511">
        <v>0.26598695945476297</v>
      </c>
    </row>
    <row r="512" spans="1:12" x14ac:dyDescent="0.25">
      <c r="A512" t="str">
        <f t="shared" si="9"/>
        <v>TLE</v>
      </c>
      <c r="C512" s="55" t="s">
        <v>411</v>
      </c>
      <c r="D512" t="s">
        <v>76</v>
      </c>
      <c r="E512" t="s">
        <v>69</v>
      </c>
      <c r="F512" t="s">
        <v>188</v>
      </c>
      <c r="G512" t="s">
        <v>36</v>
      </c>
      <c r="H512" t="s">
        <v>41</v>
      </c>
      <c r="I512">
        <v>2.3179360093487298</v>
      </c>
      <c r="J512">
        <v>2.13113695537128</v>
      </c>
      <c r="K512">
        <v>1.3029707632330101</v>
      </c>
      <c r="L512">
        <v>0.54678546764645097</v>
      </c>
    </row>
    <row r="513" spans="1:12" x14ac:dyDescent="0.25">
      <c r="A513" t="str">
        <f t="shared" si="9"/>
        <v>TLE</v>
      </c>
      <c r="C513" t="s">
        <v>411</v>
      </c>
      <c r="D513" t="s">
        <v>76</v>
      </c>
      <c r="E513" t="s">
        <v>69</v>
      </c>
      <c r="F513" t="s">
        <v>188</v>
      </c>
      <c r="G513" t="s">
        <v>37</v>
      </c>
      <c r="H513" t="s">
        <v>41</v>
      </c>
      <c r="I513">
        <v>1.39996999674931</v>
      </c>
      <c r="J513">
        <v>1.2896379997509</v>
      </c>
      <c r="K513">
        <v>0.79803791369013599</v>
      </c>
      <c r="L513">
        <v>0.34850385921133997</v>
      </c>
    </row>
    <row r="514" spans="1:12" x14ac:dyDescent="0.25">
      <c r="A514" t="str">
        <f t="shared" si="9"/>
        <v>TLE</v>
      </c>
      <c r="C514" t="s">
        <v>411</v>
      </c>
      <c r="D514" t="s">
        <v>76</v>
      </c>
      <c r="E514" t="s">
        <v>69</v>
      </c>
      <c r="F514" t="s">
        <v>188</v>
      </c>
      <c r="G514" t="s">
        <v>38</v>
      </c>
      <c r="H514" t="s">
        <v>41</v>
      </c>
      <c r="I514">
        <v>3.0945208016091699</v>
      </c>
      <c r="J514">
        <v>2.8532747377479701</v>
      </c>
      <c r="K514">
        <v>1.7602816434202</v>
      </c>
      <c r="L514">
        <v>0.74855679708077805</v>
      </c>
    </row>
    <row r="515" spans="1:12" x14ac:dyDescent="0.25">
      <c r="A515" t="str">
        <f t="shared" si="9"/>
        <v>TLE</v>
      </c>
      <c r="C515" t="s">
        <v>411</v>
      </c>
      <c r="D515" t="s">
        <v>76</v>
      </c>
      <c r="E515" t="s">
        <v>69</v>
      </c>
      <c r="F515" t="s">
        <v>189</v>
      </c>
      <c r="G515" t="s">
        <v>30</v>
      </c>
      <c r="H515" t="s">
        <v>41</v>
      </c>
      <c r="I515">
        <v>15.1169279810397</v>
      </c>
      <c r="J515">
        <v>13.9089335959038</v>
      </c>
      <c r="K515">
        <v>8.3767883232303095</v>
      </c>
      <c r="L515">
        <v>3.7153855339158302</v>
      </c>
    </row>
    <row r="516" spans="1:12" x14ac:dyDescent="0.25">
      <c r="A516" t="str">
        <f t="shared" si="9"/>
        <v>TLE</v>
      </c>
      <c r="C516" t="s">
        <v>411</v>
      </c>
      <c r="D516" t="s">
        <v>76</v>
      </c>
      <c r="E516" t="s">
        <v>69</v>
      </c>
      <c r="F516" t="s">
        <v>189</v>
      </c>
      <c r="G516" t="s">
        <v>31</v>
      </c>
      <c r="H516" t="s">
        <v>41</v>
      </c>
      <c r="I516">
        <v>42.818263943053402</v>
      </c>
      <c r="J516">
        <v>39.398138977330298</v>
      </c>
      <c r="K516">
        <v>23.800319674490002</v>
      </c>
      <c r="L516">
        <v>10.000377956126799</v>
      </c>
    </row>
    <row r="517" spans="1:12" x14ac:dyDescent="0.25">
      <c r="A517" t="str">
        <f t="shared" si="9"/>
        <v>TLE</v>
      </c>
      <c r="C517" t="s">
        <v>411</v>
      </c>
      <c r="D517" t="s">
        <v>76</v>
      </c>
      <c r="E517" t="s">
        <v>69</v>
      </c>
      <c r="F517" t="s">
        <v>189</v>
      </c>
      <c r="G517" t="s">
        <v>32</v>
      </c>
      <c r="H517" t="s">
        <v>41</v>
      </c>
      <c r="I517">
        <v>25.871450407091299</v>
      </c>
      <c r="J517">
        <v>43.613287517058502</v>
      </c>
      <c r="K517">
        <v>26.647468749902501</v>
      </c>
      <c r="L517">
        <v>11.5987559312162</v>
      </c>
    </row>
    <row r="518" spans="1:12" x14ac:dyDescent="0.25">
      <c r="A518" t="str">
        <f t="shared" si="9"/>
        <v>TLE</v>
      </c>
      <c r="C518" t="s">
        <v>411</v>
      </c>
      <c r="D518" t="s">
        <v>76</v>
      </c>
      <c r="E518" t="s">
        <v>69</v>
      </c>
      <c r="F518" t="s">
        <v>189</v>
      </c>
      <c r="G518" t="s">
        <v>33</v>
      </c>
      <c r="H518" t="s">
        <v>41</v>
      </c>
      <c r="I518">
        <v>21.5005423889239</v>
      </c>
      <c r="J518">
        <v>19.696362693941001</v>
      </c>
      <c r="K518">
        <v>11.757898628493001</v>
      </c>
      <c r="L518">
        <v>4.9521408623475001</v>
      </c>
    </row>
    <row r="519" spans="1:12" x14ac:dyDescent="0.25">
      <c r="A519" t="str">
        <f t="shared" si="9"/>
        <v>TLE</v>
      </c>
      <c r="C519" t="s">
        <v>411</v>
      </c>
      <c r="D519" t="s">
        <v>76</v>
      </c>
      <c r="E519" t="s">
        <v>69</v>
      </c>
      <c r="F519" t="s">
        <v>189</v>
      </c>
      <c r="G519" t="s">
        <v>34</v>
      </c>
      <c r="H519" t="s">
        <v>41</v>
      </c>
      <c r="I519">
        <v>60.970608506045302</v>
      </c>
      <c r="J519">
        <v>56.3448533744236</v>
      </c>
      <c r="K519">
        <v>35.4044657175344</v>
      </c>
      <c r="L519">
        <v>15.703745217763</v>
      </c>
    </row>
    <row r="520" spans="1:12" x14ac:dyDescent="0.25">
      <c r="A520" t="str">
        <f t="shared" si="9"/>
        <v>TLE</v>
      </c>
      <c r="C520" t="s">
        <v>411</v>
      </c>
      <c r="D520" t="s">
        <v>76</v>
      </c>
      <c r="E520" t="s">
        <v>69</v>
      </c>
      <c r="F520" t="s">
        <v>189</v>
      </c>
      <c r="G520" t="s">
        <v>35</v>
      </c>
      <c r="H520" t="s">
        <v>41</v>
      </c>
      <c r="I520">
        <v>18.602613241494701</v>
      </c>
      <c r="J520">
        <v>16.976941833031599</v>
      </c>
      <c r="K520">
        <v>10.034591343841999</v>
      </c>
      <c r="L520">
        <v>4.30328804420453</v>
      </c>
    </row>
    <row r="521" spans="1:12" x14ac:dyDescent="0.25">
      <c r="A521" t="str">
        <f t="shared" si="9"/>
        <v>TLE</v>
      </c>
      <c r="C521" t="s">
        <v>411</v>
      </c>
      <c r="D521" t="s">
        <v>76</v>
      </c>
      <c r="E521" t="s">
        <v>69</v>
      </c>
      <c r="F521" t="s">
        <v>189</v>
      </c>
      <c r="G521" t="s">
        <v>36</v>
      </c>
      <c r="H521" t="s">
        <v>41</v>
      </c>
      <c r="I521">
        <v>38.583440776278302</v>
      </c>
      <c r="J521">
        <v>35.474058029241803</v>
      </c>
      <c r="K521">
        <v>21.6887330252694</v>
      </c>
      <c r="L521">
        <v>9.1015733925260704</v>
      </c>
    </row>
    <row r="522" spans="1:12" x14ac:dyDescent="0.25">
      <c r="A522" t="str">
        <f t="shared" si="9"/>
        <v>TLE</v>
      </c>
      <c r="C522" t="s">
        <v>411</v>
      </c>
      <c r="D522" t="s">
        <v>76</v>
      </c>
      <c r="E522" t="s">
        <v>69</v>
      </c>
      <c r="F522" t="s">
        <v>189</v>
      </c>
      <c r="G522" t="s">
        <v>37</v>
      </c>
      <c r="H522" t="s">
        <v>41</v>
      </c>
      <c r="I522">
        <v>23.456589477098799</v>
      </c>
      <c r="J522">
        <v>21.607969602537601</v>
      </c>
      <c r="K522">
        <v>13.3711777909923</v>
      </c>
      <c r="L522">
        <v>5.8392051084569498</v>
      </c>
    </row>
    <row r="523" spans="1:12" x14ac:dyDescent="0.25">
      <c r="A523" t="str">
        <f t="shared" ref="A523:A586" si="10">LEFT(F523,3)</f>
        <v>TLE</v>
      </c>
      <c r="C523" t="s">
        <v>411</v>
      </c>
      <c r="D523" t="s">
        <v>76</v>
      </c>
      <c r="E523" t="s">
        <v>69</v>
      </c>
      <c r="F523" t="s">
        <v>189</v>
      </c>
      <c r="G523" t="s">
        <v>38</v>
      </c>
      <c r="H523" t="s">
        <v>41</v>
      </c>
      <c r="I523">
        <v>50.430690046215801</v>
      </c>
      <c r="J523">
        <v>46.499158719902802</v>
      </c>
      <c r="K523">
        <v>28.6869029632003</v>
      </c>
      <c r="L523">
        <v>12.1990570546297</v>
      </c>
    </row>
    <row r="524" spans="1:12" x14ac:dyDescent="0.25">
      <c r="A524" t="str">
        <f t="shared" si="10"/>
        <v>TLE</v>
      </c>
      <c r="C524" t="s">
        <v>411</v>
      </c>
      <c r="D524" t="s">
        <v>76</v>
      </c>
      <c r="E524" t="s">
        <v>69</v>
      </c>
      <c r="F524" t="s">
        <v>190</v>
      </c>
      <c r="G524" t="s">
        <v>30</v>
      </c>
      <c r="H524" t="s">
        <v>41</v>
      </c>
      <c r="I524">
        <v>11.5770895237569</v>
      </c>
      <c r="J524">
        <v>10.651963786672299</v>
      </c>
      <c r="K524">
        <v>6.4152470965816599</v>
      </c>
      <c r="L524">
        <v>2.8453764544862601</v>
      </c>
    </row>
    <row r="525" spans="1:12" x14ac:dyDescent="0.25">
      <c r="A525" t="str">
        <f t="shared" si="10"/>
        <v>TLE</v>
      </c>
      <c r="C525" t="s">
        <v>411</v>
      </c>
      <c r="D525" t="s">
        <v>76</v>
      </c>
      <c r="E525" t="s">
        <v>69</v>
      </c>
      <c r="F525" t="s">
        <v>190</v>
      </c>
      <c r="G525" t="s">
        <v>31</v>
      </c>
      <c r="H525" t="s">
        <v>41</v>
      </c>
      <c r="I525">
        <v>32.791773271813199</v>
      </c>
      <c r="J525">
        <v>30.172518026284799</v>
      </c>
      <c r="K525">
        <v>18.2271445568303</v>
      </c>
      <c r="L525">
        <v>7.6586506871432602</v>
      </c>
    </row>
    <row r="526" spans="1:12" x14ac:dyDescent="0.25">
      <c r="A526" t="str">
        <f t="shared" si="10"/>
        <v>TLE</v>
      </c>
      <c r="C526" t="s">
        <v>411</v>
      </c>
      <c r="D526" t="s">
        <v>76</v>
      </c>
      <c r="E526" t="s">
        <v>69</v>
      </c>
      <c r="F526" t="s">
        <v>190</v>
      </c>
      <c r="G526" t="s">
        <v>32</v>
      </c>
      <c r="H526" t="s">
        <v>41</v>
      </c>
      <c r="I526">
        <v>36.355693978734799</v>
      </c>
      <c r="J526">
        <v>33.400631043795499</v>
      </c>
      <c r="K526">
        <v>20.407594167682099</v>
      </c>
      <c r="L526">
        <v>8.8827462794236993</v>
      </c>
    </row>
    <row r="527" spans="1:12" x14ac:dyDescent="0.25">
      <c r="A527" t="str">
        <f t="shared" si="10"/>
        <v>TLE</v>
      </c>
      <c r="C527" t="s">
        <v>411</v>
      </c>
      <c r="D527" t="s">
        <v>76</v>
      </c>
      <c r="E527" t="s">
        <v>69</v>
      </c>
      <c r="F527" t="s">
        <v>190</v>
      </c>
      <c r="G527" t="s">
        <v>33</v>
      </c>
      <c r="H527" t="s">
        <v>41</v>
      </c>
      <c r="I527">
        <v>16.4658920356107</v>
      </c>
      <c r="J527">
        <v>15.084186051963799</v>
      </c>
      <c r="K527">
        <v>9.0046235057845401</v>
      </c>
      <c r="L527">
        <v>3.7925283608917999</v>
      </c>
    </row>
    <row r="528" spans="1:12" x14ac:dyDescent="0.25">
      <c r="A528" t="str">
        <f t="shared" si="10"/>
        <v>TLE</v>
      </c>
      <c r="C528" t="s">
        <v>411</v>
      </c>
      <c r="D528" t="s">
        <v>76</v>
      </c>
      <c r="E528" t="s">
        <v>69</v>
      </c>
      <c r="F528" t="s">
        <v>190</v>
      </c>
      <c r="G528" t="s">
        <v>34</v>
      </c>
      <c r="H528" t="s">
        <v>41</v>
      </c>
      <c r="I528">
        <v>46.693494463805401</v>
      </c>
      <c r="J528">
        <v>43.150924085688203</v>
      </c>
      <c r="K528">
        <v>27.114018778601601</v>
      </c>
      <c r="L528">
        <v>12.026495361513801</v>
      </c>
    </row>
    <row r="529" spans="1:12" x14ac:dyDescent="0.25">
      <c r="A529" t="str">
        <f t="shared" si="10"/>
        <v>TLE</v>
      </c>
      <c r="C529" t="s">
        <v>411</v>
      </c>
      <c r="D529" t="s">
        <v>76</v>
      </c>
      <c r="E529" t="s">
        <v>69</v>
      </c>
      <c r="F529" t="s">
        <v>190</v>
      </c>
      <c r="G529" t="s">
        <v>35</v>
      </c>
      <c r="H529" t="s">
        <v>41</v>
      </c>
      <c r="I529">
        <v>14.246553211256201</v>
      </c>
      <c r="J529">
        <v>13.001555321764799</v>
      </c>
      <c r="K529">
        <v>7.6848525353617898</v>
      </c>
      <c r="L529">
        <v>3.2956134339433598</v>
      </c>
    </row>
    <row r="530" spans="1:12" x14ac:dyDescent="0.25">
      <c r="A530" t="str">
        <f t="shared" si="10"/>
        <v>TLE</v>
      </c>
      <c r="C530" t="s">
        <v>411</v>
      </c>
      <c r="D530" t="s">
        <v>76</v>
      </c>
      <c r="E530" t="s">
        <v>69</v>
      </c>
      <c r="F530" t="s">
        <v>190</v>
      </c>
      <c r="G530" t="s">
        <v>36</v>
      </c>
      <c r="H530" t="s">
        <v>41</v>
      </c>
      <c r="I530">
        <v>29.5485927141941</v>
      </c>
      <c r="J530">
        <v>27.1673150848228</v>
      </c>
      <c r="K530">
        <v>16.6100152230227</v>
      </c>
      <c r="L530">
        <v>6.9703136843992102</v>
      </c>
    </row>
    <row r="531" spans="1:12" x14ac:dyDescent="0.25">
      <c r="A531" t="str">
        <f t="shared" si="10"/>
        <v>TLE</v>
      </c>
      <c r="C531" t="s">
        <v>411</v>
      </c>
      <c r="D531" t="s">
        <v>76</v>
      </c>
      <c r="E531" t="s">
        <v>69</v>
      </c>
      <c r="F531" t="s">
        <v>190</v>
      </c>
      <c r="G531" t="s">
        <v>37</v>
      </c>
      <c r="H531" t="s">
        <v>41</v>
      </c>
      <c r="I531">
        <v>17.963903554941101</v>
      </c>
      <c r="J531">
        <v>16.5481636764397</v>
      </c>
      <c r="K531">
        <v>10.240130965665999</v>
      </c>
      <c r="L531">
        <v>4.4718742044000601</v>
      </c>
    </row>
    <row r="532" spans="1:12" x14ac:dyDescent="0.25">
      <c r="A532" t="str">
        <f t="shared" si="10"/>
        <v>TLE</v>
      </c>
      <c r="C532" t="s">
        <v>411</v>
      </c>
      <c r="D532" t="s">
        <v>76</v>
      </c>
      <c r="E532" t="s">
        <v>69</v>
      </c>
      <c r="F532" t="s">
        <v>190</v>
      </c>
      <c r="G532" t="s">
        <v>38</v>
      </c>
      <c r="H532" t="s">
        <v>41</v>
      </c>
      <c r="I532">
        <v>38.621644168852001</v>
      </c>
      <c r="J532">
        <v>35.610735458612197</v>
      </c>
      <c r="K532">
        <v>21.9694665596638</v>
      </c>
      <c r="L532">
        <v>9.3424785646926995</v>
      </c>
    </row>
    <row r="533" spans="1:12" x14ac:dyDescent="0.25">
      <c r="A533" t="str">
        <f t="shared" si="10"/>
        <v>TLE</v>
      </c>
      <c r="C533" t="s">
        <v>411</v>
      </c>
      <c r="D533" t="s">
        <v>76</v>
      </c>
      <c r="E533" t="s">
        <v>69</v>
      </c>
      <c r="F533" t="s">
        <v>191</v>
      </c>
      <c r="G533" t="s">
        <v>30</v>
      </c>
      <c r="H533" t="s">
        <v>41</v>
      </c>
      <c r="I533">
        <v>19.470173991195001</v>
      </c>
      <c r="J533">
        <v>19.498339988999799</v>
      </c>
      <c r="K533">
        <v>16.038117741454101</v>
      </c>
      <c r="L533">
        <v>7.11344113621566</v>
      </c>
    </row>
    <row r="534" spans="1:12" x14ac:dyDescent="0.25">
      <c r="A534" t="str">
        <f t="shared" si="10"/>
        <v>TLE</v>
      </c>
      <c r="C534" t="s">
        <v>411</v>
      </c>
      <c r="D534" t="s">
        <v>76</v>
      </c>
      <c r="E534" t="s">
        <v>69</v>
      </c>
      <c r="F534" t="s">
        <v>191</v>
      </c>
      <c r="G534" t="s">
        <v>31</v>
      </c>
      <c r="H534" t="s">
        <v>41</v>
      </c>
      <c r="I534">
        <v>55.110030945110303</v>
      </c>
      <c r="J534">
        <v>55.043843845570699</v>
      </c>
      <c r="K534">
        <v>45.567861392075798</v>
      </c>
      <c r="L534">
        <v>19.146626717858201</v>
      </c>
    </row>
    <row r="535" spans="1:12" x14ac:dyDescent="0.25">
      <c r="A535" t="str">
        <f t="shared" si="10"/>
        <v>TLE</v>
      </c>
      <c r="C535" t="s">
        <v>411</v>
      </c>
      <c r="D535" t="s">
        <v>76</v>
      </c>
      <c r="E535" t="s">
        <v>69</v>
      </c>
      <c r="F535" t="s">
        <v>191</v>
      </c>
      <c r="G535" t="s">
        <v>32</v>
      </c>
      <c r="H535" t="s">
        <v>41</v>
      </c>
      <c r="I535">
        <v>90.889234946837107</v>
      </c>
      <c r="J535">
        <v>62.509374086507499</v>
      </c>
      <c r="K535">
        <v>51.018985419205301</v>
      </c>
      <c r="L535">
        <v>22.206865698559302</v>
      </c>
    </row>
    <row r="536" spans="1:12" x14ac:dyDescent="0.25">
      <c r="A536" t="str">
        <f t="shared" si="10"/>
        <v>TLE</v>
      </c>
      <c r="C536" t="s">
        <v>411</v>
      </c>
      <c r="D536" t="s">
        <v>76</v>
      </c>
      <c r="E536" t="s">
        <v>69</v>
      </c>
      <c r="F536" t="s">
        <v>191</v>
      </c>
      <c r="G536" t="s">
        <v>33</v>
      </c>
      <c r="H536" t="s">
        <v>41</v>
      </c>
      <c r="I536">
        <v>27.6772322168658</v>
      </c>
      <c r="J536">
        <v>27.784036536915799</v>
      </c>
      <c r="K536">
        <v>22.511558764461299</v>
      </c>
      <c r="L536">
        <v>9.4813209022294895</v>
      </c>
    </row>
    <row r="537" spans="1:12" x14ac:dyDescent="0.25">
      <c r="A537" t="str">
        <f t="shared" si="10"/>
        <v>TLE</v>
      </c>
      <c r="C537" t="s">
        <v>411</v>
      </c>
      <c r="D537" t="s">
        <v>76</v>
      </c>
      <c r="E537" t="s">
        <v>69</v>
      </c>
      <c r="F537" t="s">
        <v>191</v>
      </c>
      <c r="G537" t="s">
        <v>34</v>
      </c>
      <c r="H537" t="s">
        <v>41</v>
      </c>
      <c r="I537">
        <v>78.508029332284295</v>
      </c>
      <c r="J537">
        <v>78.606046054085994</v>
      </c>
      <c r="K537">
        <v>67.785046946503996</v>
      </c>
      <c r="L537">
        <v>30.066238403784499</v>
      </c>
    </row>
    <row r="538" spans="1:12" x14ac:dyDescent="0.25">
      <c r="A538" t="str">
        <f t="shared" si="10"/>
        <v>TLE</v>
      </c>
      <c r="C538" t="s">
        <v>411</v>
      </c>
      <c r="D538" t="s">
        <v>76</v>
      </c>
      <c r="E538" t="s">
        <v>69</v>
      </c>
      <c r="F538" t="s">
        <v>191</v>
      </c>
      <c r="G538" t="s">
        <v>35</v>
      </c>
      <c r="H538" t="s">
        <v>41</v>
      </c>
      <c r="I538">
        <v>23.935836159456201</v>
      </c>
      <c r="J538">
        <v>24.038345815997001</v>
      </c>
      <c r="K538">
        <v>19.2121313384045</v>
      </c>
      <c r="L538">
        <v>8.2390335848584009</v>
      </c>
    </row>
    <row r="539" spans="1:12" x14ac:dyDescent="0.25">
      <c r="A539" t="str">
        <f t="shared" si="10"/>
        <v>TLE</v>
      </c>
      <c r="C539" t="s">
        <v>411</v>
      </c>
      <c r="D539" t="s">
        <v>76</v>
      </c>
      <c r="E539" t="s">
        <v>69</v>
      </c>
      <c r="F539" t="s">
        <v>191</v>
      </c>
      <c r="G539" t="s">
        <v>36</v>
      </c>
      <c r="H539" t="s">
        <v>41</v>
      </c>
      <c r="I539">
        <v>49.696251302437403</v>
      </c>
      <c r="J539">
        <v>49.494145051527397</v>
      </c>
      <c r="K539">
        <v>41.525038057556799</v>
      </c>
      <c r="L539">
        <v>17.425784210998</v>
      </c>
    </row>
    <row r="540" spans="1:12" x14ac:dyDescent="0.25">
      <c r="A540" t="str">
        <f t="shared" si="10"/>
        <v>TLE</v>
      </c>
      <c r="C540" s="55" t="s">
        <v>411</v>
      </c>
      <c r="D540" t="s">
        <v>76</v>
      </c>
      <c r="E540" t="s">
        <v>69</v>
      </c>
      <c r="F540" t="s">
        <v>191</v>
      </c>
      <c r="G540" t="s">
        <v>37</v>
      </c>
      <c r="H540" t="s">
        <v>41</v>
      </c>
      <c r="I540">
        <v>30.210554909906499</v>
      </c>
      <c r="J540">
        <v>30.0960697490904</v>
      </c>
      <c r="K540">
        <v>25.6003274141651</v>
      </c>
      <c r="L540">
        <v>11.1796855110001</v>
      </c>
    </row>
    <row r="541" spans="1:12" x14ac:dyDescent="0.25">
      <c r="A541" t="str">
        <f t="shared" si="10"/>
        <v>TLE</v>
      </c>
      <c r="C541" s="55" t="s">
        <v>411</v>
      </c>
      <c r="D541" t="s">
        <v>76</v>
      </c>
      <c r="E541" t="s">
        <v>69</v>
      </c>
      <c r="F541" t="s">
        <v>191</v>
      </c>
      <c r="G541" t="s">
        <v>38</v>
      </c>
      <c r="H541" t="s">
        <v>41</v>
      </c>
      <c r="I541">
        <v>64.824608540459707</v>
      </c>
      <c r="J541">
        <v>65.418435307972203</v>
      </c>
      <c r="K541">
        <v>54.9236663991596</v>
      </c>
      <c r="L541">
        <v>23.356196411731801</v>
      </c>
    </row>
    <row r="542" spans="1:12" x14ac:dyDescent="0.25">
      <c r="A542" t="str">
        <f t="shared" si="10"/>
        <v>TLE</v>
      </c>
      <c r="C542" s="55" t="s">
        <v>411</v>
      </c>
      <c r="D542" t="s">
        <v>76</v>
      </c>
      <c r="E542" t="s">
        <v>69</v>
      </c>
      <c r="F542" t="s">
        <v>192</v>
      </c>
      <c r="G542" t="s">
        <v>30</v>
      </c>
      <c r="H542" t="s">
        <v>41</v>
      </c>
      <c r="I542">
        <v>0.15369981359689699</v>
      </c>
      <c r="J542">
        <v>0.15369981359689699</v>
      </c>
      <c r="K542">
        <v>0.146239875009162</v>
      </c>
      <c r="L542">
        <v>0.103866307715113</v>
      </c>
    </row>
    <row r="543" spans="1:12" x14ac:dyDescent="0.25">
      <c r="A543" t="str">
        <f t="shared" si="10"/>
        <v>TLE</v>
      </c>
      <c r="C543" s="55" t="s">
        <v>411</v>
      </c>
      <c r="D543" t="s">
        <v>76</v>
      </c>
      <c r="E543" t="s">
        <v>69</v>
      </c>
      <c r="F543" t="s">
        <v>192</v>
      </c>
      <c r="G543" t="s">
        <v>31</v>
      </c>
      <c r="H543" t="s">
        <v>41</v>
      </c>
      <c r="I543">
        <v>0.43151466497001301</v>
      </c>
      <c r="J543">
        <v>0.43151466497001301</v>
      </c>
      <c r="K543">
        <v>0.41073832786356301</v>
      </c>
      <c r="L543">
        <v>0.28251655721077101</v>
      </c>
    </row>
    <row r="544" spans="1:12" x14ac:dyDescent="0.25">
      <c r="A544" t="str">
        <f t="shared" si="10"/>
        <v>TLE</v>
      </c>
      <c r="C544" s="55" t="s">
        <v>411</v>
      </c>
      <c r="D544" t="s">
        <v>76</v>
      </c>
      <c r="E544" t="s">
        <v>69</v>
      </c>
      <c r="F544" t="s">
        <v>192</v>
      </c>
      <c r="G544" t="s">
        <v>32</v>
      </c>
      <c r="H544" t="s">
        <v>41</v>
      </c>
      <c r="J544">
        <v>0.501196195001956</v>
      </c>
      <c r="K544">
        <v>0.47759553449016501</v>
      </c>
      <c r="L544">
        <v>0.33244512966453099</v>
      </c>
    </row>
    <row r="545" spans="1:12" x14ac:dyDescent="0.25">
      <c r="A545" t="str">
        <f t="shared" si="10"/>
        <v>TLE</v>
      </c>
      <c r="C545" s="55" t="s">
        <v>411</v>
      </c>
      <c r="D545" t="s">
        <v>76</v>
      </c>
      <c r="E545" t="s">
        <v>69</v>
      </c>
      <c r="F545" t="s">
        <v>192</v>
      </c>
      <c r="G545" t="s">
        <v>33</v>
      </c>
      <c r="H545" t="s">
        <v>41</v>
      </c>
      <c r="I545">
        <v>0.203011687879285</v>
      </c>
      <c r="J545">
        <v>0.203011687879285</v>
      </c>
      <c r="K545">
        <v>0.19226088460447399</v>
      </c>
      <c r="L545">
        <v>0.12888544362851101</v>
      </c>
    </row>
    <row r="546" spans="1:12" x14ac:dyDescent="0.25">
      <c r="A546" t="str">
        <f t="shared" si="10"/>
        <v>TLE</v>
      </c>
      <c r="C546" s="55" t="s">
        <v>411</v>
      </c>
      <c r="D546" t="s">
        <v>76</v>
      </c>
      <c r="E546" t="s">
        <v>69</v>
      </c>
      <c r="F546" t="s">
        <v>192</v>
      </c>
      <c r="G546" t="s">
        <v>34</v>
      </c>
      <c r="H546" t="s">
        <v>41</v>
      </c>
      <c r="I546">
        <v>0.63873961421914205</v>
      </c>
      <c r="J546">
        <v>0.63873961421914205</v>
      </c>
      <c r="K546">
        <v>0.61089932076603304</v>
      </c>
      <c r="L546">
        <v>0.42642738691502802</v>
      </c>
    </row>
    <row r="547" spans="1:12" x14ac:dyDescent="0.25">
      <c r="A547" t="str">
        <f t="shared" si="10"/>
        <v>TLE</v>
      </c>
      <c r="C547" s="55" t="s">
        <v>411</v>
      </c>
      <c r="D547" t="s">
        <v>76</v>
      </c>
      <c r="E547" t="s">
        <v>69</v>
      </c>
      <c r="F547" t="s">
        <v>192</v>
      </c>
      <c r="G547" t="s">
        <v>35</v>
      </c>
      <c r="H547" t="s">
        <v>41</v>
      </c>
      <c r="I547">
        <v>0.17440754558726801</v>
      </c>
      <c r="J547">
        <v>0.17440754558726801</v>
      </c>
      <c r="K547">
        <v>0.164930585380794</v>
      </c>
      <c r="L547">
        <v>0.111453405128284</v>
      </c>
    </row>
    <row r="548" spans="1:12" x14ac:dyDescent="0.25">
      <c r="A548" t="str">
        <f t="shared" si="10"/>
        <v>TLE</v>
      </c>
      <c r="C548" s="55" t="s">
        <v>411</v>
      </c>
      <c r="D548" t="s">
        <v>76</v>
      </c>
      <c r="E548" t="s">
        <v>69</v>
      </c>
      <c r="F548" t="s">
        <v>192</v>
      </c>
      <c r="G548" t="s">
        <v>36</v>
      </c>
      <c r="H548" t="s">
        <v>41</v>
      </c>
      <c r="I548">
        <v>0.393735279611098</v>
      </c>
      <c r="J548">
        <v>0.393735279611098</v>
      </c>
      <c r="K548">
        <v>0.37425379441009798</v>
      </c>
      <c r="L548">
        <v>0.25171004480624698</v>
      </c>
    </row>
    <row r="549" spans="1:12" x14ac:dyDescent="0.25">
      <c r="A549" t="str">
        <f t="shared" si="10"/>
        <v>TLE</v>
      </c>
      <c r="C549" t="s">
        <v>411</v>
      </c>
      <c r="D549" t="s">
        <v>76</v>
      </c>
      <c r="E549" t="s">
        <v>69</v>
      </c>
      <c r="F549" t="s">
        <v>192</v>
      </c>
      <c r="G549" t="s">
        <v>37</v>
      </c>
      <c r="H549" t="s">
        <v>41</v>
      </c>
      <c r="I549">
        <v>0.25691460097532198</v>
      </c>
      <c r="J549">
        <v>0.25691460097532198</v>
      </c>
      <c r="K549">
        <v>0.24481631147112701</v>
      </c>
      <c r="L549">
        <v>0.16875014438540201</v>
      </c>
    </row>
    <row r="550" spans="1:12" x14ac:dyDescent="0.25">
      <c r="A550" t="str">
        <f t="shared" si="10"/>
        <v>TLE</v>
      </c>
      <c r="C550" t="s">
        <v>411</v>
      </c>
      <c r="D550" t="s">
        <v>76</v>
      </c>
      <c r="E550" t="s">
        <v>69</v>
      </c>
      <c r="F550" t="s">
        <v>192</v>
      </c>
      <c r="G550" t="s">
        <v>38</v>
      </c>
      <c r="H550" t="s">
        <v>41</v>
      </c>
      <c r="I550">
        <v>0.53476456583112297</v>
      </c>
      <c r="J550">
        <v>0.53476456583112297</v>
      </c>
      <c r="K550">
        <v>0.50969687169924605</v>
      </c>
      <c r="L550">
        <v>0.34679485604278698</v>
      </c>
    </row>
    <row r="551" spans="1:12" x14ac:dyDescent="0.25">
      <c r="A551" t="str">
        <f t="shared" si="10"/>
        <v>TLE</v>
      </c>
      <c r="C551" t="s">
        <v>411</v>
      </c>
      <c r="D551" t="s">
        <v>76</v>
      </c>
      <c r="E551" t="s">
        <v>69</v>
      </c>
      <c r="F551" t="s">
        <v>193</v>
      </c>
      <c r="G551" t="s">
        <v>30</v>
      </c>
      <c r="H551" t="s">
        <v>41</v>
      </c>
      <c r="I551">
        <v>5.3583908338535498</v>
      </c>
      <c r="J551">
        <v>4.9302015847695397</v>
      </c>
      <c r="K551">
        <v>2.9692610710739</v>
      </c>
      <c r="L551">
        <v>1.3169665036531799</v>
      </c>
    </row>
    <row r="552" spans="1:12" x14ac:dyDescent="0.25">
      <c r="A552" t="str">
        <f t="shared" si="10"/>
        <v>TLE</v>
      </c>
      <c r="C552" t="s">
        <v>411</v>
      </c>
      <c r="D552" t="s">
        <v>76</v>
      </c>
      <c r="E552" t="s">
        <v>69</v>
      </c>
      <c r="F552" t="s">
        <v>193</v>
      </c>
      <c r="G552" t="s">
        <v>31</v>
      </c>
      <c r="H552" t="s">
        <v>41</v>
      </c>
      <c r="I552">
        <v>15.1774880003232</v>
      </c>
      <c r="J552">
        <v>13.965180427650299</v>
      </c>
      <c r="K552">
        <v>8.4363314389356994</v>
      </c>
      <c r="L552">
        <v>3.5447634362213498</v>
      </c>
    </row>
    <row r="553" spans="1:12" x14ac:dyDescent="0.25">
      <c r="A553" t="str">
        <f t="shared" si="10"/>
        <v>TLE</v>
      </c>
      <c r="C553" t="s">
        <v>411</v>
      </c>
      <c r="D553" t="s">
        <v>76</v>
      </c>
      <c r="E553" t="s">
        <v>69</v>
      </c>
      <c r="F553" t="s">
        <v>193</v>
      </c>
      <c r="G553" t="s">
        <v>32</v>
      </c>
      <c r="H553" t="s">
        <v>41</v>
      </c>
      <c r="I553">
        <v>16.827028673681699</v>
      </c>
      <c r="J553">
        <v>15.459294398884399</v>
      </c>
      <c r="K553">
        <v>9.4455402892682407</v>
      </c>
      <c r="L553">
        <v>4.1113292028569299</v>
      </c>
    </row>
    <row r="554" spans="1:12" x14ac:dyDescent="0.25">
      <c r="A554" t="str">
        <f t="shared" si="10"/>
        <v>TLE</v>
      </c>
      <c r="C554" t="s">
        <v>411</v>
      </c>
      <c r="D554" t="s">
        <v>76</v>
      </c>
      <c r="E554" t="s">
        <v>69</v>
      </c>
      <c r="F554" t="s">
        <v>193</v>
      </c>
      <c r="G554" t="s">
        <v>33</v>
      </c>
      <c r="H554" t="s">
        <v>41</v>
      </c>
      <c r="I554">
        <v>7.6211456060509901</v>
      </c>
      <c r="J554">
        <v>6.9816307553917403</v>
      </c>
      <c r="K554">
        <v>4.1677393922441004</v>
      </c>
      <c r="L554">
        <v>1.7553504414413099</v>
      </c>
    </row>
    <row r="555" spans="1:12" x14ac:dyDescent="0.25">
      <c r="A555" t="str">
        <f t="shared" si="10"/>
        <v>TLE</v>
      </c>
      <c r="C555" t="s">
        <v>411</v>
      </c>
      <c r="D555" t="s">
        <v>76</v>
      </c>
      <c r="E555" t="s">
        <v>69</v>
      </c>
      <c r="F555" t="s">
        <v>193</v>
      </c>
      <c r="G555" t="s">
        <v>34</v>
      </c>
      <c r="H555" t="s">
        <v>41</v>
      </c>
      <c r="I555">
        <v>21.611821539603401</v>
      </c>
      <c r="J555">
        <v>19.972162745963502</v>
      </c>
      <c r="K555">
        <v>12.549571236713099</v>
      </c>
      <c r="L555">
        <v>5.5663958006265304</v>
      </c>
    </row>
    <row r="556" spans="1:12" x14ac:dyDescent="0.25">
      <c r="A556" t="str">
        <f t="shared" si="10"/>
        <v>TLE</v>
      </c>
      <c r="C556" t="s">
        <v>411</v>
      </c>
      <c r="D556" t="s">
        <v>76</v>
      </c>
      <c r="E556" t="s">
        <v>69</v>
      </c>
      <c r="F556" t="s">
        <v>193</v>
      </c>
      <c r="G556" t="s">
        <v>35</v>
      </c>
      <c r="H556" t="s">
        <v>41</v>
      </c>
      <c r="I556">
        <v>6.5939371017690203</v>
      </c>
      <c r="J556">
        <v>6.0176968243203399</v>
      </c>
      <c r="K556">
        <v>3.5568908144398601</v>
      </c>
      <c r="L556">
        <v>1.5253561596918599</v>
      </c>
    </row>
    <row r="557" spans="1:12" x14ac:dyDescent="0.25">
      <c r="A557" t="str">
        <f t="shared" si="10"/>
        <v>TLE</v>
      </c>
      <c r="C557" t="s">
        <v>411</v>
      </c>
      <c r="D557" t="s">
        <v>76</v>
      </c>
      <c r="E557" t="s">
        <v>69</v>
      </c>
      <c r="F557" t="s">
        <v>193</v>
      </c>
      <c r="G557" t="s">
        <v>36</v>
      </c>
      <c r="H557" t="s">
        <v>41</v>
      </c>
      <c r="I557">
        <v>13.676400102815199</v>
      </c>
      <c r="J557">
        <v>12.5742391325731</v>
      </c>
      <c r="K557">
        <v>7.6878522135095704</v>
      </c>
      <c r="L557">
        <v>3.2261705222996602</v>
      </c>
    </row>
    <row r="558" spans="1:12" x14ac:dyDescent="0.25">
      <c r="A558" t="str">
        <f t="shared" si="10"/>
        <v>TLE</v>
      </c>
      <c r="C558" s="55" t="s">
        <v>411</v>
      </c>
      <c r="D558" t="s">
        <v>76</v>
      </c>
      <c r="E558" t="s">
        <v>69</v>
      </c>
      <c r="F558" t="s">
        <v>193</v>
      </c>
      <c r="G558" t="s">
        <v>37</v>
      </c>
      <c r="H558" t="s">
        <v>41</v>
      </c>
      <c r="I558">
        <v>8.31449182037497</v>
      </c>
      <c r="J558">
        <v>7.6592245727204</v>
      </c>
      <c r="K558">
        <v>4.739587077675</v>
      </c>
      <c r="L558">
        <v>2.0697818478324699</v>
      </c>
    </row>
    <row r="559" spans="1:12" x14ac:dyDescent="0.25">
      <c r="A559" t="str">
        <f t="shared" si="10"/>
        <v>TLE</v>
      </c>
      <c r="C559" s="55" t="s">
        <v>411</v>
      </c>
      <c r="D559" t="s">
        <v>76</v>
      </c>
      <c r="E559" t="s">
        <v>69</v>
      </c>
      <c r="F559" t="s">
        <v>193</v>
      </c>
      <c r="G559" t="s">
        <v>38</v>
      </c>
      <c r="H559" t="s">
        <v>41</v>
      </c>
      <c r="I559">
        <v>17.875810986695399</v>
      </c>
      <c r="J559">
        <v>16.4822288086004</v>
      </c>
      <c r="K559">
        <v>10.1684441496616</v>
      </c>
      <c r="L559">
        <v>4.3241137078360801</v>
      </c>
    </row>
    <row r="560" spans="1:12" x14ac:dyDescent="0.25">
      <c r="A560" t="str">
        <f t="shared" si="10"/>
        <v>TLE</v>
      </c>
      <c r="C560" s="55" t="s">
        <v>411</v>
      </c>
      <c r="D560" t="s">
        <v>76</v>
      </c>
      <c r="E560" t="s">
        <v>69</v>
      </c>
      <c r="F560" t="s">
        <v>194</v>
      </c>
      <c r="G560" t="s">
        <v>30</v>
      </c>
      <c r="H560" t="s">
        <v>41</v>
      </c>
      <c r="I560">
        <v>6.1479925438758597E-2</v>
      </c>
      <c r="J560">
        <v>6.1479925438758597E-2</v>
      </c>
      <c r="K560">
        <v>5.8495950003664698E-2</v>
      </c>
      <c r="L560">
        <v>4.1546523086045103E-2</v>
      </c>
    </row>
    <row r="561" spans="1:12" x14ac:dyDescent="0.25">
      <c r="A561" t="str">
        <f t="shared" si="10"/>
        <v>TLE</v>
      </c>
      <c r="C561" s="55" t="s">
        <v>411</v>
      </c>
      <c r="D561" t="s">
        <v>76</v>
      </c>
      <c r="E561" t="s">
        <v>69</v>
      </c>
      <c r="F561" t="s">
        <v>194</v>
      </c>
      <c r="G561" t="s">
        <v>31</v>
      </c>
      <c r="H561" t="s">
        <v>41</v>
      </c>
      <c r="I561">
        <v>0.17260586598800501</v>
      </c>
      <c r="J561">
        <v>0.17260586598800501</v>
      </c>
      <c r="K561">
        <v>0.16429533114542499</v>
      </c>
      <c r="L561">
        <v>0.113006622884308</v>
      </c>
    </row>
    <row r="562" spans="1:12" x14ac:dyDescent="0.25">
      <c r="A562" t="str">
        <f t="shared" si="10"/>
        <v>TLE</v>
      </c>
      <c r="C562" s="55" t="s">
        <v>411</v>
      </c>
      <c r="D562" t="s">
        <v>76</v>
      </c>
      <c r="E562" t="s">
        <v>69</v>
      </c>
      <c r="F562" t="s">
        <v>194</v>
      </c>
      <c r="G562" t="s">
        <v>32</v>
      </c>
      <c r="H562" t="s">
        <v>41</v>
      </c>
      <c r="I562">
        <v>0.200478478000783</v>
      </c>
      <c r="J562">
        <v>0.200478478000783</v>
      </c>
      <c r="K562">
        <v>0.191038213796066</v>
      </c>
      <c r="L562">
        <v>0.13297805186581199</v>
      </c>
    </row>
    <row r="563" spans="1:12" x14ac:dyDescent="0.25">
      <c r="A563" t="str">
        <f t="shared" si="10"/>
        <v>TLE</v>
      </c>
      <c r="C563" s="55" t="s">
        <v>411</v>
      </c>
      <c r="D563" t="s">
        <v>76</v>
      </c>
      <c r="E563" t="s">
        <v>69</v>
      </c>
      <c r="F563" t="s">
        <v>194</v>
      </c>
      <c r="G563" t="s">
        <v>33</v>
      </c>
      <c r="H563" t="s">
        <v>41</v>
      </c>
      <c r="I563">
        <v>8.1204675151714006E-2</v>
      </c>
      <c r="J563">
        <v>8.1204675151714006E-2</v>
      </c>
      <c r="K563">
        <v>7.6904353841789494E-2</v>
      </c>
      <c r="L563">
        <v>5.15541774514044E-2</v>
      </c>
    </row>
    <row r="564" spans="1:12" x14ac:dyDescent="0.25">
      <c r="A564" t="str">
        <f t="shared" si="10"/>
        <v>TLE</v>
      </c>
      <c r="C564" s="55" t="s">
        <v>411</v>
      </c>
      <c r="D564" t="s">
        <v>76</v>
      </c>
      <c r="E564" t="s">
        <v>69</v>
      </c>
      <c r="F564" t="s">
        <v>194</v>
      </c>
      <c r="G564" t="s">
        <v>34</v>
      </c>
      <c r="H564" t="s">
        <v>41</v>
      </c>
      <c r="I564">
        <v>0.25549584568765699</v>
      </c>
      <c r="J564">
        <v>0.25549584568765699</v>
      </c>
      <c r="K564">
        <v>0.244359728306413</v>
      </c>
      <c r="L564">
        <v>0.170570954766011</v>
      </c>
    </row>
    <row r="565" spans="1:12" x14ac:dyDescent="0.25">
      <c r="A565" t="str">
        <f t="shared" si="10"/>
        <v>TLE</v>
      </c>
      <c r="C565" s="55" t="s">
        <v>411</v>
      </c>
      <c r="D565" t="s">
        <v>76</v>
      </c>
      <c r="E565" t="s">
        <v>69</v>
      </c>
      <c r="F565" t="s">
        <v>194</v>
      </c>
      <c r="G565" t="s">
        <v>35</v>
      </c>
      <c r="H565" t="s">
        <v>41</v>
      </c>
      <c r="I565">
        <v>6.9763018234907201E-2</v>
      </c>
      <c r="J565">
        <v>6.9763018234907201E-2</v>
      </c>
      <c r="K565">
        <v>6.5972234152317399E-2</v>
      </c>
      <c r="L565">
        <v>4.4581362051313501E-2</v>
      </c>
    </row>
    <row r="566" spans="1:12" x14ac:dyDescent="0.25">
      <c r="A566" t="str">
        <f t="shared" si="10"/>
        <v>TLE</v>
      </c>
      <c r="C566" s="55" t="s">
        <v>411</v>
      </c>
      <c r="D566" t="s">
        <v>76</v>
      </c>
      <c r="E566" t="s">
        <v>69</v>
      </c>
      <c r="F566" t="s">
        <v>194</v>
      </c>
      <c r="G566" t="s">
        <v>36</v>
      </c>
      <c r="H566" t="s">
        <v>41</v>
      </c>
      <c r="I566">
        <v>0.15749411184443901</v>
      </c>
      <c r="J566">
        <v>0.15749411184443901</v>
      </c>
      <c r="K566">
        <v>0.149701517764039</v>
      </c>
      <c r="L566">
        <v>0.10068401792249899</v>
      </c>
    </row>
    <row r="567" spans="1:12" x14ac:dyDescent="0.25">
      <c r="A567" t="str">
        <f t="shared" si="10"/>
        <v>TLE</v>
      </c>
      <c r="C567" t="s">
        <v>411</v>
      </c>
      <c r="D567" t="s">
        <v>76</v>
      </c>
      <c r="E567" t="s">
        <v>69</v>
      </c>
      <c r="F567" t="s">
        <v>194</v>
      </c>
      <c r="G567" t="s">
        <v>37</v>
      </c>
      <c r="H567" t="s">
        <v>41</v>
      </c>
      <c r="I567">
        <v>0.102765840390129</v>
      </c>
      <c r="J567">
        <v>0.102765840390129</v>
      </c>
      <c r="K567">
        <v>9.79265245884509E-2</v>
      </c>
      <c r="L567">
        <v>6.7500057754160597E-2</v>
      </c>
    </row>
    <row r="568" spans="1:12" x14ac:dyDescent="0.25">
      <c r="A568" t="str">
        <f t="shared" si="10"/>
        <v>TLE</v>
      </c>
      <c r="C568" t="s">
        <v>411</v>
      </c>
      <c r="D568" t="s">
        <v>76</v>
      </c>
      <c r="E568" t="s">
        <v>69</v>
      </c>
      <c r="F568" t="s">
        <v>194</v>
      </c>
      <c r="G568" t="s">
        <v>38</v>
      </c>
      <c r="H568" t="s">
        <v>41</v>
      </c>
      <c r="I568">
        <v>0.21390582633244901</v>
      </c>
      <c r="J568">
        <v>0.21390582633244901</v>
      </c>
      <c r="K568">
        <v>0.20387874867969899</v>
      </c>
      <c r="L568">
        <v>0.13871794241711499</v>
      </c>
    </row>
    <row r="569" spans="1:12" x14ac:dyDescent="0.25">
      <c r="A569" t="str">
        <f t="shared" si="10"/>
        <v>TLF</v>
      </c>
      <c r="C569" t="s">
        <v>411</v>
      </c>
      <c r="D569" t="s">
        <v>76</v>
      </c>
      <c r="E569" t="s">
        <v>69</v>
      </c>
      <c r="F569" t="s">
        <v>71</v>
      </c>
      <c r="G569" t="s">
        <v>30</v>
      </c>
      <c r="H569" t="s">
        <v>41</v>
      </c>
      <c r="J569">
        <v>1.0455284327793799</v>
      </c>
      <c r="K569">
        <v>12.0794567251241</v>
      </c>
      <c r="L569">
        <v>24.570046540244402</v>
      </c>
    </row>
    <row r="570" spans="1:12" x14ac:dyDescent="0.25">
      <c r="A570" t="str">
        <f t="shared" si="10"/>
        <v>TLF</v>
      </c>
      <c r="C570" t="s">
        <v>411</v>
      </c>
      <c r="D570" t="s">
        <v>76</v>
      </c>
      <c r="E570" t="s">
        <v>69</v>
      </c>
      <c r="F570" t="s">
        <v>71</v>
      </c>
      <c r="G570" t="s">
        <v>31</v>
      </c>
      <c r="H570" t="s">
        <v>41</v>
      </c>
      <c r="J570">
        <v>2.84937818293115</v>
      </c>
      <c r="K570">
        <v>33.690589252095201</v>
      </c>
      <c r="L570">
        <v>69.588884863183196</v>
      </c>
    </row>
    <row r="571" spans="1:12" x14ac:dyDescent="0.25">
      <c r="A571" t="str">
        <f t="shared" si="10"/>
        <v>TLF</v>
      </c>
      <c r="C571" t="s">
        <v>411</v>
      </c>
      <c r="D571" t="s">
        <v>76</v>
      </c>
      <c r="E571" t="s">
        <v>69</v>
      </c>
      <c r="F571" t="s">
        <v>71</v>
      </c>
      <c r="G571" t="s">
        <v>32</v>
      </c>
      <c r="H571" t="s">
        <v>41</v>
      </c>
      <c r="J571">
        <v>3.779943601097</v>
      </c>
      <c r="K571">
        <v>36.127785547203999</v>
      </c>
      <c r="L571">
        <v>74.978499723696103</v>
      </c>
    </row>
    <row r="572" spans="1:12" x14ac:dyDescent="0.25">
      <c r="A572" t="str">
        <f t="shared" si="10"/>
        <v>TLF</v>
      </c>
      <c r="C572" t="s">
        <v>411</v>
      </c>
      <c r="D572" t="s">
        <v>76</v>
      </c>
      <c r="E572" t="s">
        <v>69</v>
      </c>
      <c r="F572" t="s">
        <v>71</v>
      </c>
      <c r="G572" t="s">
        <v>33</v>
      </c>
      <c r="H572" t="s">
        <v>41</v>
      </c>
      <c r="J572">
        <v>1.63380584693848</v>
      </c>
      <c r="K572">
        <v>18.084627151716401</v>
      </c>
      <c r="L572">
        <v>36.975369014517</v>
      </c>
    </row>
    <row r="573" spans="1:12" x14ac:dyDescent="0.25">
      <c r="A573" t="str">
        <f t="shared" si="10"/>
        <v>TLF</v>
      </c>
      <c r="C573" t="s">
        <v>411</v>
      </c>
      <c r="D573" t="s">
        <v>76</v>
      </c>
      <c r="E573" t="s">
        <v>69</v>
      </c>
      <c r="F573" t="s">
        <v>71</v>
      </c>
      <c r="G573" t="s">
        <v>34</v>
      </c>
      <c r="H573" t="s">
        <v>41</v>
      </c>
      <c r="J573">
        <v>4.6707129931146802</v>
      </c>
      <c r="K573">
        <v>50.075612823287301</v>
      </c>
      <c r="L573">
        <v>107.99136494734</v>
      </c>
    </row>
    <row r="574" spans="1:12" x14ac:dyDescent="0.25">
      <c r="A574" t="str">
        <f t="shared" si="10"/>
        <v>TLF</v>
      </c>
      <c r="C574" t="s">
        <v>411</v>
      </c>
      <c r="D574" t="s">
        <v>76</v>
      </c>
      <c r="E574" t="s">
        <v>69</v>
      </c>
      <c r="F574" t="s">
        <v>71</v>
      </c>
      <c r="G574" t="s">
        <v>35</v>
      </c>
      <c r="H574" t="s">
        <v>41</v>
      </c>
      <c r="J574">
        <v>1.5762626023005699</v>
      </c>
      <c r="K574">
        <v>15.6936883829819</v>
      </c>
      <c r="L574">
        <v>31.579512517614699</v>
      </c>
    </row>
    <row r="575" spans="1:12" x14ac:dyDescent="0.25">
      <c r="A575" t="str">
        <f t="shared" si="10"/>
        <v>TLF</v>
      </c>
      <c r="C575" t="s">
        <v>411</v>
      </c>
      <c r="D575" t="s">
        <v>76</v>
      </c>
      <c r="E575" t="s">
        <v>69</v>
      </c>
      <c r="F575" t="s">
        <v>71</v>
      </c>
      <c r="G575" t="s">
        <v>36</v>
      </c>
      <c r="H575" t="s">
        <v>41</v>
      </c>
      <c r="J575">
        <v>4.2526621706617496</v>
      </c>
      <c r="K575">
        <v>34.185103509377797</v>
      </c>
      <c r="L575">
        <v>71.6986360378162</v>
      </c>
    </row>
    <row r="576" spans="1:12" x14ac:dyDescent="0.25">
      <c r="A576" t="str">
        <f t="shared" si="10"/>
        <v>TLF</v>
      </c>
      <c r="C576" s="55" t="s">
        <v>411</v>
      </c>
      <c r="D576" t="s">
        <v>76</v>
      </c>
      <c r="E576" t="s">
        <v>69</v>
      </c>
      <c r="F576" t="s">
        <v>71</v>
      </c>
      <c r="G576" t="s">
        <v>37</v>
      </c>
      <c r="H576" t="s">
        <v>41</v>
      </c>
      <c r="J576">
        <v>2.7997776975807001</v>
      </c>
      <c r="K576">
        <v>19.480188841515101</v>
      </c>
      <c r="L576">
        <v>42.0125085284036</v>
      </c>
    </row>
    <row r="577" spans="1:12" x14ac:dyDescent="0.25">
      <c r="A577" t="str">
        <f t="shared" si="10"/>
        <v>TLF</v>
      </c>
      <c r="C577" s="55" t="s">
        <v>411</v>
      </c>
      <c r="D577" t="s">
        <v>76</v>
      </c>
      <c r="E577" t="s">
        <v>69</v>
      </c>
      <c r="F577" t="s">
        <v>71</v>
      </c>
      <c r="G577" t="s">
        <v>38</v>
      </c>
      <c r="H577" t="s">
        <v>41</v>
      </c>
      <c r="J577">
        <v>4.3731959438944301</v>
      </c>
      <c r="K577">
        <v>42.276331120606201</v>
      </c>
      <c r="L577">
        <v>89.793453890794197</v>
      </c>
    </row>
    <row r="578" spans="1:12" x14ac:dyDescent="0.25">
      <c r="A578" t="str">
        <f t="shared" si="10"/>
        <v>TLF</v>
      </c>
      <c r="C578" s="55" t="s">
        <v>411</v>
      </c>
      <c r="D578" t="s">
        <v>76</v>
      </c>
      <c r="E578" t="s">
        <v>69</v>
      </c>
      <c r="F578" t="s">
        <v>195</v>
      </c>
      <c r="G578" t="s">
        <v>30</v>
      </c>
      <c r="H578" t="s">
        <v>41</v>
      </c>
    </row>
    <row r="579" spans="1:12" x14ac:dyDescent="0.25">
      <c r="A579" t="str">
        <f t="shared" si="10"/>
        <v>TLF</v>
      </c>
      <c r="C579" s="55" t="s">
        <v>411</v>
      </c>
      <c r="D579" t="s">
        <v>76</v>
      </c>
      <c r="E579" t="s">
        <v>69</v>
      </c>
      <c r="F579" t="s">
        <v>195</v>
      </c>
      <c r="G579" t="s">
        <v>31</v>
      </c>
      <c r="H579" t="s">
        <v>41</v>
      </c>
    </row>
    <row r="580" spans="1:12" x14ac:dyDescent="0.25">
      <c r="A580" t="str">
        <f t="shared" si="10"/>
        <v>TLF</v>
      </c>
      <c r="C580" s="55" t="s">
        <v>411</v>
      </c>
      <c r="D580" t="s">
        <v>76</v>
      </c>
      <c r="E580" t="s">
        <v>69</v>
      </c>
      <c r="F580" t="s">
        <v>195</v>
      </c>
      <c r="G580" t="s">
        <v>32</v>
      </c>
      <c r="H580" t="s">
        <v>41</v>
      </c>
    </row>
    <row r="581" spans="1:12" x14ac:dyDescent="0.25">
      <c r="A581" t="str">
        <f t="shared" si="10"/>
        <v>TLF</v>
      </c>
      <c r="C581" s="55" t="s">
        <v>411</v>
      </c>
      <c r="D581" t="s">
        <v>76</v>
      </c>
      <c r="E581" t="s">
        <v>69</v>
      </c>
      <c r="F581" t="s">
        <v>195</v>
      </c>
      <c r="G581" t="s">
        <v>33</v>
      </c>
      <c r="H581" t="s">
        <v>41</v>
      </c>
    </row>
    <row r="582" spans="1:12" x14ac:dyDescent="0.25">
      <c r="A582" t="str">
        <f t="shared" si="10"/>
        <v>TLF</v>
      </c>
      <c r="C582" s="55" t="s">
        <v>411</v>
      </c>
      <c r="D582" t="s">
        <v>76</v>
      </c>
      <c r="E582" t="s">
        <v>69</v>
      </c>
      <c r="F582" t="s">
        <v>195</v>
      </c>
      <c r="G582" t="s">
        <v>34</v>
      </c>
      <c r="H582" t="s">
        <v>41</v>
      </c>
    </row>
    <row r="583" spans="1:12" x14ac:dyDescent="0.25">
      <c r="A583" t="str">
        <f t="shared" si="10"/>
        <v>TLF</v>
      </c>
      <c r="C583" s="55" t="s">
        <v>411</v>
      </c>
      <c r="D583" t="s">
        <v>76</v>
      </c>
      <c r="E583" t="s">
        <v>69</v>
      </c>
      <c r="F583" t="s">
        <v>195</v>
      </c>
      <c r="G583" t="s">
        <v>35</v>
      </c>
      <c r="H583" t="s">
        <v>41</v>
      </c>
    </row>
    <row r="584" spans="1:12" x14ac:dyDescent="0.25">
      <c r="A584" t="str">
        <f t="shared" si="10"/>
        <v>TLF</v>
      </c>
      <c r="C584" s="55" t="s">
        <v>411</v>
      </c>
      <c r="D584" t="s">
        <v>76</v>
      </c>
      <c r="E584" t="s">
        <v>69</v>
      </c>
      <c r="F584" t="s">
        <v>195</v>
      </c>
      <c r="G584" t="s">
        <v>36</v>
      </c>
      <c r="H584" t="s">
        <v>41</v>
      </c>
    </row>
    <row r="585" spans="1:12" x14ac:dyDescent="0.25">
      <c r="A585" t="str">
        <f t="shared" si="10"/>
        <v>TLF</v>
      </c>
      <c r="C585" t="s">
        <v>411</v>
      </c>
      <c r="D585" t="s">
        <v>76</v>
      </c>
      <c r="E585" t="s">
        <v>69</v>
      </c>
      <c r="F585" t="s">
        <v>195</v>
      </c>
      <c r="G585" t="s">
        <v>37</v>
      </c>
      <c r="H585" t="s">
        <v>41</v>
      </c>
    </row>
    <row r="586" spans="1:12" x14ac:dyDescent="0.25">
      <c r="A586" t="str">
        <f t="shared" si="10"/>
        <v>TLF</v>
      </c>
      <c r="C586" t="s">
        <v>411</v>
      </c>
      <c r="D586" t="s">
        <v>76</v>
      </c>
      <c r="E586" t="s">
        <v>69</v>
      </c>
      <c r="F586" t="s">
        <v>195</v>
      </c>
      <c r="G586" t="s">
        <v>38</v>
      </c>
      <c r="H586" t="s">
        <v>41</v>
      </c>
    </row>
    <row r="587" spans="1:12" x14ac:dyDescent="0.25">
      <c r="A587" t="str">
        <f t="shared" ref="A587:A650" si="11">LEFT(F587,3)</f>
        <v>TLL</v>
      </c>
      <c r="C587" t="s">
        <v>411</v>
      </c>
      <c r="D587" t="s">
        <v>76</v>
      </c>
      <c r="E587" t="s">
        <v>69</v>
      </c>
      <c r="F587" t="s">
        <v>72</v>
      </c>
      <c r="G587" t="s">
        <v>30</v>
      </c>
      <c r="H587" t="s">
        <v>41</v>
      </c>
      <c r="J587">
        <v>0.210613704945146</v>
      </c>
      <c r="K587">
        <v>1.1994702337421399</v>
      </c>
      <c r="L587">
        <v>1.92393293726672</v>
      </c>
    </row>
    <row r="588" spans="1:12" x14ac:dyDescent="0.25">
      <c r="A588" t="str">
        <f t="shared" si="11"/>
        <v>TLL</v>
      </c>
      <c r="C588" t="s">
        <v>411</v>
      </c>
      <c r="D588" t="s">
        <v>76</v>
      </c>
      <c r="E588" t="s">
        <v>69</v>
      </c>
      <c r="F588" t="s">
        <v>72</v>
      </c>
      <c r="G588" t="s">
        <v>31</v>
      </c>
      <c r="H588" t="s">
        <v>41</v>
      </c>
      <c r="J588">
        <v>0.56930373038598803</v>
      </c>
      <c r="K588">
        <v>3.3388284570382498</v>
      </c>
      <c r="L588">
        <v>5.4529560619636097</v>
      </c>
    </row>
    <row r="589" spans="1:12" x14ac:dyDescent="0.25">
      <c r="A589" t="str">
        <f t="shared" si="11"/>
        <v>TLL</v>
      </c>
      <c r="C589" t="s">
        <v>411</v>
      </c>
      <c r="D589" t="s">
        <v>76</v>
      </c>
      <c r="E589" t="s">
        <v>69</v>
      </c>
      <c r="F589" t="s">
        <v>72</v>
      </c>
      <c r="G589" t="s">
        <v>32</v>
      </c>
      <c r="H589" t="s">
        <v>41</v>
      </c>
      <c r="J589">
        <v>0.59534653898216505</v>
      </c>
      <c r="K589">
        <v>3.5318805212776101</v>
      </c>
      <c r="L589">
        <v>5.8424446151361202</v>
      </c>
    </row>
    <row r="590" spans="1:12" x14ac:dyDescent="0.25">
      <c r="A590" t="str">
        <f t="shared" si="11"/>
        <v>TLL</v>
      </c>
      <c r="C590" t="s">
        <v>411</v>
      </c>
      <c r="D590" t="s">
        <v>76</v>
      </c>
      <c r="E590" t="s">
        <v>69</v>
      </c>
      <c r="F590" t="s">
        <v>72</v>
      </c>
      <c r="G590" t="s">
        <v>33</v>
      </c>
      <c r="H590" t="s">
        <v>41</v>
      </c>
      <c r="J590">
        <v>0.32345386888128702</v>
      </c>
      <c r="K590">
        <v>1.7959052716573201</v>
      </c>
      <c r="L590">
        <v>2.9004330276339201</v>
      </c>
    </row>
    <row r="591" spans="1:12" x14ac:dyDescent="0.25">
      <c r="A591" t="str">
        <f t="shared" si="11"/>
        <v>TLL</v>
      </c>
      <c r="C591" t="s">
        <v>411</v>
      </c>
      <c r="D591" t="s">
        <v>76</v>
      </c>
      <c r="E591" t="s">
        <v>69</v>
      </c>
      <c r="F591" t="s">
        <v>72</v>
      </c>
      <c r="G591" t="s">
        <v>34</v>
      </c>
      <c r="H591" t="s">
        <v>41</v>
      </c>
      <c r="J591">
        <v>0.79747944512741897</v>
      </c>
      <c r="K591">
        <v>4.9172899295159</v>
      </c>
      <c r="L591">
        <v>8.4348828138736298</v>
      </c>
    </row>
    <row r="592" spans="1:12" x14ac:dyDescent="0.25">
      <c r="A592" t="str">
        <f t="shared" si="11"/>
        <v>TLL</v>
      </c>
      <c r="C592" t="s">
        <v>411</v>
      </c>
      <c r="D592" t="s">
        <v>76</v>
      </c>
      <c r="E592" t="s">
        <v>69</v>
      </c>
      <c r="F592" t="s">
        <v>72</v>
      </c>
      <c r="G592" t="s">
        <v>35</v>
      </c>
      <c r="H592" t="s">
        <v>41</v>
      </c>
      <c r="J592">
        <v>0.29199675114281598</v>
      </c>
      <c r="K592">
        <v>1.55550974134177</v>
      </c>
      <c r="L592">
        <v>2.4753504366549999</v>
      </c>
    </row>
    <row r="593" spans="1:12" x14ac:dyDescent="0.25">
      <c r="A593" t="str">
        <f t="shared" si="11"/>
        <v>TLL</v>
      </c>
      <c r="C593" t="s">
        <v>411</v>
      </c>
      <c r="D593" t="s">
        <v>76</v>
      </c>
      <c r="E593" t="s">
        <v>69</v>
      </c>
      <c r="F593" t="s">
        <v>72</v>
      </c>
      <c r="G593" t="s">
        <v>36</v>
      </c>
      <c r="H593" t="s">
        <v>41</v>
      </c>
      <c r="J593">
        <v>0.50277047442265099</v>
      </c>
      <c r="K593">
        <v>3.2663090804227002</v>
      </c>
      <c r="L593">
        <v>5.5839540737239703</v>
      </c>
    </row>
    <row r="594" spans="1:12" x14ac:dyDescent="0.25">
      <c r="A594" t="str">
        <f t="shared" si="11"/>
        <v>TLL</v>
      </c>
      <c r="C594" t="s">
        <v>411</v>
      </c>
      <c r="D594" t="s">
        <v>76</v>
      </c>
      <c r="E594" t="s">
        <v>69</v>
      </c>
      <c r="F594" t="s">
        <v>72</v>
      </c>
      <c r="G594" t="s">
        <v>37</v>
      </c>
      <c r="H594" t="s">
        <v>41</v>
      </c>
      <c r="J594">
        <v>0.29867808104624599</v>
      </c>
      <c r="K594">
        <v>1.8474425653870501</v>
      </c>
      <c r="L594">
        <v>3.2594996488960701</v>
      </c>
    </row>
    <row r="595" spans="1:12" x14ac:dyDescent="0.25">
      <c r="A595" t="str">
        <f t="shared" si="11"/>
        <v>TLL</v>
      </c>
      <c r="C595" t="s">
        <v>411</v>
      </c>
      <c r="D595" t="s">
        <v>76</v>
      </c>
      <c r="E595" t="s">
        <v>69</v>
      </c>
      <c r="F595" t="s">
        <v>72</v>
      </c>
      <c r="G595" t="s">
        <v>38</v>
      </c>
      <c r="H595" t="s">
        <v>41</v>
      </c>
      <c r="J595">
        <v>0.73817809844778304</v>
      </c>
      <c r="K595">
        <v>4.16314563766836</v>
      </c>
      <c r="L595">
        <v>7.0370223580144904</v>
      </c>
    </row>
    <row r="596" spans="1:12" x14ac:dyDescent="0.25">
      <c r="A596" t="str">
        <f t="shared" si="11"/>
        <v>TLL</v>
      </c>
      <c r="C596" t="s">
        <v>411</v>
      </c>
      <c r="D596" t="s">
        <v>76</v>
      </c>
      <c r="E596" t="s">
        <v>69</v>
      </c>
      <c r="F596" t="s">
        <v>423</v>
      </c>
      <c r="G596" t="s">
        <v>30</v>
      </c>
      <c r="H596" t="s">
        <v>41</v>
      </c>
      <c r="J596">
        <v>8.8827620543891397E-3</v>
      </c>
      <c r="K596">
        <v>9.1118449132898491E-3</v>
      </c>
      <c r="L596">
        <v>1.1958858526102199E-2</v>
      </c>
    </row>
    <row r="597" spans="1:12" x14ac:dyDescent="0.25">
      <c r="A597" t="str">
        <f t="shared" si="11"/>
        <v>TLL</v>
      </c>
      <c r="C597" t="s">
        <v>411</v>
      </c>
      <c r="D597" t="s">
        <v>76</v>
      </c>
      <c r="E597" t="s">
        <v>69</v>
      </c>
      <c r="F597" t="s">
        <v>423</v>
      </c>
      <c r="G597" t="s">
        <v>31</v>
      </c>
      <c r="H597" t="s">
        <v>41</v>
      </c>
      <c r="J597">
        <v>2.53117987409959E-2</v>
      </c>
      <c r="K597">
        <v>2.5775297236715001E-2</v>
      </c>
      <c r="L597">
        <v>3.4219587282083901E-2</v>
      </c>
    </row>
    <row r="598" spans="1:12" x14ac:dyDescent="0.25">
      <c r="A598" t="str">
        <f t="shared" si="11"/>
        <v>TLL</v>
      </c>
      <c r="C598" t="s">
        <v>411</v>
      </c>
      <c r="D598" t="s">
        <v>76</v>
      </c>
      <c r="E598" t="s">
        <v>69</v>
      </c>
      <c r="F598" t="s">
        <v>423</v>
      </c>
      <c r="G598" t="s">
        <v>32</v>
      </c>
      <c r="H598" t="s">
        <v>41</v>
      </c>
      <c r="J598">
        <v>2.5395730898023099E-2</v>
      </c>
      <c r="K598">
        <v>2.5356833174849901E-2</v>
      </c>
      <c r="L598">
        <v>3.5136146788426602E-2</v>
      </c>
    </row>
    <row r="599" spans="1:12" x14ac:dyDescent="0.25">
      <c r="A599" t="str">
        <f t="shared" si="11"/>
        <v>TLL</v>
      </c>
      <c r="C599" t="s">
        <v>411</v>
      </c>
      <c r="D599" t="s">
        <v>76</v>
      </c>
      <c r="E599" t="s">
        <v>69</v>
      </c>
      <c r="F599" t="s">
        <v>423</v>
      </c>
      <c r="G599" t="s">
        <v>33</v>
      </c>
      <c r="H599" t="s">
        <v>41</v>
      </c>
      <c r="J599">
        <v>1.4242385013421901E-2</v>
      </c>
      <c r="K599">
        <v>1.50282319461091E-2</v>
      </c>
      <c r="L599">
        <v>1.9730460301953901E-2</v>
      </c>
    </row>
    <row r="600" spans="1:12" x14ac:dyDescent="0.25">
      <c r="A600" t="str">
        <f t="shared" si="11"/>
        <v>TLL</v>
      </c>
      <c r="C600" t="s">
        <v>411</v>
      </c>
      <c r="D600" t="s">
        <v>76</v>
      </c>
      <c r="E600" t="s">
        <v>69</v>
      </c>
      <c r="F600" t="s">
        <v>423</v>
      </c>
      <c r="G600" t="s">
        <v>34</v>
      </c>
      <c r="H600" t="s">
        <v>41</v>
      </c>
      <c r="J600">
        <v>3.3917294151058798E-2</v>
      </c>
      <c r="K600">
        <v>3.7933914232566202E-2</v>
      </c>
      <c r="L600">
        <v>5.4357265497458E-2</v>
      </c>
    </row>
    <row r="601" spans="1:12" x14ac:dyDescent="0.25">
      <c r="A601" t="str">
        <f t="shared" si="11"/>
        <v>TLL</v>
      </c>
      <c r="C601" t="s">
        <v>411</v>
      </c>
      <c r="D601" t="s">
        <v>76</v>
      </c>
      <c r="E601" t="s">
        <v>69</v>
      </c>
      <c r="F601" t="s">
        <v>423</v>
      </c>
      <c r="G601" t="s">
        <v>35</v>
      </c>
      <c r="H601" t="s">
        <v>41</v>
      </c>
      <c r="J601">
        <v>1.2444651242977301E-2</v>
      </c>
      <c r="K601">
        <v>1.2934718334499801E-2</v>
      </c>
      <c r="L601">
        <v>1.68179293338852E-2</v>
      </c>
    </row>
    <row r="602" spans="1:12" x14ac:dyDescent="0.25">
      <c r="A602" t="str">
        <f t="shared" si="11"/>
        <v>TLL</v>
      </c>
      <c r="C602" t="s">
        <v>411</v>
      </c>
      <c r="D602" t="s">
        <v>76</v>
      </c>
      <c r="E602" t="s">
        <v>69</v>
      </c>
      <c r="F602" t="s">
        <v>423</v>
      </c>
      <c r="G602" t="s">
        <v>36</v>
      </c>
      <c r="H602" t="s">
        <v>41</v>
      </c>
      <c r="J602">
        <v>2.2192503503529901E-2</v>
      </c>
      <c r="K602">
        <v>2.5386136138414998E-2</v>
      </c>
      <c r="L602">
        <v>3.6937032820906802E-2</v>
      </c>
    </row>
    <row r="603" spans="1:12" x14ac:dyDescent="0.25">
      <c r="A603" t="str">
        <f t="shared" si="11"/>
        <v>TLL</v>
      </c>
      <c r="C603" t="s">
        <v>411</v>
      </c>
      <c r="D603" t="s">
        <v>76</v>
      </c>
      <c r="E603" t="s">
        <v>69</v>
      </c>
      <c r="F603" t="s">
        <v>423</v>
      </c>
      <c r="G603" t="s">
        <v>37</v>
      </c>
      <c r="H603" t="s">
        <v>41</v>
      </c>
      <c r="J603">
        <v>1.17618634565497E-2</v>
      </c>
      <c r="K603">
        <v>1.2848242891973701E-2</v>
      </c>
      <c r="L603">
        <v>2.02446862419603E-2</v>
      </c>
    </row>
    <row r="604" spans="1:12" x14ac:dyDescent="0.25">
      <c r="A604" t="str">
        <f t="shared" si="11"/>
        <v>TLL</v>
      </c>
      <c r="C604" t="s">
        <v>411</v>
      </c>
      <c r="D604" t="s">
        <v>76</v>
      </c>
      <c r="E604" t="s">
        <v>69</v>
      </c>
      <c r="F604" t="s">
        <v>423</v>
      </c>
      <c r="G604" t="s">
        <v>38</v>
      </c>
      <c r="H604" t="s">
        <v>41</v>
      </c>
      <c r="J604">
        <v>2.7911549894047899E-2</v>
      </c>
      <c r="K604">
        <v>3.07933303499906E-2</v>
      </c>
      <c r="L604">
        <v>4.4788740351950802E-2</v>
      </c>
    </row>
    <row r="605" spans="1:12" x14ac:dyDescent="0.25">
      <c r="A605" t="str">
        <f t="shared" si="11"/>
        <v>TLM</v>
      </c>
      <c r="C605" t="s">
        <v>411</v>
      </c>
      <c r="D605" t="s">
        <v>76</v>
      </c>
      <c r="E605" t="s">
        <v>69</v>
      </c>
      <c r="F605" t="s">
        <v>196</v>
      </c>
      <c r="G605" t="s">
        <v>30</v>
      </c>
      <c r="H605" t="s">
        <v>41</v>
      </c>
      <c r="J605">
        <v>3.0554915429951899E-2</v>
      </c>
      <c r="K605">
        <v>0.35301457818298598</v>
      </c>
      <c r="L605">
        <v>0.50397334280168404</v>
      </c>
    </row>
    <row r="606" spans="1:12" x14ac:dyDescent="0.25">
      <c r="A606" t="str">
        <f t="shared" si="11"/>
        <v>TLM</v>
      </c>
      <c r="C606" s="55" t="s">
        <v>411</v>
      </c>
      <c r="D606" t="s">
        <v>76</v>
      </c>
      <c r="E606" t="s">
        <v>69</v>
      </c>
      <c r="F606" t="s">
        <v>196</v>
      </c>
      <c r="G606" t="s">
        <v>31</v>
      </c>
      <c r="H606" t="s">
        <v>41</v>
      </c>
      <c r="J606">
        <v>8.3271297726422902E-2</v>
      </c>
      <c r="K606">
        <v>0.98458642836376897</v>
      </c>
      <c r="L606">
        <v>1.4343866332002599</v>
      </c>
    </row>
    <row r="607" spans="1:12" x14ac:dyDescent="0.25">
      <c r="A607" t="str">
        <f t="shared" si="11"/>
        <v>TLM</v>
      </c>
      <c r="C607" s="55" t="s">
        <v>411</v>
      </c>
      <c r="D607" t="s">
        <v>76</v>
      </c>
      <c r="E607" t="s">
        <v>69</v>
      </c>
      <c r="F607" t="s">
        <v>196</v>
      </c>
      <c r="G607" t="s">
        <v>32</v>
      </c>
      <c r="H607" t="s">
        <v>41</v>
      </c>
      <c r="J607">
        <v>0.11046649085809999</v>
      </c>
      <c r="K607">
        <v>1.0558119678598901</v>
      </c>
      <c r="L607">
        <v>1.53694200666408</v>
      </c>
    </row>
    <row r="608" spans="1:12" x14ac:dyDescent="0.25">
      <c r="A608" t="str">
        <f t="shared" si="11"/>
        <v>TLM</v>
      </c>
      <c r="C608" s="55" t="s">
        <v>411</v>
      </c>
      <c r="D608" t="s">
        <v>76</v>
      </c>
      <c r="E608" t="s">
        <v>69</v>
      </c>
      <c r="F608" t="s">
        <v>196</v>
      </c>
      <c r="G608" t="s">
        <v>33</v>
      </c>
      <c r="H608" t="s">
        <v>41</v>
      </c>
      <c r="J608">
        <v>4.7746955431391E-2</v>
      </c>
      <c r="K608">
        <v>0.52851193318002199</v>
      </c>
      <c r="L608">
        <v>0.76462136917341805</v>
      </c>
    </row>
    <row r="609" spans="1:12" x14ac:dyDescent="0.25">
      <c r="A609" t="str">
        <f t="shared" si="11"/>
        <v>TLM</v>
      </c>
      <c r="C609" s="55" t="s">
        <v>411</v>
      </c>
      <c r="D609" t="s">
        <v>76</v>
      </c>
      <c r="E609" t="s">
        <v>69</v>
      </c>
      <c r="F609" t="s">
        <v>196</v>
      </c>
      <c r="G609" t="s">
        <v>34</v>
      </c>
      <c r="H609" t="s">
        <v>41</v>
      </c>
      <c r="J609">
        <v>0.13649866998145699</v>
      </c>
      <c r="K609">
        <v>1.4634285084444301</v>
      </c>
      <c r="L609">
        <v>2.2230474768877002</v>
      </c>
    </row>
    <row r="610" spans="1:12" x14ac:dyDescent="0.25">
      <c r="A610" t="str">
        <f t="shared" si="11"/>
        <v>TLM</v>
      </c>
      <c r="C610" s="55" t="s">
        <v>411</v>
      </c>
      <c r="D610" t="s">
        <v>76</v>
      </c>
      <c r="E610" t="s">
        <v>69</v>
      </c>
      <c r="F610" t="s">
        <v>196</v>
      </c>
      <c r="G610" t="s">
        <v>35</v>
      </c>
      <c r="H610" t="s">
        <v>41</v>
      </c>
      <c r="J610">
        <v>4.6065290047305502E-2</v>
      </c>
      <c r="K610">
        <v>0.45863824100058198</v>
      </c>
      <c r="L610">
        <v>0.65207116076788396</v>
      </c>
    </row>
    <row r="611" spans="1:12" x14ac:dyDescent="0.25">
      <c r="A611" t="str">
        <f t="shared" si="11"/>
        <v>TLM</v>
      </c>
      <c r="C611" s="55" t="s">
        <v>411</v>
      </c>
      <c r="D611" t="s">
        <v>76</v>
      </c>
      <c r="E611" t="s">
        <v>69</v>
      </c>
      <c r="F611" t="s">
        <v>196</v>
      </c>
      <c r="G611" t="s">
        <v>36</v>
      </c>
      <c r="H611" t="s">
        <v>41</v>
      </c>
      <c r="J611">
        <v>0.12428139580222</v>
      </c>
      <c r="K611">
        <v>0.999038298668254</v>
      </c>
      <c r="L611">
        <v>1.49214389431225</v>
      </c>
    </row>
    <row r="612" spans="1:12" x14ac:dyDescent="0.25">
      <c r="A612" t="str">
        <f t="shared" si="11"/>
        <v>TLM</v>
      </c>
      <c r="C612" s="55" t="s">
        <v>411</v>
      </c>
      <c r="D612" t="s">
        <v>76</v>
      </c>
      <c r="E612" t="s">
        <v>69</v>
      </c>
      <c r="F612" t="s">
        <v>196</v>
      </c>
      <c r="G612" t="s">
        <v>37</v>
      </c>
      <c r="H612" t="s">
        <v>41</v>
      </c>
      <c r="J612">
        <v>8.1821754521617607E-2</v>
      </c>
      <c r="K612">
        <v>0.56929635192196604</v>
      </c>
      <c r="L612">
        <v>0.86951483350604497</v>
      </c>
    </row>
    <row r="613" spans="1:12" x14ac:dyDescent="0.25">
      <c r="A613" t="str">
        <f t="shared" si="11"/>
        <v>TLM</v>
      </c>
      <c r="C613" s="55" t="s">
        <v>411</v>
      </c>
      <c r="D613" t="s">
        <v>76</v>
      </c>
      <c r="E613" t="s">
        <v>69</v>
      </c>
      <c r="F613" t="s">
        <v>196</v>
      </c>
      <c r="G613" t="s">
        <v>38</v>
      </c>
      <c r="H613" t="s">
        <v>41</v>
      </c>
      <c r="J613">
        <v>0.12780392004174601</v>
      </c>
      <c r="K613">
        <v>1.2354993719729299</v>
      </c>
      <c r="L613">
        <v>1.8595097720054901</v>
      </c>
    </row>
    <row r="614" spans="1:12" x14ac:dyDescent="0.25">
      <c r="A614" t="str">
        <f t="shared" si="11"/>
        <v>TLP</v>
      </c>
      <c r="C614" s="55" t="s">
        <v>411</v>
      </c>
      <c r="D614" t="s">
        <v>76</v>
      </c>
      <c r="E614" t="s">
        <v>69</v>
      </c>
      <c r="F614" t="s">
        <v>73</v>
      </c>
      <c r="G614" t="s">
        <v>30</v>
      </c>
      <c r="H614" t="s">
        <v>41</v>
      </c>
      <c r="J614">
        <v>1.1106231748919599</v>
      </c>
      <c r="K614">
        <v>6.3251317834894198</v>
      </c>
      <c r="L614">
        <v>10.970032288255201</v>
      </c>
    </row>
    <row r="615" spans="1:12" x14ac:dyDescent="0.25">
      <c r="A615" t="str">
        <f t="shared" si="11"/>
        <v>TLP</v>
      </c>
      <c r="C615" s="55" t="s">
        <v>411</v>
      </c>
      <c r="D615" t="s">
        <v>76</v>
      </c>
      <c r="E615" t="s">
        <v>69</v>
      </c>
      <c r="F615" t="s">
        <v>73</v>
      </c>
      <c r="G615" t="s">
        <v>31</v>
      </c>
      <c r="H615" t="s">
        <v>41</v>
      </c>
      <c r="J615">
        <v>3.0020929392215101</v>
      </c>
      <c r="K615">
        <v>17.606547790140301</v>
      </c>
      <c r="L615">
        <v>31.054831797304601</v>
      </c>
    </row>
    <row r="616" spans="1:12" x14ac:dyDescent="0.25">
      <c r="A616" t="str">
        <f t="shared" si="11"/>
        <v>TLP</v>
      </c>
      <c r="C616" s="55" t="s">
        <v>411</v>
      </c>
      <c r="D616" t="s">
        <v>76</v>
      </c>
      <c r="E616" t="s">
        <v>69</v>
      </c>
      <c r="F616" t="s">
        <v>73</v>
      </c>
      <c r="G616" t="s">
        <v>32</v>
      </c>
      <c r="H616" t="s">
        <v>41</v>
      </c>
      <c r="J616">
        <v>3.1394237305568602</v>
      </c>
      <c r="K616">
        <v>18.624563671684101</v>
      </c>
      <c r="L616">
        <v>33.272116453334</v>
      </c>
    </row>
    <row r="617" spans="1:12" x14ac:dyDescent="0.25">
      <c r="A617" t="str">
        <f t="shared" si="11"/>
        <v>TLP</v>
      </c>
      <c r="C617" s="55" t="s">
        <v>411</v>
      </c>
      <c r="D617" t="s">
        <v>76</v>
      </c>
      <c r="E617" t="s">
        <v>69</v>
      </c>
      <c r="F617" t="s">
        <v>73</v>
      </c>
      <c r="G617" t="s">
        <v>33</v>
      </c>
      <c r="H617" t="s">
        <v>41</v>
      </c>
      <c r="J617">
        <v>1.7056599563716801</v>
      </c>
      <c r="K617">
        <v>9.4702954640706594</v>
      </c>
      <c r="L617">
        <v>16.523059117193501</v>
      </c>
    </row>
    <row r="618" spans="1:12" x14ac:dyDescent="0.25">
      <c r="A618" t="str">
        <f t="shared" si="11"/>
        <v>TLP</v>
      </c>
      <c r="C618" s="55" t="s">
        <v>411</v>
      </c>
      <c r="D618" t="s">
        <v>76</v>
      </c>
      <c r="E618" t="s">
        <v>69</v>
      </c>
      <c r="F618" t="s">
        <v>73</v>
      </c>
      <c r="G618" t="s">
        <v>34</v>
      </c>
      <c r="H618" t="s">
        <v>41</v>
      </c>
      <c r="J618">
        <v>4.2053253537756596</v>
      </c>
      <c r="K618">
        <v>25.930203140414001</v>
      </c>
      <c r="L618">
        <v>48.135370591296201</v>
      </c>
    </row>
    <row r="619" spans="1:12" x14ac:dyDescent="0.25">
      <c r="A619" t="str">
        <f t="shared" si="11"/>
        <v>TLP</v>
      </c>
      <c r="C619" s="55" t="s">
        <v>411</v>
      </c>
      <c r="D619" t="s">
        <v>76</v>
      </c>
      <c r="E619" t="s">
        <v>69</v>
      </c>
      <c r="F619" t="s">
        <v>73</v>
      </c>
      <c r="G619" t="s">
        <v>35</v>
      </c>
      <c r="H619" t="s">
        <v>41</v>
      </c>
      <c r="J619">
        <v>1.5397780448182901</v>
      </c>
      <c r="K619">
        <v>8.2026246485441092</v>
      </c>
      <c r="L619">
        <v>14.108427072795299</v>
      </c>
    </row>
    <row r="620" spans="1:12" x14ac:dyDescent="0.25">
      <c r="A620" t="str">
        <f t="shared" si="11"/>
        <v>TLP</v>
      </c>
      <c r="C620" s="55" t="s">
        <v>411</v>
      </c>
      <c r="D620" t="s">
        <v>76</v>
      </c>
      <c r="E620" t="s">
        <v>69</v>
      </c>
      <c r="F620" t="s">
        <v>73</v>
      </c>
      <c r="G620" t="s">
        <v>36</v>
      </c>
      <c r="H620" t="s">
        <v>41</v>
      </c>
      <c r="J620">
        <v>2.65124503977861</v>
      </c>
      <c r="K620">
        <v>17.224133453338599</v>
      </c>
      <c r="L620">
        <v>31.849429448180199</v>
      </c>
    </row>
    <row r="621" spans="1:12" x14ac:dyDescent="0.25">
      <c r="A621" t="str">
        <f t="shared" si="11"/>
        <v>TLP</v>
      </c>
      <c r="C621" s="55" t="s">
        <v>411</v>
      </c>
      <c r="D621" t="s">
        <v>76</v>
      </c>
      <c r="E621" t="s">
        <v>69</v>
      </c>
      <c r="F621" t="s">
        <v>73</v>
      </c>
      <c r="G621" t="s">
        <v>37</v>
      </c>
      <c r="H621" t="s">
        <v>41</v>
      </c>
      <c r="J621">
        <v>1.5750105090673201</v>
      </c>
      <c r="K621">
        <v>9.7420655884429195</v>
      </c>
      <c r="L621">
        <v>18.5848622849241</v>
      </c>
    </row>
    <row r="622" spans="1:12" x14ac:dyDescent="0.25">
      <c r="A622" t="str">
        <f t="shared" si="11"/>
        <v>TLP</v>
      </c>
      <c r="C622" s="55" t="s">
        <v>411</v>
      </c>
      <c r="D622" t="s">
        <v>76</v>
      </c>
      <c r="E622" t="s">
        <v>69</v>
      </c>
      <c r="F622" t="s">
        <v>73</v>
      </c>
      <c r="G622" t="s">
        <v>38</v>
      </c>
      <c r="H622" t="s">
        <v>41</v>
      </c>
      <c r="J622">
        <v>3.8926132729457801</v>
      </c>
      <c r="K622">
        <v>21.9533958003767</v>
      </c>
      <c r="L622">
        <v>39.982505719562603</v>
      </c>
    </row>
    <row r="623" spans="1:12" x14ac:dyDescent="0.25">
      <c r="A623" t="str">
        <f t="shared" si="11"/>
        <v>TLS</v>
      </c>
      <c r="C623" t="s">
        <v>411</v>
      </c>
      <c r="D623" t="s">
        <v>76</v>
      </c>
      <c r="E623" t="s">
        <v>69</v>
      </c>
      <c r="F623" t="s">
        <v>74</v>
      </c>
      <c r="G623" t="s">
        <v>30</v>
      </c>
      <c r="H623" t="s">
        <v>41</v>
      </c>
      <c r="J623">
        <v>0.85055534689393597</v>
      </c>
      <c r="K623">
        <v>4.4206240059642603</v>
      </c>
      <c r="L623">
        <v>7.7697291697309803</v>
      </c>
    </row>
    <row r="624" spans="1:12" x14ac:dyDescent="0.25">
      <c r="A624" t="str">
        <f t="shared" si="11"/>
        <v>TLS</v>
      </c>
      <c r="C624" t="s">
        <v>411</v>
      </c>
      <c r="D624" t="s">
        <v>76</v>
      </c>
      <c r="E624" t="s">
        <v>69</v>
      </c>
      <c r="F624" t="s">
        <v>74</v>
      </c>
      <c r="G624" t="s">
        <v>31</v>
      </c>
      <c r="H624" t="s">
        <v>41</v>
      </c>
      <c r="J624">
        <v>2.2991112188665701</v>
      </c>
      <c r="K624">
        <v>12.2832046356855</v>
      </c>
      <c r="L624">
        <v>22.021553327160799</v>
      </c>
    </row>
    <row r="625" spans="1:12" x14ac:dyDescent="0.25">
      <c r="A625" t="str">
        <f t="shared" si="11"/>
        <v>TLS</v>
      </c>
      <c r="C625" t="s">
        <v>411</v>
      </c>
      <c r="D625" t="s">
        <v>76</v>
      </c>
      <c r="E625" t="s">
        <v>69</v>
      </c>
      <c r="F625" t="s">
        <v>74</v>
      </c>
      <c r="G625" t="s">
        <v>32</v>
      </c>
      <c r="H625" t="s">
        <v>41</v>
      </c>
      <c r="J625">
        <v>2.4042840997358002</v>
      </c>
      <c r="K625">
        <v>12.940993531488401</v>
      </c>
      <c r="L625">
        <v>23.594487868819002</v>
      </c>
    </row>
    <row r="626" spans="1:12" x14ac:dyDescent="0.25">
      <c r="A626" t="str">
        <f t="shared" si="11"/>
        <v>TLS</v>
      </c>
      <c r="C626" t="s">
        <v>411</v>
      </c>
      <c r="D626" t="s">
        <v>76</v>
      </c>
      <c r="E626" t="s">
        <v>69</v>
      </c>
      <c r="F626" t="s">
        <v>74</v>
      </c>
      <c r="G626" t="s">
        <v>33</v>
      </c>
      <c r="H626" t="s">
        <v>41</v>
      </c>
      <c r="J626">
        <v>1.30625600894376</v>
      </c>
      <c r="K626">
        <v>6.6414677614201798</v>
      </c>
      <c r="L626">
        <v>11.7132872269832</v>
      </c>
    </row>
    <row r="627" spans="1:12" x14ac:dyDescent="0.25">
      <c r="A627" t="str">
        <f t="shared" si="11"/>
        <v>TLS</v>
      </c>
      <c r="C627" t="s">
        <v>411</v>
      </c>
      <c r="D627" t="s">
        <v>76</v>
      </c>
      <c r="E627" t="s">
        <v>69</v>
      </c>
      <c r="F627" t="s">
        <v>74</v>
      </c>
      <c r="G627" t="s">
        <v>34</v>
      </c>
      <c r="H627" t="s">
        <v>41</v>
      </c>
      <c r="J627">
        <v>3.2205900668607002</v>
      </c>
      <c r="K627">
        <v>18.114412867578999</v>
      </c>
      <c r="L627">
        <v>34.063949825258902</v>
      </c>
    </row>
    <row r="628" spans="1:12" x14ac:dyDescent="0.25">
      <c r="A628" t="str">
        <f t="shared" si="11"/>
        <v>TLS</v>
      </c>
      <c r="C628" t="s">
        <v>411</v>
      </c>
      <c r="D628" t="s">
        <v>76</v>
      </c>
      <c r="E628" t="s">
        <v>69</v>
      </c>
      <c r="F628" t="s">
        <v>74</v>
      </c>
      <c r="G628" t="s">
        <v>35</v>
      </c>
      <c r="H628" t="s">
        <v>41</v>
      </c>
      <c r="J628">
        <v>1.17921764884598</v>
      </c>
      <c r="K628">
        <v>5.7545258736899196</v>
      </c>
      <c r="L628">
        <v>9.9966075326452106</v>
      </c>
    </row>
    <row r="629" spans="1:12" x14ac:dyDescent="0.25">
      <c r="A629" t="str">
        <f t="shared" si="11"/>
        <v>TLS</v>
      </c>
      <c r="C629" t="s">
        <v>411</v>
      </c>
      <c r="D629" t="s">
        <v>76</v>
      </c>
      <c r="E629" t="s">
        <v>69</v>
      </c>
      <c r="F629" t="s">
        <v>74</v>
      </c>
      <c r="G629" t="s">
        <v>36</v>
      </c>
      <c r="H629" t="s">
        <v>41</v>
      </c>
      <c r="J629">
        <v>2.03041922363006</v>
      </c>
      <c r="K629">
        <v>12.1134968875557</v>
      </c>
      <c r="L629">
        <v>22.550583759269902</v>
      </c>
    </row>
    <row r="630" spans="1:12" x14ac:dyDescent="0.25">
      <c r="A630" t="str">
        <f t="shared" si="11"/>
        <v>TLS</v>
      </c>
      <c r="C630" t="s">
        <v>411</v>
      </c>
      <c r="D630" t="s">
        <v>76</v>
      </c>
      <c r="E630" t="s">
        <v>69</v>
      </c>
      <c r="F630" t="s">
        <v>74</v>
      </c>
      <c r="G630" t="s">
        <v>37</v>
      </c>
      <c r="H630" t="s">
        <v>41</v>
      </c>
      <c r="J630">
        <v>1.20619994268678</v>
      </c>
      <c r="K630">
        <v>6.8046950236588497</v>
      </c>
      <c r="L630">
        <v>13.1633639666957</v>
      </c>
    </row>
    <row r="631" spans="1:12" x14ac:dyDescent="0.25">
      <c r="A631" t="str">
        <f t="shared" si="11"/>
        <v>TLS</v>
      </c>
      <c r="C631" t="s">
        <v>411</v>
      </c>
      <c r="D631" t="s">
        <v>76</v>
      </c>
      <c r="E631" t="s">
        <v>69</v>
      </c>
      <c r="F631" t="s">
        <v>74</v>
      </c>
      <c r="G631" t="s">
        <v>38</v>
      </c>
      <c r="H631" t="s">
        <v>41</v>
      </c>
      <c r="J631">
        <v>2.9811038591161001</v>
      </c>
      <c r="K631">
        <v>15.3607445230673</v>
      </c>
      <c r="L631">
        <v>28.418744138135501</v>
      </c>
    </row>
    <row r="632" spans="1:12" x14ac:dyDescent="0.25">
      <c r="A632" t="str">
        <f t="shared" si="11"/>
        <v>TLT</v>
      </c>
      <c r="C632" t="s">
        <v>411</v>
      </c>
      <c r="D632" t="s">
        <v>76</v>
      </c>
      <c r="E632" t="s">
        <v>69</v>
      </c>
      <c r="F632" t="s">
        <v>197</v>
      </c>
      <c r="G632" t="s">
        <v>30</v>
      </c>
      <c r="H632" t="s">
        <v>41</v>
      </c>
      <c r="K632">
        <v>3.0478673582743299</v>
      </c>
      <c r="L632">
        <v>13.044739262856099</v>
      </c>
    </row>
    <row r="633" spans="1:12" x14ac:dyDescent="0.25">
      <c r="A633" t="str">
        <f t="shared" si="11"/>
        <v>TLT</v>
      </c>
      <c r="C633" t="s">
        <v>411</v>
      </c>
      <c r="D633" t="s">
        <v>76</v>
      </c>
      <c r="E633" t="s">
        <v>69</v>
      </c>
      <c r="F633" t="s">
        <v>197</v>
      </c>
      <c r="G633" t="s">
        <v>31</v>
      </c>
      <c r="H633" t="s">
        <v>41</v>
      </c>
      <c r="K633">
        <v>8.1863999370378799</v>
      </c>
      <c r="L633">
        <v>37.1979961522376</v>
      </c>
    </row>
    <row r="634" spans="1:12" x14ac:dyDescent="0.25">
      <c r="A634" t="str">
        <f t="shared" si="11"/>
        <v>TLT</v>
      </c>
      <c r="C634" t="s">
        <v>411</v>
      </c>
      <c r="D634" t="s">
        <v>76</v>
      </c>
      <c r="E634" t="s">
        <v>69</v>
      </c>
      <c r="F634" t="s">
        <v>197</v>
      </c>
      <c r="G634" t="s">
        <v>32</v>
      </c>
      <c r="H634" t="s">
        <v>41</v>
      </c>
      <c r="K634">
        <v>7.7530205474093297</v>
      </c>
      <c r="L634">
        <v>39.572177068743201</v>
      </c>
    </row>
    <row r="635" spans="1:12" x14ac:dyDescent="0.25">
      <c r="A635" t="str">
        <f t="shared" si="11"/>
        <v>TLT</v>
      </c>
      <c r="C635" t="s">
        <v>411</v>
      </c>
      <c r="D635" t="s">
        <v>76</v>
      </c>
      <c r="E635" t="s">
        <v>69</v>
      </c>
      <c r="F635" t="s">
        <v>197</v>
      </c>
      <c r="G635" t="s">
        <v>33</v>
      </c>
      <c r="H635" t="s">
        <v>41</v>
      </c>
      <c r="K635">
        <v>5.04681410138146</v>
      </c>
      <c r="L635">
        <v>19.8206588235516</v>
      </c>
    </row>
    <row r="636" spans="1:12" x14ac:dyDescent="0.25">
      <c r="A636" t="str">
        <f t="shared" si="11"/>
        <v>TLT</v>
      </c>
      <c r="C636" t="s">
        <v>411</v>
      </c>
      <c r="D636" t="s">
        <v>76</v>
      </c>
      <c r="E636" t="s">
        <v>69</v>
      </c>
      <c r="F636" t="s">
        <v>197</v>
      </c>
      <c r="G636" t="s">
        <v>34</v>
      </c>
      <c r="H636" t="s">
        <v>41</v>
      </c>
      <c r="K636">
        <v>11.8394216550174</v>
      </c>
      <c r="L636">
        <v>57.239583369894298</v>
      </c>
    </row>
    <row r="637" spans="1:12" x14ac:dyDescent="0.25">
      <c r="A637" t="str">
        <f t="shared" si="11"/>
        <v>TLT</v>
      </c>
      <c r="C637" t="s">
        <v>411</v>
      </c>
      <c r="D637" t="s">
        <v>76</v>
      </c>
      <c r="E637" t="s">
        <v>69</v>
      </c>
      <c r="F637" t="s">
        <v>197</v>
      </c>
      <c r="G637" t="s">
        <v>35</v>
      </c>
      <c r="H637" t="s">
        <v>41</v>
      </c>
      <c r="K637">
        <v>4.4633634380986997</v>
      </c>
      <c r="L637">
        <v>16.877864605145302</v>
      </c>
    </row>
    <row r="638" spans="1:12" x14ac:dyDescent="0.25">
      <c r="A638" t="str">
        <f t="shared" si="11"/>
        <v>TLT</v>
      </c>
      <c r="C638" t="s">
        <v>411</v>
      </c>
      <c r="D638" t="s">
        <v>76</v>
      </c>
      <c r="E638" t="s">
        <v>69</v>
      </c>
      <c r="F638" t="s">
        <v>197</v>
      </c>
      <c r="G638" t="s">
        <v>36</v>
      </c>
      <c r="H638" t="s">
        <v>41</v>
      </c>
      <c r="K638">
        <v>8.9915192633455696</v>
      </c>
      <c r="L638">
        <v>38.215846919455501</v>
      </c>
    </row>
    <row r="639" spans="1:12" x14ac:dyDescent="0.25">
      <c r="A639" t="str">
        <f t="shared" si="11"/>
        <v>TLT</v>
      </c>
      <c r="C639" t="s">
        <v>411</v>
      </c>
      <c r="D639" t="s">
        <v>76</v>
      </c>
      <c r="E639" t="s">
        <v>69</v>
      </c>
      <c r="F639" t="s">
        <v>197</v>
      </c>
      <c r="G639" t="s">
        <v>37</v>
      </c>
      <c r="H639" t="s">
        <v>41</v>
      </c>
      <c r="K639">
        <v>4.4052103349258003</v>
      </c>
      <c r="L639">
        <v>22.183761925793899</v>
      </c>
    </row>
    <row r="640" spans="1:12" x14ac:dyDescent="0.25">
      <c r="A640" t="str">
        <f t="shared" si="11"/>
        <v>TLT</v>
      </c>
      <c r="C640" t="s">
        <v>411</v>
      </c>
      <c r="D640" t="s">
        <v>76</v>
      </c>
      <c r="E640" t="s">
        <v>69</v>
      </c>
      <c r="F640" t="s">
        <v>197</v>
      </c>
      <c r="G640" t="s">
        <v>38</v>
      </c>
      <c r="H640" t="s">
        <v>41</v>
      </c>
      <c r="K640">
        <v>10.817405558214499</v>
      </c>
      <c r="L640">
        <v>48.325468944600402</v>
      </c>
    </row>
    <row r="641" spans="1:12" x14ac:dyDescent="0.25">
      <c r="A641" t="str">
        <f t="shared" si="11"/>
        <v>TLT</v>
      </c>
      <c r="C641" t="s">
        <v>411</v>
      </c>
      <c r="D641" t="s">
        <v>76</v>
      </c>
      <c r="E641" t="s">
        <v>69</v>
      </c>
      <c r="F641" t="s">
        <v>424</v>
      </c>
      <c r="G641" t="s">
        <v>30</v>
      </c>
      <c r="H641" t="s">
        <v>41</v>
      </c>
      <c r="J641">
        <v>8.9681732279890902E-2</v>
      </c>
      <c r="K641">
        <v>9.1994588066869401E-2</v>
      </c>
      <c r="L641">
        <v>0.120738475503916</v>
      </c>
    </row>
    <row r="642" spans="1:12" x14ac:dyDescent="0.25">
      <c r="A642" t="str">
        <f t="shared" si="11"/>
        <v>TLT</v>
      </c>
      <c r="C642" t="s">
        <v>411</v>
      </c>
      <c r="D642" t="s">
        <v>76</v>
      </c>
      <c r="E642" t="s">
        <v>69</v>
      </c>
      <c r="F642" t="s">
        <v>424</v>
      </c>
      <c r="G642" t="s">
        <v>31</v>
      </c>
      <c r="H642" t="s">
        <v>41</v>
      </c>
      <c r="J642">
        <v>0.25555181421197998</v>
      </c>
      <c r="K642">
        <v>0.26023136633222099</v>
      </c>
      <c r="L642">
        <v>0.34548621775180799</v>
      </c>
    </row>
    <row r="643" spans="1:12" x14ac:dyDescent="0.25">
      <c r="A643" t="str">
        <f t="shared" si="11"/>
        <v>TLT</v>
      </c>
      <c r="C643" t="s">
        <v>411</v>
      </c>
      <c r="D643" t="s">
        <v>76</v>
      </c>
      <c r="E643" t="s">
        <v>69</v>
      </c>
      <c r="F643" t="s">
        <v>424</v>
      </c>
      <c r="G643" t="s">
        <v>32</v>
      </c>
      <c r="H643" t="s">
        <v>41</v>
      </c>
      <c r="J643">
        <v>0.25639920618196699</v>
      </c>
      <c r="K643">
        <v>0.25639920618196699</v>
      </c>
      <c r="L643">
        <v>0.354739943536999</v>
      </c>
    </row>
    <row r="644" spans="1:12" x14ac:dyDescent="0.25">
      <c r="A644" t="str">
        <f t="shared" si="11"/>
        <v>TLT</v>
      </c>
      <c r="C644" t="s">
        <v>411</v>
      </c>
      <c r="D644" t="s">
        <v>76</v>
      </c>
      <c r="E644" t="s">
        <v>69</v>
      </c>
      <c r="F644" t="s">
        <v>424</v>
      </c>
      <c r="G644" t="s">
        <v>33</v>
      </c>
      <c r="H644" t="s">
        <v>41</v>
      </c>
      <c r="J644">
        <v>0.143793310231665</v>
      </c>
      <c r="K644">
        <v>0.151727341763603</v>
      </c>
      <c r="L644">
        <v>0.199201762663957</v>
      </c>
    </row>
    <row r="645" spans="1:12" x14ac:dyDescent="0.25">
      <c r="A645" t="str">
        <f t="shared" si="11"/>
        <v>TLT</v>
      </c>
      <c r="C645" t="s">
        <v>411</v>
      </c>
      <c r="D645" t="s">
        <v>76</v>
      </c>
      <c r="E645" t="s">
        <v>69</v>
      </c>
      <c r="F645" t="s">
        <v>424</v>
      </c>
      <c r="G645" t="s">
        <v>34</v>
      </c>
      <c r="H645" t="s">
        <v>41</v>
      </c>
      <c r="J645">
        <v>0.34243421979434702</v>
      </c>
      <c r="K645">
        <v>0.38298663407879602</v>
      </c>
      <c r="L645">
        <v>0.54879931511856495</v>
      </c>
    </row>
    <row r="646" spans="1:12" x14ac:dyDescent="0.25">
      <c r="A646" t="str">
        <f t="shared" si="11"/>
        <v>TLT</v>
      </c>
      <c r="C646" t="s">
        <v>411</v>
      </c>
      <c r="D646" t="s">
        <v>76</v>
      </c>
      <c r="E646" t="s">
        <v>69</v>
      </c>
      <c r="F646" t="s">
        <v>424</v>
      </c>
      <c r="G646" t="s">
        <v>35</v>
      </c>
      <c r="H646" t="s">
        <v>41</v>
      </c>
      <c r="J646">
        <v>0.12564311351082899</v>
      </c>
      <c r="K646">
        <v>0.130590906261777</v>
      </c>
      <c r="L646">
        <v>0.16979640192864801</v>
      </c>
    </row>
    <row r="647" spans="1:12" x14ac:dyDescent="0.25">
      <c r="A647" t="str">
        <f t="shared" si="11"/>
        <v>TLT</v>
      </c>
      <c r="C647" t="s">
        <v>411</v>
      </c>
      <c r="D647" t="s">
        <v>76</v>
      </c>
      <c r="E647" t="s">
        <v>69</v>
      </c>
      <c r="F647" t="s">
        <v>424</v>
      </c>
      <c r="G647" t="s">
        <v>36</v>
      </c>
      <c r="H647" t="s">
        <v>41</v>
      </c>
      <c r="J647">
        <v>0.22405892960294799</v>
      </c>
      <c r="K647">
        <v>0.25630233601284702</v>
      </c>
      <c r="L647">
        <v>0.37292196598030902</v>
      </c>
    </row>
    <row r="648" spans="1:12" x14ac:dyDescent="0.25">
      <c r="A648" t="str">
        <f t="shared" si="11"/>
        <v>TLT</v>
      </c>
      <c r="C648" t="s">
        <v>411</v>
      </c>
      <c r="D648" t="s">
        <v>76</v>
      </c>
      <c r="E648" t="s">
        <v>69</v>
      </c>
      <c r="F648" t="s">
        <v>424</v>
      </c>
      <c r="G648" t="s">
        <v>37</v>
      </c>
      <c r="H648" t="s">
        <v>41</v>
      </c>
      <c r="J648">
        <v>0.118749582974781</v>
      </c>
      <c r="K648">
        <v>0.12971783689012101</v>
      </c>
      <c r="L648">
        <v>0.20439346686594501</v>
      </c>
    </row>
    <row r="649" spans="1:12" x14ac:dyDescent="0.25">
      <c r="A649" t="str">
        <f t="shared" si="11"/>
        <v>TLT</v>
      </c>
      <c r="C649" t="s">
        <v>411</v>
      </c>
      <c r="D649" t="s">
        <v>76</v>
      </c>
      <c r="E649" t="s">
        <v>69</v>
      </c>
      <c r="F649" t="s">
        <v>424</v>
      </c>
      <c r="G649" t="s">
        <v>38</v>
      </c>
      <c r="H649" t="s">
        <v>41</v>
      </c>
      <c r="J649">
        <v>0.28179930181490798</v>
      </c>
      <c r="K649">
        <v>0.31089420064894602</v>
      </c>
      <c r="L649">
        <v>0.45219401316873398</v>
      </c>
    </row>
    <row r="650" spans="1:12" x14ac:dyDescent="0.25">
      <c r="A650" t="str">
        <f t="shared" si="11"/>
        <v>TLV</v>
      </c>
      <c r="C650" t="s">
        <v>411</v>
      </c>
      <c r="D650" t="s">
        <v>76</v>
      </c>
      <c r="E650" t="s">
        <v>69</v>
      </c>
      <c r="F650" t="s">
        <v>198</v>
      </c>
      <c r="G650" t="s">
        <v>30</v>
      </c>
      <c r="H650" t="s">
        <v>41</v>
      </c>
      <c r="J650">
        <v>0.39367476299883603</v>
      </c>
      <c r="K650">
        <v>2.2420248488366901</v>
      </c>
      <c r="L650">
        <v>3.89379698432358</v>
      </c>
    </row>
    <row r="651" spans="1:12" x14ac:dyDescent="0.25">
      <c r="A651" t="str">
        <f t="shared" ref="A651:A666" si="12">LEFT(F651,3)</f>
        <v>TLV</v>
      </c>
      <c r="C651" t="s">
        <v>411</v>
      </c>
      <c r="D651" t="s">
        <v>76</v>
      </c>
      <c r="E651" t="s">
        <v>69</v>
      </c>
      <c r="F651" t="s">
        <v>198</v>
      </c>
      <c r="G651" t="s">
        <v>31</v>
      </c>
      <c r="H651" t="s">
        <v>41</v>
      </c>
      <c r="J651">
        <v>1.064130708837</v>
      </c>
      <c r="K651">
        <v>6.2408688069971401</v>
      </c>
      <c r="L651">
        <v>11.0229445178517</v>
      </c>
    </row>
    <row r="652" spans="1:12" x14ac:dyDescent="0.25">
      <c r="A652" t="str">
        <f t="shared" si="12"/>
        <v>TLV</v>
      </c>
      <c r="C652" t="s">
        <v>411</v>
      </c>
      <c r="D652" t="s">
        <v>76</v>
      </c>
      <c r="E652" t="s">
        <v>69</v>
      </c>
      <c r="F652" t="s">
        <v>198</v>
      </c>
      <c r="G652" t="s">
        <v>32</v>
      </c>
      <c r="H652" t="s">
        <v>41</v>
      </c>
      <c r="J652">
        <v>1.1128093857758601</v>
      </c>
      <c r="K652">
        <v>6.6017177159304596</v>
      </c>
      <c r="L652">
        <v>11.8101813994093</v>
      </c>
    </row>
    <row r="653" spans="1:12" x14ac:dyDescent="0.25">
      <c r="A653" t="str">
        <f t="shared" si="12"/>
        <v>TLV</v>
      </c>
      <c r="C653" t="s">
        <v>411</v>
      </c>
      <c r="D653" t="s">
        <v>76</v>
      </c>
      <c r="E653" t="s">
        <v>69</v>
      </c>
      <c r="F653" t="s">
        <v>198</v>
      </c>
      <c r="G653" t="s">
        <v>33</v>
      </c>
      <c r="H653" t="s">
        <v>41</v>
      </c>
      <c r="J653">
        <v>0.60459325382487406</v>
      </c>
      <c r="K653">
        <v>3.3568688342108199</v>
      </c>
      <c r="L653">
        <v>5.8645519522053799</v>
      </c>
    </row>
    <row r="654" spans="1:12" x14ac:dyDescent="0.25">
      <c r="A654" t="str">
        <f t="shared" si="12"/>
        <v>TLV</v>
      </c>
      <c r="C654" t="s">
        <v>411</v>
      </c>
      <c r="D654" t="s">
        <v>76</v>
      </c>
      <c r="E654" t="s">
        <v>69</v>
      </c>
      <c r="F654" t="s">
        <v>198</v>
      </c>
      <c r="G654" t="s">
        <v>34</v>
      </c>
      <c r="H654" t="s">
        <v>41</v>
      </c>
      <c r="J654">
        <v>1.4906320157975499</v>
      </c>
      <c r="K654">
        <v>9.1912962079217504</v>
      </c>
      <c r="L654">
        <v>17.0855727125237</v>
      </c>
    </row>
    <row r="655" spans="1:12" x14ac:dyDescent="0.25">
      <c r="A655" t="str">
        <f t="shared" si="12"/>
        <v>TLV</v>
      </c>
      <c r="C655" t="s">
        <v>411</v>
      </c>
      <c r="D655" t="s">
        <v>76</v>
      </c>
      <c r="E655" t="s">
        <v>69</v>
      </c>
      <c r="F655" t="s">
        <v>198</v>
      </c>
      <c r="G655" t="s">
        <v>35</v>
      </c>
      <c r="H655" t="s">
        <v>41</v>
      </c>
      <c r="J655">
        <v>0.54579426268825804</v>
      </c>
      <c r="K655">
        <v>2.9075265017752501</v>
      </c>
      <c r="L655">
        <v>5.0075707104834004</v>
      </c>
    </row>
    <row r="656" spans="1:12" x14ac:dyDescent="0.25">
      <c r="A656" t="str">
        <f t="shared" si="12"/>
        <v>TLV</v>
      </c>
      <c r="C656" t="s">
        <v>411</v>
      </c>
      <c r="D656" t="s">
        <v>76</v>
      </c>
      <c r="E656" t="s">
        <v>69</v>
      </c>
      <c r="F656" t="s">
        <v>198</v>
      </c>
      <c r="G656" t="s">
        <v>36</v>
      </c>
      <c r="H656" t="s">
        <v>41</v>
      </c>
      <c r="J656">
        <v>0.93976812863484804</v>
      </c>
      <c r="K656">
        <v>6.1053170943990303</v>
      </c>
      <c r="L656">
        <v>11.304274853118301</v>
      </c>
    </row>
    <row r="657" spans="1:12" x14ac:dyDescent="0.25">
      <c r="A657" t="str">
        <f t="shared" si="12"/>
        <v>TLV</v>
      </c>
      <c r="C657" t="s">
        <v>411</v>
      </c>
      <c r="D657" t="s">
        <v>76</v>
      </c>
      <c r="E657" t="s">
        <v>69</v>
      </c>
      <c r="F657" t="s">
        <v>198</v>
      </c>
      <c r="G657" t="s">
        <v>37</v>
      </c>
      <c r="H657" t="s">
        <v>41</v>
      </c>
      <c r="J657">
        <v>0.55828286577766195</v>
      </c>
      <c r="K657">
        <v>3.45320127326048</v>
      </c>
      <c r="L657">
        <v>6.59635245336443</v>
      </c>
    </row>
    <row r="658" spans="1:12" x14ac:dyDescent="0.25">
      <c r="A658" t="str">
        <f t="shared" si="12"/>
        <v>TLV</v>
      </c>
      <c r="C658" t="s">
        <v>411</v>
      </c>
      <c r="D658" t="s">
        <v>76</v>
      </c>
      <c r="E658" t="s">
        <v>69</v>
      </c>
      <c r="F658" t="s">
        <v>198</v>
      </c>
      <c r="G658" t="s">
        <v>38</v>
      </c>
      <c r="H658" t="s">
        <v>41</v>
      </c>
      <c r="J658">
        <v>1.3797871702272899</v>
      </c>
      <c r="K658">
        <v>7.7816653605972004</v>
      </c>
      <c r="L658">
        <v>14.191301859839299</v>
      </c>
    </row>
    <row r="659" spans="1:12" x14ac:dyDescent="0.25">
      <c r="A659" t="str">
        <f t="shared" si="12"/>
        <v>TLV</v>
      </c>
      <c r="C659" t="s">
        <v>411</v>
      </c>
      <c r="D659" t="s">
        <v>76</v>
      </c>
      <c r="E659" t="s">
        <v>69</v>
      </c>
      <c r="F659" t="s">
        <v>199</v>
      </c>
      <c r="G659" t="s">
        <v>30</v>
      </c>
      <c r="H659" t="s">
        <v>41</v>
      </c>
      <c r="J659">
        <v>3.5872692911956397E-2</v>
      </c>
      <c r="K659">
        <v>3.6797835226747601E-2</v>
      </c>
      <c r="L659">
        <v>4.82953902015665E-2</v>
      </c>
    </row>
    <row r="660" spans="1:12" x14ac:dyDescent="0.25">
      <c r="A660" t="str">
        <f t="shared" si="12"/>
        <v>TLV</v>
      </c>
      <c r="C660" t="s">
        <v>411</v>
      </c>
      <c r="D660" t="s">
        <v>76</v>
      </c>
      <c r="E660" t="s">
        <v>69</v>
      </c>
      <c r="F660" t="s">
        <v>199</v>
      </c>
      <c r="G660" t="s">
        <v>31</v>
      </c>
      <c r="H660" t="s">
        <v>41</v>
      </c>
      <c r="J660">
        <v>0.102220725684792</v>
      </c>
      <c r="K660">
        <v>0.10409254653288801</v>
      </c>
      <c r="L660">
        <v>0.13819448710072399</v>
      </c>
    </row>
    <row r="661" spans="1:12" x14ac:dyDescent="0.25">
      <c r="A661" t="str">
        <f t="shared" si="12"/>
        <v>TLV</v>
      </c>
      <c r="C661" t="s">
        <v>411</v>
      </c>
      <c r="D661" t="s">
        <v>76</v>
      </c>
      <c r="E661" t="s">
        <v>69</v>
      </c>
      <c r="F661" t="s">
        <v>199</v>
      </c>
      <c r="G661" t="s">
        <v>32</v>
      </c>
      <c r="H661" t="s">
        <v>41</v>
      </c>
      <c r="J661">
        <v>0.102559682472786</v>
      </c>
      <c r="K661">
        <v>0.102402595513943</v>
      </c>
      <c r="L661">
        <v>0.14189597741480001</v>
      </c>
    </row>
    <row r="662" spans="1:12" x14ac:dyDescent="0.25">
      <c r="A662" t="str">
        <f t="shared" si="12"/>
        <v>TLV</v>
      </c>
      <c r="C662" t="s">
        <v>411</v>
      </c>
      <c r="D662" t="s">
        <v>76</v>
      </c>
      <c r="E662" t="s">
        <v>69</v>
      </c>
      <c r="F662" t="s">
        <v>199</v>
      </c>
      <c r="G662" t="s">
        <v>33</v>
      </c>
      <c r="H662" t="s">
        <v>41</v>
      </c>
      <c r="J662">
        <v>5.75173240926658E-2</v>
      </c>
      <c r="K662">
        <v>6.0690936705440901E-2</v>
      </c>
      <c r="L662">
        <v>7.9680705065582697E-2</v>
      </c>
    </row>
    <row r="663" spans="1:12" x14ac:dyDescent="0.25">
      <c r="A663" t="str">
        <f t="shared" si="12"/>
        <v>TLV</v>
      </c>
      <c r="C663" t="s">
        <v>411</v>
      </c>
      <c r="D663" t="s">
        <v>76</v>
      </c>
      <c r="E663" t="s">
        <v>69</v>
      </c>
      <c r="F663" t="s">
        <v>199</v>
      </c>
      <c r="G663" t="s">
        <v>34</v>
      </c>
      <c r="H663" t="s">
        <v>41</v>
      </c>
      <c r="J663">
        <v>0.13697368791773801</v>
      </c>
      <c r="K663">
        <v>0.15319465363151799</v>
      </c>
      <c r="L663">
        <v>0.21951972604742601</v>
      </c>
    </row>
    <row r="664" spans="1:12" x14ac:dyDescent="0.25">
      <c r="A664" t="str">
        <f t="shared" si="12"/>
        <v>TLV</v>
      </c>
      <c r="C664" t="s">
        <v>411</v>
      </c>
      <c r="D664" t="s">
        <v>76</v>
      </c>
      <c r="E664" t="s">
        <v>69</v>
      </c>
      <c r="F664" t="s">
        <v>199</v>
      </c>
      <c r="G664" t="s">
        <v>35</v>
      </c>
      <c r="H664" t="s">
        <v>41</v>
      </c>
      <c r="J664">
        <v>5.0257245404331498E-2</v>
      </c>
      <c r="K664">
        <v>5.2236362504710601E-2</v>
      </c>
      <c r="L664">
        <v>6.7918560771459399E-2</v>
      </c>
    </row>
    <row r="665" spans="1:12" x14ac:dyDescent="0.25">
      <c r="A665" t="str">
        <f t="shared" si="12"/>
        <v>TLV</v>
      </c>
      <c r="C665" t="s">
        <v>411</v>
      </c>
      <c r="D665" t="s">
        <v>76</v>
      </c>
      <c r="E665" t="s">
        <v>69</v>
      </c>
      <c r="F665" t="s">
        <v>199</v>
      </c>
      <c r="G665" t="s">
        <v>36</v>
      </c>
      <c r="H665" t="s">
        <v>41</v>
      </c>
      <c r="J665">
        <v>8.9623571841179001E-2</v>
      </c>
      <c r="K665">
        <v>0.102520934405138</v>
      </c>
      <c r="L665">
        <v>0.149168786392123</v>
      </c>
    </row>
    <row r="666" spans="1:12" x14ac:dyDescent="0.25">
      <c r="A666" t="str">
        <f t="shared" si="12"/>
        <v>TLV</v>
      </c>
      <c r="C666" t="s">
        <v>411</v>
      </c>
      <c r="D666" t="s">
        <v>76</v>
      </c>
      <c r="E666" t="s">
        <v>69</v>
      </c>
      <c r="F666" t="s">
        <v>199</v>
      </c>
      <c r="G666" t="s">
        <v>37</v>
      </c>
      <c r="H666" t="s">
        <v>41</v>
      </c>
      <c r="J666">
        <v>4.7499833189912001E-2</v>
      </c>
      <c r="K666">
        <v>5.1887134756048101E-2</v>
      </c>
      <c r="L666">
        <v>8.17573867463781E-2</v>
      </c>
    </row>
    <row r="667" spans="1:12" x14ac:dyDescent="0.25">
      <c r="C667" s="55" t="s">
        <v>411</v>
      </c>
      <c r="D667" t="s">
        <v>76</v>
      </c>
      <c r="E667" t="s">
        <v>69</v>
      </c>
      <c r="F667" t="s">
        <v>199</v>
      </c>
      <c r="G667" t="s">
        <v>38</v>
      </c>
      <c r="H667" t="s">
        <v>41</v>
      </c>
      <c r="J667">
        <v>0.11271972072596299</v>
      </c>
      <c r="K667">
        <v>0.124357680259577</v>
      </c>
      <c r="L667">
        <v>0.180877605267493</v>
      </c>
    </row>
    <row r="668" spans="1:12" x14ac:dyDescent="0.25">
      <c r="C668" s="55" t="s">
        <v>411</v>
      </c>
      <c r="D668" t="s">
        <v>76</v>
      </c>
      <c r="E668" t="s">
        <v>75</v>
      </c>
      <c r="F668" t="s">
        <v>425</v>
      </c>
      <c r="G668" t="s">
        <v>30</v>
      </c>
      <c r="H668" t="s">
        <v>41</v>
      </c>
      <c r="J668">
        <v>1.9219431555408499E-3</v>
      </c>
      <c r="K668">
        <v>4.0713590407066499E-3</v>
      </c>
      <c r="L668">
        <v>2.45257111374413E-2</v>
      </c>
    </row>
    <row r="669" spans="1:12" x14ac:dyDescent="0.25">
      <c r="C669" s="55" t="s">
        <v>411</v>
      </c>
      <c r="D669" t="s">
        <v>76</v>
      </c>
      <c r="E669" t="s">
        <v>75</v>
      </c>
      <c r="F669" t="s">
        <v>425</v>
      </c>
      <c r="G669" t="s">
        <v>31</v>
      </c>
      <c r="H669" t="s">
        <v>41</v>
      </c>
      <c r="J669">
        <v>7.39840039784667E-3</v>
      </c>
      <c r="K669">
        <v>1.11601482652205E-2</v>
      </c>
      <c r="L669">
        <v>6.8973049238452794E-2</v>
      </c>
    </row>
    <row r="670" spans="1:12" x14ac:dyDescent="0.25">
      <c r="C670" s="55" t="s">
        <v>411</v>
      </c>
      <c r="D670" t="s">
        <v>76</v>
      </c>
      <c r="E670" t="s">
        <v>75</v>
      </c>
      <c r="F670" t="s">
        <v>425</v>
      </c>
      <c r="G670" t="s">
        <v>32</v>
      </c>
      <c r="H670" t="s">
        <v>41</v>
      </c>
      <c r="J670">
        <v>7.4229695918887799E-3</v>
      </c>
      <c r="K670">
        <v>1.10953923914065E-2</v>
      </c>
      <c r="L670">
        <v>7.48626562824493E-2</v>
      </c>
    </row>
    <row r="671" spans="1:12" x14ac:dyDescent="0.25">
      <c r="C671" s="55" t="s">
        <v>411</v>
      </c>
      <c r="D671" t="s">
        <v>76</v>
      </c>
      <c r="E671" t="s">
        <v>75</v>
      </c>
      <c r="F671" t="s">
        <v>425</v>
      </c>
      <c r="G671" t="s">
        <v>33</v>
      </c>
      <c r="H671" t="s">
        <v>41</v>
      </c>
      <c r="J671">
        <v>2.7236112629722702E-3</v>
      </c>
      <c r="K671">
        <v>4.66862430258317E-3</v>
      </c>
      <c r="L671">
        <v>3.5542000660492297E-2</v>
      </c>
    </row>
    <row r="672" spans="1:12" x14ac:dyDescent="0.25">
      <c r="C672" s="55" t="s">
        <v>411</v>
      </c>
      <c r="D672" t="s">
        <v>76</v>
      </c>
      <c r="E672" t="s">
        <v>75</v>
      </c>
      <c r="F672" t="s">
        <v>425</v>
      </c>
      <c r="G672" t="s">
        <v>34</v>
      </c>
      <c r="H672" t="s">
        <v>41</v>
      </c>
      <c r="K672">
        <v>2.1150104296088702E-2</v>
      </c>
      <c r="L672">
        <v>0.106169625779409</v>
      </c>
    </row>
    <row r="673" spans="3:12" x14ac:dyDescent="0.25">
      <c r="C673" s="55" t="s">
        <v>411</v>
      </c>
      <c r="D673" t="s">
        <v>76</v>
      </c>
      <c r="E673" t="s">
        <v>75</v>
      </c>
      <c r="F673" t="s">
        <v>425</v>
      </c>
      <c r="G673" t="s">
        <v>35</v>
      </c>
      <c r="H673" t="s">
        <v>41</v>
      </c>
      <c r="J673">
        <v>4.0190202893033303E-3</v>
      </c>
      <c r="K673">
        <v>4.0190202893033303E-3</v>
      </c>
      <c r="L673">
        <v>3.02957269751227E-2</v>
      </c>
    </row>
    <row r="674" spans="3:12" x14ac:dyDescent="0.25">
      <c r="C674" s="55" t="s">
        <v>411</v>
      </c>
      <c r="D674" t="s">
        <v>76</v>
      </c>
      <c r="E674" t="s">
        <v>75</v>
      </c>
      <c r="F674" t="s">
        <v>425</v>
      </c>
      <c r="G674" t="s">
        <v>36</v>
      </c>
      <c r="H674" t="s">
        <v>41</v>
      </c>
      <c r="J674">
        <v>1.12703572668838E-2</v>
      </c>
      <c r="K674">
        <v>1.12703572668838E-2</v>
      </c>
      <c r="L674">
        <v>6.8018649657373004E-2</v>
      </c>
    </row>
    <row r="675" spans="3:12" x14ac:dyDescent="0.25">
      <c r="C675" s="55" t="s">
        <v>411</v>
      </c>
      <c r="D675" t="s">
        <v>76</v>
      </c>
      <c r="E675" t="s">
        <v>75</v>
      </c>
      <c r="F675" t="s">
        <v>425</v>
      </c>
      <c r="G675" t="s">
        <v>37</v>
      </c>
      <c r="H675" t="s">
        <v>41</v>
      </c>
      <c r="J675">
        <v>5.9849759088340298E-3</v>
      </c>
      <c r="K675">
        <v>5.9849759088340298E-3</v>
      </c>
      <c r="L675">
        <v>4.0531000715306402E-2</v>
      </c>
    </row>
    <row r="676" spans="3:12" x14ac:dyDescent="0.25">
      <c r="C676" s="55" t="s">
        <v>411</v>
      </c>
      <c r="D676" t="s">
        <v>76</v>
      </c>
      <c r="E676" t="s">
        <v>75</v>
      </c>
      <c r="F676" t="s">
        <v>425</v>
      </c>
      <c r="G676" t="s">
        <v>38</v>
      </c>
      <c r="H676" t="s">
        <v>41</v>
      </c>
      <c r="J676">
        <v>1.90076368596767E-3</v>
      </c>
      <c r="K676">
        <v>1.3910361370690299E-2</v>
      </c>
      <c r="L676">
        <v>8.7293076108547293E-2</v>
      </c>
    </row>
    <row r="677" spans="3:12" x14ac:dyDescent="0.25">
      <c r="C677" s="55" t="s">
        <v>411</v>
      </c>
      <c r="D677" t="s">
        <v>76</v>
      </c>
      <c r="E677" t="s">
        <v>75</v>
      </c>
      <c r="F677" t="s">
        <v>210</v>
      </c>
      <c r="G677" t="s">
        <v>30</v>
      </c>
      <c r="H677" t="s">
        <v>41</v>
      </c>
      <c r="I677">
        <v>6.3439144509076104E-2</v>
      </c>
      <c r="J677">
        <v>6.1104135013377497E-2</v>
      </c>
      <c r="K677">
        <v>2.28765729238781E-2</v>
      </c>
      <c r="L677">
        <v>8.8049726312510802E-4</v>
      </c>
    </row>
    <row r="678" spans="3:12" x14ac:dyDescent="0.25">
      <c r="C678" s="55" t="s">
        <v>411</v>
      </c>
      <c r="D678" t="s">
        <v>76</v>
      </c>
      <c r="E678" t="s">
        <v>75</v>
      </c>
      <c r="F678" t="s">
        <v>210</v>
      </c>
      <c r="G678" t="s">
        <v>31</v>
      </c>
      <c r="H678" t="s">
        <v>41</v>
      </c>
      <c r="I678">
        <v>0.17751447525973699</v>
      </c>
      <c r="J678">
        <v>0.17214475281737199</v>
      </c>
      <c r="K678">
        <v>6.4736703248305799E-2</v>
      </c>
      <c r="L678">
        <v>2.0635918702729401E-3</v>
      </c>
    </row>
    <row r="679" spans="3:12" x14ac:dyDescent="0.25">
      <c r="C679" s="55" t="s">
        <v>411</v>
      </c>
      <c r="D679" t="s">
        <v>76</v>
      </c>
      <c r="E679" t="s">
        <v>75</v>
      </c>
      <c r="F679" t="s">
        <v>210</v>
      </c>
      <c r="G679" t="s">
        <v>32</v>
      </c>
      <c r="H679" t="s">
        <v>41</v>
      </c>
      <c r="I679">
        <v>0.19720469540468599</v>
      </c>
      <c r="J679">
        <v>0.19147175379510301</v>
      </c>
      <c r="K679">
        <v>7.1886125719127697E-2</v>
      </c>
      <c r="L679">
        <v>2.8684005957616398E-3</v>
      </c>
    </row>
    <row r="680" spans="3:12" x14ac:dyDescent="0.25">
      <c r="C680" s="55" t="s">
        <v>411</v>
      </c>
      <c r="D680" t="s">
        <v>76</v>
      </c>
      <c r="E680" t="s">
        <v>75</v>
      </c>
      <c r="F680" t="s">
        <v>210</v>
      </c>
      <c r="G680" t="s">
        <v>33</v>
      </c>
      <c r="H680" t="s">
        <v>41</v>
      </c>
      <c r="I680">
        <v>9.4539062290367001E-2</v>
      </c>
      <c r="J680">
        <v>9.1416132658988403E-2</v>
      </c>
      <c r="K680">
        <v>3.4241662652107797E-2</v>
      </c>
      <c r="L680">
        <v>1.5696396935669999E-3</v>
      </c>
    </row>
    <row r="681" spans="3:12" x14ac:dyDescent="0.25">
      <c r="C681" s="55" t="s">
        <v>411</v>
      </c>
      <c r="D681" t="s">
        <v>76</v>
      </c>
      <c r="E681" t="s">
        <v>75</v>
      </c>
      <c r="F681" t="s">
        <v>210</v>
      </c>
      <c r="G681" t="s">
        <v>34</v>
      </c>
      <c r="H681" t="s">
        <v>41</v>
      </c>
      <c r="I681">
        <v>0.24451094262772999</v>
      </c>
      <c r="J681">
        <v>0.23720201151230599</v>
      </c>
      <c r="K681">
        <v>9.1273475172206298E-2</v>
      </c>
      <c r="L681">
        <v>4.1433091214508602E-3</v>
      </c>
    </row>
    <row r="682" spans="3:12" x14ac:dyDescent="0.25">
      <c r="C682" s="55" t="s">
        <v>411</v>
      </c>
      <c r="D682" t="s">
        <v>76</v>
      </c>
      <c r="E682" t="s">
        <v>75</v>
      </c>
      <c r="F682" t="s">
        <v>210</v>
      </c>
      <c r="G682" t="s">
        <v>35</v>
      </c>
      <c r="H682" t="s">
        <v>41</v>
      </c>
      <c r="I682">
        <v>8.2618897204734504E-2</v>
      </c>
      <c r="J682">
        <v>7.9759202537609E-2</v>
      </c>
      <c r="K682">
        <v>2.9408943692192598E-2</v>
      </c>
      <c r="L682">
        <v>1.5178929678659101E-3</v>
      </c>
    </row>
    <row r="683" spans="3:12" x14ac:dyDescent="0.25">
      <c r="C683" s="55" t="s">
        <v>411</v>
      </c>
      <c r="D683" t="s">
        <v>76</v>
      </c>
      <c r="E683" t="s">
        <v>75</v>
      </c>
      <c r="F683" t="s">
        <v>210</v>
      </c>
      <c r="G683" t="s">
        <v>36</v>
      </c>
      <c r="H683" t="s">
        <v>41</v>
      </c>
      <c r="I683">
        <v>0.16106963594913001</v>
      </c>
      <c r="J683">
        <v>0.15644611779654</v>
      </c>
      <c r="K683">
        <v>6.0055107080675199E-2</v>
      </c>
      <c r="L683">
        <v>2.6367068860917399E-3</v>
      </c>
    </row>
    <row r="684" spans="3:12" x14ac:dyDescent="0.25">
      <c r="C684" s="55" t="s">
        <v>411</v>
      </c>
      <c r="D684" t="s">
        <v>76</v>
      </c>
      <c r="E684" t="s">
        <v>75</v>
      </c>
      <c r="F684" t="s">
        <v>210</v>
      </c>
      <c r="G684" t="s">
        <v>37</v>
      </c>
      <c r="H684" t="s">
        <v>41</v>
      </c>
      <c r="I684">
        <v>9.7035457118778007E-2</v>
      </c>
      <c r="J684">
        <v>9.3783114835543802E-2</v>
      </c>
      <c r="K684">
        <v>3.6380518227215899E-2</v>
      </c>
      <c r="L684">
        <v>1.67720257815084E-3</v>
      </c>
    </row>
    <row r="685" spans="3:12" x14ac:dyDescent="0.25">
      <c r="C685" s="55" t="s">
        <v>411</v>
      </c>
      <c r="D685" t="s">
        <v>76</v>
      </c>
      <c r="E685" t="s">
        <v>75</v>
      </c>
      <c r="F685" t="s">
        <v>210</v>
      </c>
      <c r="G685" t="s">
        <v>38</v>
      </c>
      <c r="H685" t="s">
        <v>41</v>
      </c>
      <c r="I685">
        <v>0.21251591648043899</v>
      </c>
      <c r="J685">
        <v>0.20545490631326399</v>
      </c>
      <c r="K685">
        <v>7.8910937877384402E-2</v>
      </c>
      <c r="L685">
        <v>3.0846862435815999E-3</v>
      </c>
    </row>
    <row r="686" spans="3:12" x14ac:dyDescent="0.25">
      <c r="C686" s="55" t="s">
        <v>411</v>
      </c>
      <c r="D686" t="s">
        <v>76</v>
      </c>
      <c r="E686" t="s">
        <v>75</v>
      </c>
      <c r="F686" t="s">
        <v>211</v>
      </c>
      <c r="G686" t="s">
        <v>30</v>
      </c>
      <c r="H686" t="s">
        <v>41</v>
      </c>
      <c r="I686">
        <v>6.5625593961583101E-2</v>
      </c>
      <c r="J686">
        <v>6.3210107651876804E-2</v>
      </c>
      <c r="K686">
        <v>2.3665020982749599E-2</v>
      </c>
      <c r="L686">
        <v>9.1084386968469703E-4</v>
      </c>
    </row>
    <row r="687" spans="3:12" x14ac:dyDescent="0.25">
      <c r="C687" s="55" t="s">
        <v>411</v>
      </c>
      <c r="D687" t="s">
        <v>76</v>
      </c>
      <c r="E687" t="s">
        <v>75</v>
      </c>
      <c r="F687" t="s">
        <v>211</v>
      </c>
      <c r="G687" t="s">
        <v>31</v>
      </c>
      <c r="H687" t="s">
        <v>41</v>
      </c>
      <c r="I687">
        <v>0.18363256575807599</v>
      </c>
      <c r="J687">
        <v>0.17807777419498</v>
      </c>
      <c r="K687">
        <v>6.6967873458271598E-2</v>
      </c>
      <c r="L687">
        <v>2.13471419308911E-3</v>
      </c>
    </row>
    <row r="688" spans="3:12" x14ac:dyDescent="0.25">
      <c r="C688" s="55" t="s">
        <v>411</v>
      </c>
      <c r="D688" t="s">
        <v>76</v>
      </c>
      <c r="E688" t="s">
        <v>75</v>
      </c>
      <c r="F688" t="s">
        <v>211</v>
      </c>
      <c r="G688" t="s">
        <v>32</v>
      </c>
      <c r="H688" t="s">
        <v>41</v>
      </c>
      <c r="I688">
        <v>0.20400141534213301</v>
      </c>
      <c r="J688">
        <v>0.19807088615250701</v>
      </c>
      <c r="K688">
        <v>7.4363702953778907E-2</v>
      </c>
      <c r="L688">
        <v>2.9672608966169901E-3</v>
      </c>
    </row>
    <row r="689" spans="3:12" x14ac:dyDescent="0.25">
      <c r="C689" s="55" t="s">
        <v>411</v>
      </c>
      <c r="D689" t="s">
        <v>76</v>
      </c>
      <c r="E689" t="s">
        <v>75</v>
      </c>
      <c r="F689" t="s">
        <v>211</v>
      </c>
      <c r="G689" t="s">
        <v>33</v>
      </c>
      <c r="H689" t="s">
        <v>41</v>
      </c>
      <c r="I689">
        <v>9.7797379888829E-2</v>
      </c>
      <c r="J689">
        <v>9.4566817535799097E-2</v>
      </c>
      <c r="K689">
        <v>3.5421811992676501E-2</v>
      </c>
      <c r="L689">
        <v>1.62373780405053E-3</v>
      </c>
    </row>
    <row r="690" spans="3:12" x14ac:dyDescent="0.25">
      <c r="C690" s="55" t="s">
        <v>411</v>
      </c>
      <c r="D690" t="s">
        <v>76</v>
      </c>
      <c r="E690" t="s">
        <v>75</v>
      </c>
      <c r="F690" t="s">
        <v>211</v>
      </c>
      <c r="G690" t="s">
        <v>34</v>
      </c>
      <c r="H690" t="s">
        <v>41</v>
      </c>
      <c r="I690">
        <v>0.252938086795223</v>
      </c>
      <c r="J690">
        <v>0.24537725114105699</v>
      </c>
      <c r="K690">
        <v>9.4419243315251394E-2</v>
      </c>
      <c r="L690">
        <v>4.2861095332512996E-3</v>
      </c>
    </row>
    <row r="691" spans="3:12" x14ac:dyDescent="0.25">
      <c r="C691" s="55" t="s">
        <v>411</v>
      </c>
      <c r="D691" t="s">
        <v>76</v>
      </c>
      <c r="E691" t="s">
        <v>75</v>
      </c>
      <c r="F691" t="s">
        <v>211</v>
      </c>
      <c r="G691" t="s">
        <v>35</v>
      </c>
      <c r="H691" t="s">
        <v>41</v>
      </c>
      <c r="I691">
        <v>8.5466382680112904E-2</v>
      </c>
      <c r="J691">
        <v>8.2508127764616204E-2</v>
      </c>
      <c r="K691">
        <v>3.04225319007379E-2</v>
      </c>
      <c r="L691">
        <v>1.5702076116751399E-3</v>
      </c>
    </row>
    <row r="692" spans="3:12" x14ac:dyDescent="0.25">
      <c r="C692" s="55" t="s">
        <v>411</v>
      </c>
      <c r="D692" t="s">
        <v>76</v>
      </c>
      <c r="E692" t="s">
        <v>75</v>
      </c>
      <c r="F692" t="s">
        <v>211</v>
      </c>
      <c r="G692" t="s">
        <v>36</v>
      </c>
      <c r="H692" t="s">
        <v>41</v>
      </c>
      <c r="I692">
        <v>0.166620950048047</v>
      </c>
      <c r="J692">
        <v>0.16183808093302501</v>
      </c>
      <c r="K692">
        <v>6.2124924651717803E-2</v>
      </c>
      <c r="L692">
        <v>2.7275817926203402E-3</v>
      </c>
    </row>
    <row r="693" spans="3:12" x14ac:dyDescent="0.25">
      <c r="C693" s="55" t="s">
        <v>411</v>
      </c>
      <c r="D693" t="s">
        <v>76</v>
      </c>
      <c r="E693" t="s">
        <v>75</v>
      </c>
      <c r="F693" t="s">
        <v>211</v>
      </c>
      <c r="G693" t="s">
        <v>37</v>
      </c>
      <c r="H693" t="s">
        <v>41</v>
      </c>
      <c r="I693">
        <v>0.10037981372593199</v>
      </c>
      <c r="J693">
        <v>9.7015378474553701E-2</v>
      </c>
      <c r="K693">
        <v>3.76343838771293E-2</v>
      </c>
      <c r="L693">
        <v>1.7350078762379999E-3</v>
      </c>
    </row>
    <row r="694" spans="3:12" x14ac:dyDescent="0.25">
      <c r="C694" s="55" t="s">
        <v>411</v>
      </c>
      <c r="D694" t="s">
        <v>76</v>
      </c>
      <c r="E694" t="s">
        <v>75</v>
      </c>
      <c r="F694" t="s">
        <v>211</v>
      </c>
      <c r="G694" t="s">
        <v>38</v>
      </c>
      <c r="H694" t="s">
        <v>41</v>
      </c>
      <c r="I694">
        <v>0.219840342319302</v>
      </c>
      <c r="J694">
        <v>0.21253597228443599</v>
      </c>
      <c r="K694">
        <v>8.16306274043158E-2</v>
      </c>
      <c r="L694">
        <v>3.1910008952155001E-3</v>
      </c>
    </row>
    <row r="695" spans="3:12" x14ac:dyDescent="0.25">
      <c r="C695" s="55" t="s">
        <v>411</v>
      </c>
      <c r="D695" t="s">
        <v>76</v>
      </c>
      <c r="E695" t="s">
        <v>75</v>
      </c>
      <c r="F695" t="s">
        <v>200</v>
      </c>
      <c r="G695" t="s">
        <v>30</v>
      </c>
      <c r="H695" t="s">
        <v>41</v>
      </c>
      <c r="I695">
        <v>1.23603520304028E-2</v>
      </c>
      <c r="J695">
        <v>6.35881805524706E-3</v>
      </c>
      <c r="K695">
        <v>6.2642648437942797E-4</v>
      </c>
      <c r="L695">
        <v>6.2642056498307403E-4</v>
      </c>
    </row>
    <row r="696" spans="3:12" x14ac:dyDescent="0.25">
      <c r="C696" s="55" t="s">
        <v>411</v>
      </c>
      <c r="D696" t="s">
        <v>76</v>
      </c>
      <c r="E696" t="s">
        <v>75</v>
      </c>
      <c r="F696" t="s">
        <v>200</v>
      </c>
      <c r="G696" t="s">
        <v>31</v>
      </c>
      <c r="H696" t="s">
        <v>41</v>
      </c>
      <c r="I696">
        <v>1.4212496075993701E-2</v>
      </c>
      <c r="J696">
        <v>2.2361745752819701E-3</v>
      </c>
      <c r="K696">
        <v>1.0100651718165899E-3</v>
      </c>
      <c r="L696">
        <v>1.0100521807380901E-3</v>
      </c>
    </row>
    <row r="697" spans="3:12" x14ac:dyDescent="0.25">
      <c r="C697" s="55" t="s">
        <v>411</v>
      </c>
      <c r="D697" t="s">
        <v>76</v>
      </c>
      <c r="E697" t="s">
        <v>75</v>
      </c>
      <c r="F697" t="s">
        <v>200</v>
      </c>
      <c r="G697" t="s">
        <v>32</v>
      </c>
      <c r="H697" t="s">
        <v>41</v>
      </c>
      <c r="J697">
        <v>3.0301980545139298E-3</v>
      </c>
      <c r="K697">
        <v>1.4911370737436601E-3</v>
      </c>
      <c r="L697">
        <v>1.4911227643525299E-3</v>
      </c>
    </row>
    <row r="698" spans="3:12" x14ac:dyDescent="0.25">
      <c r="C698" s="55" t="s">
        <v>411</v>
      </c>
      <c r="D698" t="s">
        <v>76</v>
      </c>
      <c r="E698" t="s">
        <v>75</v>
      </c>
      <c r="F698" t="s">
        <v>200</v>
      </c>
      <c r="G698" t="s">
        <v>33</v>
      </c>
      <c r="H698" t="s">
        <v>41</v>
      </c>
      <c r="I698">
        <v>1.3634482234984801E-2</v>
      </c>
      <c r="J698">
        <v>5.3346319962726601E-3</v>
      </c>
      <c r="K698">
        <v>1.0324187217887299E-3</v>
      </c>
      <c r="L698">
        <v>1.0324103757814499E-3</v>
      </c>
    </row>
    <row r="699" spans="3:12" x14ac:dyDescent="0.25">
      <c r="C699" s="55" t="s">
        <v>411</v>
      </c>
      <c r="D699" t="s">
        <v>76</v>
      </c>
      <c r="E699" t="s">
        <v>75</v>
      </c>
      <c r="F699" t="s">
        <v>200</v>
      </c>
      <c r="G699" t="s">
        <v>34</v>
      </c>
      <c r="H699" t="s">
        <v>41</v>
      </c>
      <c r="I699">
        <v>1.90856027424792E-2</v>
      </c>
      <c r="J699">
        <v>2.94048440098523E-3</v>
      </c>
      <c r="K699">
        <v>2.0493540437684999E-3</v>
      </c>
      <c r="L699">
        <v>2.0493347699365302E-3</v>
      </c>
    </row>
    <row r="700" spans="3:12" x14ac:dyDescent="0.25">
      <c r="C700" s="55" t="s">
        <v>411</v>
      </c>
      <c r="D700" t="s">
        <v>76</v>
      </c>
      <c r="E700" t="s">
        <v>75</v>
      </c>
      <c r="F700" t="s">
        <v>200</v>
      </c>
      <c r="G700" t="s">
        <v>35</v>
      </c>
      <c r="H700" t="s">
        <v>41</v>
      </c>
      <c r="I700">
        <v>7.9115493027031702E-3</v>
      </c>
      <c r="J700">
        <v>1.62619814969245E-3</v>
      </c>
      <c r="K700">
        <v>8.2504154939790997E-4</v>
      </c>
      <c r="L700">
        <v>8.25035609674805E-4</v>
      </c>
    </row>
    <row r="701" spans="3:12" x14ac:dyDescent="0.25">
      <c r="C701" s="55" t="s">
        <v>411</v>
      </c>
      <c r="D701" t="s">
        <v>76</v>
      </c>
      <c r="E701" t="s">
        <v>75</v>
      </c>
      <c r="F701" t="s">
        <v>200</v>
      </c>
      <c r="G701" t="s">
        <v>36</v>
      </c>
      <c r="H701" t="s">
        <v>41</v>
      </c>
      <c r="I701">
        <v>1.49692242749808E-2</v>
      </c>
      <c r="J701">
        <v>2.7159085732080201E-3</v>
      </c>
      <c r="K701">
        <v>1.6922572226173199E-3</v>
      </c>
      <c r="L701">
        <v>1.69224372272338E-3</v>
      </c>
    </row>
    <row r="702" spans="3:12" x14ac:dyDescent="0.25">
      <c r="C702" s="55" t="s">
        <v>411</v>
      </c>
      <c r="D702" t="s">
        <v>76</v>
      </c>
      <c r="E702" t="s">
        <v>75</v>
      </c>
      <c r="F702" t="s">
        <v>200</v>
      </c>
      <c r="G702" t="s">
        <v>37</v>
      </c>
      <c r="H702" t="s">
        <v>41</v>
      </c>
      <c r="I702">
        <v>1.8700211647398102E-2</v>
      </c>
      <c r="J702">
        <v>9.4139037017337401E-3</v>
      </c>
      <c r="K702">
        <v>1.44285259050204E-3</v>
      </c>
      <c r="L702">
        <v>1.4428424781998499E-3</v>
      </c>
    </row>
    <row r="703" spans="3:12" x14ac:dyDescent="0.25">
      <c r="C703" s="55" t="s">
        <v>411</v>
      </c>
      <c r="D703" t="s">
        <v>76</v>
      </c>
      <c r="E703" t="s">
        <v>75</v>
      </c>
      <c r="F703" t="s">
        <v>200</v>
      </c>
      <c r="G703" t="s">
        <v>38</v>
      </c>
      <c r="H703" t="s">
        <v>41</v>
      </c>
      <c r="I703">
        <v>3.0468072942944398E-2</v>
      </c>
      <c r="J703">
        <v>1.1744013593013801E-2</v>
      </c>
      <c r="K703">
        <v>2.12901685627868E-3</v>
      </c>
      <c r="L703">
        <v>2.1289957045335199E-3</v>
      </c>
    </row>
    <row r="704" spans="3:12" x14ac:dyDescent="0.25">
      <c r="C704" s="55" t="s">
        <v>411</v>
      </c>
      <c r="D704" t="s">
        <v>76</v>
      </c>
      <c r="E704" t="s">
        <v>75</v>
      </c>
      <c r="F704" t="s">
        <v>212</v>
      </c>
      <c r="G704" t="s">
        <v>30</v>
      </c>
      <c r="H704" t="s">
        <v>41</v>
      </c>
      <c r="I704">
        <v>9.7349349618785094E-2</v>
      </c>
      <c r="J704">
        <v>9.3766204582404297E-2</v>
      </c>
      <c r="K704">
        <v>3.5104816007215003E-2</v>
      </c>
      <c r="L704">
        <v>1.3511505643662399E-3</v>
      </c>
    </row>
    <row r="705" spans="3:12" x14ac:dyDescent="0.25">
      <c r="C705" s="55" t="s">
        <v>411</v>
      </c>
      <c r="D705" t="s">
        <v>76</v>
      </c>
      <c r="E705" t="s">
        <v>75</v>
      </c>
      <c r="F705" t="s">
        <v>212</v>
      </c>
      <c r="G705" t="s">
        <v>31</v>
      </c>
      <c r="H705" t="s">
        <v>41</v>
      </c>
      <c r="I705">
        <v>0.27126150894863099</v>
      </c>
      <c r="J705">
        <v>0.26305598649633499</v>
      </c>
      <c r="K705">
        <v>9.8924754061891093E-2</v>
      </c>
      <c r="L705">
        <v>3.1533937937473101E-3</v>
      </c>
    </row>
    <row r="706" spans="3:12" x14ac:dyDescent="0.25">
      <c r="C706" s="55" t="s">
        <v>411</v>
      </c>
      <c r="D706" t="s">
        <v>76</v>
      </c>
      <c r="E706" t="s">
        <v>75</v>
      </c>
      <c r="F706" t="s">
        <v>212</v>
      </c>
      <c r="G706" t="s">
        <v>32</v>
      </c>
      <c r="H706" t="s">
        <v>41</v>
      </c>
      <c r="I706">
        <v>0.29222066291294302</v>
      </c>
      <c r="J706">
        <v>0.28372551022828901</v>
      </c>
      <c r="K706">
        <v>0.10652186180850701</v>
      </c>
      <c r="L706">
        <v>4.2504359334510303E-3</v>
      </c>
    </row>
    <row r="707" spans="3:12" x14ac:dyDescent="0.25">
      <c r="C707" s="55" t="s">
        <v>411</v>
      </c>
      <c r="D707" t="s">
        <v>76</v>
      </c>
      <c r="E707" t="s">
        <v>75</v>
      </c>
      <c r="F707" t="s">
        <v>212</v>
      </c>
      <c r="G707" t="s">
        <v>33</v>
      </c>
      <c r="H707" t="s">
        <v>41</v>
      </c>
      <c r="I707">
        <v>0.14000719097637199</v>
      </c>
      <c r="J707">
        <v>0.135382302652821</v>
      </c>
      <c r="K707">
        <v>5.0710033356980301E-2</v>
      </c>
      <c r="L707">
        <v>2.3245507096987601E-3</v>
      </c>
    </row>
    <row r="708" spans="3:12" x14ac:dyDescent="0.25">
      <c r="C708" s="55" t="s">
        <v>411</v>
      </c>
      <c r="D708" t="s">
        <v>76</v>
      </c>
      <c r="E708" t="s">
        <v>75</v>
      </c>
      <c r="F708" t="s">
        <v>212</v>
      </c>
      <c r="G708" t="s">
        <v>34</v>
      </c>
      <c r="H708" t="s">
        <v>41</v>
      </c>
      <c r="I708">
        <v>0.377790829602689</v>
      </c>
      <c r="J708">
        <v>0.36649789064490501</v>
      </c>
      <c r="K708">
        <v>0.14102551622210099</v>
      </c>
      <c r="L708">
        <v>6.4017756157297798E-3</v>
      </c>
    </row>
    <row r="709" spans="3:12" x14ac:dyDescent="0.25">
      <c r="C709" s="55" t="s">
        <v>411</v>
      </c>
      <c r="D709" t="s">
        <v>76</v>
      </c>
      <c r="E709" t="s">
        <v>75</v>
      </c>
      <c r="F709" t="s">
        <v>212</v>
      </c>
      <c r="G709" t="s">
        <v>35</v>
      </c>
      <c r="H709" t="s">
        <v>41</v>
      </c>
      <c r="I709">
        <v>0.12038613407559901</v>
      </c>
      <c r="J709">
        <v>0.116219198940181</v>
      </c>
      <c r="K709">
        <v>4.2852533235545803E-2</v>
      </c>
      <c r="L709">
        <v>2.2117611409056899E-3</v>
      </c>
    </row>
    <row r="710" spans="3:12" x14ac:dyDescent="0.25">
      <c r="C710" s="55" t="s">
        <v>411</v>
      </c>
      <c r="D710" t="s">
        <v>76</v>
      </c>
      <c r="E710" t="s">
        <v>75</v>
      </c>
      <c r="F710" t="s">
        <v>212</v>
      </c>
      <c r="G710" t="s">
        <v>36</v>
      </c>
      <c r="H710" t="s">
        <v>41</v>
      </c>
      <c r="I710">
        <v>0.24034433822121401</v>
      </c>
      <c r="J710">
        <v>0.233445232725074</v>
      </c>
      <c r="K710">
        <v>8.9612824186599896E-2</v>
      </c>
      <c r="L710">
        <v>3.9344322589838204E-3</v>
      </c>
    </row>
    <row r="711" spans="3:12" x14ac:dyDescent="0.25">
      <c r="C711" s="55" t="s">
        <v>411</v>
      </c>
      <c r="D711" t="s">
        <v>76</v>
      </c>
      <c r="E711" t="s">
        <v>75</v>
      </c>
      <c r="F711" t="s">
        <v>212</v>
      </c>
      <c r="G711" t="s">
        <v>37</v>
      </c>
      <c r="H711" t="s">
        <v>41</v>
      </c>
      <c r="I711">
        <v>0.14432290385393501</v>
      </c>
      <c r="J711">
        <v>0.139485625846693</v>
      </c>
      <c r="K711">
        <v>5.4109520273973498E-2</v>
      </c>
      <c r="L711">
        <v>2.4945391470021102E-3</v>
      </c>
    </row>
    <row r="712" spans="3:12" x14ac:dyDescent="0.25">
      <c r="C712" s="55" t="s">
        <v>411</v>
      </c>
      <c r="D712" t="s">
        <v>76</v>
      </c>
      <c r="E712" t="s">
        <v>75</v>
      </c>
      <c r="F712" t="s">
        <v>212</v>
      </c>
      <c r="G712" t="s">
        <v>38</v>
      </c>
      <c r="H712" t="s">
        <v>41</v>
      </c>
      <c r="I712">
        <v>0.31781811031114299</v>
      </c>
      <c r="J712">
        <v>0.30725835109223298</v>
      </c>
      <c r="K712">
        <v>0.118011514499333</v>
      </c>
      <c r="L712">
        <v>4.6131563652933296E-3</v>
      </c>
    </row>
    <row r="713" spans="3:12" x14ac:dyDescent="0.25">
      <c r="C713" s="55" t="s">
        <v>411</v>
      </c>
      <c r="D713" t="s">
        <v>76</v>
      </c>
      <c r="E713" t="s">
        <v>75</v>
      </c>
      <c r="F713" t="s">
        <v>201</v>
      </c>
      <c r="G713" t="s">
        <v>30</v>
      </c>
      <c r="H713" t="s">
        <v>41</v>
      </c>
      <c r="I713">
        <v>4.3812868002006903E-3</v>
      </c>
      <c r="J713">
        <v>2.25396538397975E-3</v>
      </c>
      <c r="L713">
        <v>2.22042879198252E-4</v>
      </c>
    </row>
    <row r="714" spans="3:12" x14ac:dyDescent="0.25">
      <c r="C714" s="55" t="s">
        <v>411</v>
      </c>
      <c r="D714" t="s">
        <v>76</v>
      </c>
      <c r="E714" t="s">
        <v>75</v>
      </c>
      <c r="F714" t="s">
        <v>201</v>
      </c>
      <c r="G714" t="s">
        <v>31</v>
      </c>
      <c r="H714" t="s">
        <v>41</v>
      </c>
      <c r="I714">
        <v>5.0378032359023198E-3</v>
      </c>
      <c r="J714">
        <v>7.9264102879341596E-4</v>
      </c>
      <c r="L714">
        <v>3.5802607208085301E-4</v>
      </c>
    </row>
    <row r="715" spans="3:12" x14ac:dyDescent="0.25">
      <c r="C715" s="55" t="s">
        <v>411</v>
      </c>
      <c r="D715" t="s">
        <v>76</v>
      </c>
      <c r="E715" t="s">
        <v>75</v>
      </c>
      <c r="F715" t="s">
        <v>201</v>
      </c>
      <c r="G715" t="s">
        <v>32</v>
      </c>
      <c r="H715" t="s">
        <v>41</v>
      </c>
      <c r="J715">
        <v>1.0740929308146101E-3</v>
      </c>
      <c r="L715">
        <v>5.2854776861267305E-4</v>
      </c>
    </row>
    <row r="716" spans="3:12" x14ac:dyDescent="0.25">
      <c r="C716" s="55" t="s">
        <v>411</v>
      </c>
      <c r="D716" t="s">
        <v>76</v>
      </c>
      <c r="E716" t="s">
        <v>75</v>
      </c>
      <c r="F716" t="s">
        <v>201</v>
      </c>
      <c r="G716" t="s">
        <v>33</v>
      </c>
      <c r="H716" t="s">
        <v>41</v>
      </c>
      <c r="I716">
        <v>4.8329187467133199E-3</v>
      </c>
      <c r="J716">
        <v>1.8909293757740999E-3</v>
      </c>
      <c r="L716">
        <v>3.65951223773849E-4</v>
      </c>
    </row>
    <row r="717" spans="3:12" x14ac:dyDescent="0.25">
      <c r="C717" s="55" t="s">
        <v>411</v>
      </c>
      <c r="D717" t="s">
        <v>76</v>
      </c>
      <c r="E717" t="s">
        <v>75</v>
      </c>
      <c r="F717" t="s">
        <v>201</v>
      </c>
      <c r="G717" t="s">
        <v>34</v>
      </c>
      <c r="H717" t="s">
        <v>41</v>
      </c>
      <c r="I717">
        <v>6.7651389834058901E-3</v>
      </c>
      <c r="J717">
        <v>1.04229276484553E-3</v>
      </c>
      <c r="L717">
        <v>7.2641324087131505E-4</v>
      </c>
    </row>
    <row r="718" spans="3:12" x14ac:dyDescent="0.25">
      <c r="C718" s="55" t="s">
        <v>411</v>
      </c>
      <c r="D718" t="s">
        <v>76</v>
      </c>
      <c r="E718" t="s">
        <v>75</v>
      </c>
      <c r="F718" t="s">
        <v>201</v>
      </c>
      <c r="G718" t="s">
        <v>35</v>
      </c>
      <c r="H718" t="s">
        <v>41</v>
      </c>
      <c r="I718">
        <v>2.8043510770413499E-3</v>
      </c>
      <c r="J718">
        <v>5.7642698769689703E-4</v>
      </c>
      <c r="L718">
        <v>2.9244455315452299E-4</v>
      </c>
    </row>
    <row r="719" spans="3:12" x14ac:dyDescent="0.25">
      <c r="C719" s="55" t="s">
        <v>411</v>
      </c>
      <c r="D719" t="s">
        <v>76</v>
      </c>
      <c r="E719" t="s">
        <v>75</v>
      </c>
      <c r="F719" t="s">
        <v>201</v>
      </c>
      <c r="G719" t="s">
        <v>36</v>
      </c>
      <c r="H719" t="s">
        <v>41</v>
      </c>
      <c r="I719">
        <v>5.3060353429982103E-3</v>
      </c>
      <c r="J719">
        <v>9.6268895522390698E-4</v>
      </c>
      <c r="L719">
        <v>5.9983769611526405E-4</v>
      </c>
    </row>
    <row r="720" spans="3:12" x14ac:dyDescent="0.25">
      <c r="C720" s="55" t="s">
        <v>411</v>
      </c>
      <c r="D720" t="s">
        <v>76</v>
      </c>
      <c r="E720" t="s">
        <v>75</v>
      </c>
      <c r="F720" t="s">
        <v>201</v>
      </c>
      <c r="G720" t="s">
        <v>37</v>
      </c>
      <c r="H720" t="s">
        <v>41</v>
      </c>
      <c r="I720">
        <v>6.6285321202971103E-3</v>
      </c>
      <c r="J720">
        <v>3.33688004397577E-3</v>
      </c>
      <c r="L720">
        <v>5.1143419612619803E-4</v>
      </c>
    </row>
    <row r="721" spans="3:12" x14ac:dyDescent="0.25">
      <c r="C721" s="55" t="s">
        <v>411</v>
      </c>
      <c r="D721" t="s">
        <v>76</v>
      </c>
      <c r="E721" t="s">
        <v>75</v>
      </c>
      <c r="F721" t="s">
        <v>201</v>
      </c>
      <c r="G721" t="s">
        <v>38</v>
      </c>
      <c r="H721" t="s">
        <v>41</v>
      </c>
      <c r="I721">
        <v>1.07998029088597E-2</v>
      </c>
      <c r="J721">
        <v>4.16281766165619E-3</v>
      </c>
      <c r="L721">
        <v>7.5465009046774695E-4</v>
      </c>
    </row>
    <row r="722" spans="3:12" x14ac:dyDescent="0.25">
      <c r="C722" s="55" t="s">
        <v>411</v>
      </c>
      <c r="D722" t="s">
        <v>76</v>
      </c>
      <c r="E722" t="s">
        <v>75</v>
      </c>
      <c r="F722" t="s">
        <v>213</v>
      </c>
      <c r="G722" t="s">
        <v>30</v>
      </c>
      <c r="H722" t="s">
        <v>41</v>
      </c>
      <c r="I722">
        <v>3.4506737303581898E-2</v>
      </c>
      <c r="J722">
        <v>3.3236645156328702E-2</v>
      </c>
      <c r="K722">
        <v>1.2443356517482001E-2</v>
      </c>
      <c r="L722">
        <v>4.78932810180536E-4</v>
      </c>
    </row>
    <row r="723" spans="3:12" x14ac:dyDescent="0.25">
      <c r="C723" s="55" t="s">
        <v>411</v>
      </c>
      <c r="D723" t="s">
        <v>76</v>
      </c>
      <c r="E723" t="s">
        <v>75</v>
      </c>
      <c r="F723" t="s">
        <v>213</v>
      </c>
      <c r="G723" t="s">
        <v>31</v>
      </c>
      <c r="H723" t="s">
        <v>41</v>
      </c>
      <c r="I723">
        <v>9.6152153727973297E-2</v>
      </c>
      <c r="J723">
        <v>9.3243600062141899E-2</v>
      </c>
      <c r="K723">
        <v>3.50651598043797E-2</v>
      </c>
      <c r="L723">
        <v>1.1177612555367999E-3</v>
      </c>
    </row>
    <row r="724" spans="3:12" x14ac:dyDescent="0.25">
      <c r="C724" s="55" t="s">
        <v>411</v>
      </c>
      <c r="D724" t="s">
        <v>76</v>
      </c>
      <c r="E724" t="s">
        <v>75</v>
      </c>
      <c r="F724" t="s">
        <v>213</v>
      </c>
      <c r="G724" t="s">
        <v>32</v>
      </c>
      <c r="H724" t="s">
        <v>41</v>
      </c>
      <c r="I724">
        <v>0.10358139719784699</v>
      </c>
      <c r="J724">
        <v>0.100570180346465</v>
      </c>
      <c r="K724">
        <v>3.7758053000955097E-2</v>
      </c>
      <c r="L724">
        <v>1.5066220447866E-3</v>
      </c>
    </row>
    <row r="725" spans="3:12" x14ac:dyDescent="0.25">
      <c r="C725" s="55" t="s">
        <v>411</v>
      </c>
      <c r="D725" t="s">
        <v>76</v>
      </c>
      <c r="E725" t="s">
        <v>75</v>
      </c>
      <c r="F725" t="s">
        <v>213</v>
      </c>
      <c r="G725" t="s">
        <v>33</v>
      </c>
      <c r="H725" t="s">
        <v>41</v>
      </c>
      <c r="I725">
        <v>4.9627361441578997E-2</v>
      </c>
      <c r="J725">
        <v>4.79880098992818E-2</v>
      </c>
      <c r="K725">
        <v>1.7974827839707899E-2</v>
      </c>
      <c r="L725">
        <v>8.2396709379712002E-4</v>
      </c>
    </row>
    <row r="726" spans="3:12" x14ac:dyDescent="0.25">
      <c r="C726" s="55" t="s">
        <v>411</v>
      </c>
      <c r="D726" t="s">
        <v>76</v>
      </c>
      <c r="E726" t="s">
        <v>75</v>
      </c>
      <c r="F726" t="s">
        <v>213</v>
      </c>
      <c r="G726" t="s">
        <v>34</v>
      </c>
      <c r="H726" t="s">
        <v>41</v>
      </c>
      <c r="I726">
        <v>0.13391285061329999</v>
      </c>
      <c r="J726">
        <v>0.12990992219592901</v>
      </c>
      <c r="K726">
        <v>4.9988320008653102E-2</v>
      </c>
      <c r="L726">
        <v>2.2691922474419599E-3</v>
      </c>
    </row>
    <row r="727" spans="3:12" x14ac:dyDescent="0.25">
      <c r="C727" s="55" t="s">
        <v>411</v>
      </c>
      <c r="D727" t="s">
        <v>76</v>
      </c>
      <c r="E727" t="s">
        <v>75</v>
      </c>
      <c r="F727" t="s">
        <v>213</v>
      </c>
      <c r="G727" t="s">
        <v>35</v>
      </c>
      <c r="H727" t="s">
        <v>41</v>
      </c>
      <c r="I727">
        <v>4.2672423799520402E-2</v>
      </c>
      <c r="J727">
        <v>4.1195399693638002E-2</v>
      </c>
      <c r="K727">
        <v>1.51896351947137E-2</v>
      </c>
      <c r="L727">
        <v>7.83987370910755E-4</v>
      </c>
    </row>
    <row r="728" spans="3:12" x14ac:dyDescent="0.25">
      <c r="C728" s="55" t="s">
        <v>411</v>
      </c>
      <c r="D728" t="s">
        <v>76</v>
      </c>
      <c r="E728" t="s">
        <v>75</v>
      </c>
      <c r="F728" t="s">
        <v>213</v>
      </c>
      <c r="G728" t="s">
        <v>36</v>
      </c>
      <c r="H728" t="s">
        <v>41</v>
      </c>
      <c r="I728">
        <v>8.5193162295173E-2</v>
      </c>
      <c r="J728">
        <v>8.2747685032949103E-2</v>
      </c>
      <c r="K728">
        <v>3.1764425703388298E-2</v>
      </c>
      <c r="L728">
        <v>1.3946104512371101E-3</v>
      </c>
    </row>
    <row r="729" spans="3:12" x14ac:dyDescent="0.25">
      <c r="C729" s="55" t="s">
        <v>411</v>
      </c>
      <c r="D729" t="s">
        <v>76</v>
      </c>
      <c r="E729" t="s">
        <v>75</v>
      </c>
      <c r="F729" t="s">
        <v>213</v>
      </c>
      <c r="G729" t="s">
        <v>37</v>
      </c>
      <c r="H729" t="s">
        <v>41</v>
      </c>
      <c r="I729">
        <v>5.1157121744312598E-2</v>
      </c>
      <c r="J729">
        <v>4.9442485928933001E-2</v>
      </c>
      <c r="K729">
        <v>1.9179819988818399E-2</v>
      </c>
      <c r="L729">
        <v>8.8422169615083796E-4</v>
      </c>
    </row>
    <row r="730" spans="3:12" x14ac:dyDescent="0.25">
      <c r="C730" s="55" t="s">
        <v>411</v>
      </c>
      <c r="D730" t="s">
        <v>76</v>
      </c>
      <c r="E730" t="s">
        <v>75</v>
      </c>
      <c r="F730" t="s">
        <v>213</v>
      </c>
      <c r="G730" t="s">
        <v>38</v>
      </c>
      <c r="H730" t="s">
        <v>41</v>
      </c>
      <c r="I730">
        <v>0.112654743824926</v>
      </c>
      <c r="J730">
        <v>0.10891170045809501</v>
      </c>
      <c r="K730">
        <v>4.1830709147753102E-2</v>
      </c>
      <c r="L730">
        <v>1.6351929978051601E-3</v>
      </c>
    </row>
    <row r="731" spans="3:12" x14ac:dyDescent="0.25">
      <c r="C731" s="55" t="s">
        <v>411</v>
      </c>
      <c r="D731" t="s">
        <v>76</v>
      </c>
      <c r="E731" t="s">
        <v>75</v>
      </c>
      <c r="F731" t="s">
        <v>202</v>
      </c>
      <c r="G731" t="s">
        <v>30</v>
      </c>
      <c r="H731" t="s">
        <v>41</v>
      </c>
      <c r="J731">
        <v>1.9881835122276602E-3</v>
      </c>
      <c r="K731">
        <v>4.2116796710429403E-3</v>
      </c>
      <c r="L731">
        <v>2.5370997247520202E-2</v>
      </c>
    </row>
    <row r="732" spans="3:12" x14ac:dyDescent="0.25">
      <c r="C732" s="55" t="s">
        <v>411</v>
      </c>
      <c r="D732" t="s">
        <v>76</v>
      </c>
      <c r="E732" t="s">
        <v>75</v>
      </c>
      <c r="F732" t="s">
        <v>202</v>
      </c>
      <c r="G732" t="s">
        <v>31</v>
      </c>
      <c r="H732" t="s">
        <v>41</v>
      </c>
      <c r="J732">
        <v>7.6533885226630601E-3</v>
      </c>
      <c r="K732">
        <v>1.15447861769264E-2</v>
      </c>
      <c r="L732">
        <v>7.1350226404257505E-2</v>
      </c>
    </row>
    <row r="733" spans="3:12" x14ac:dyDescent="0.25">
      <c r="C733" s="55" t="s">
        <v>411</v>
      </c>
      <c r="D733" t="s">
        <v>76</v>
      </c>
      <c r="E733" t="s">
        <v>75</v>
      </c>
      <c r="F733" t="s">
        <v>202</v>
      </c>
      <c r="G733" t="s">
        <v>32</v>
      </c>
      <c r="H733" t="s">
        <v>41</v>
      </c>
      <c r="J733">
        <v>7.6788045014824502E-3</v>
      </c>
      <c r="K733">
        <v>1.14777984721829E-2</v>
      </c>
      <c r="L733">
        <v>7.7442820550247204E-2</v>
      </c>
    </row>
    <row r="734" spans="3:12" x14ac:dyDescent="0.25">
      <c r="C734" s="55" t="s">
        <v>411</v>
      </c>
      <c r="D734" t="s">
        <v>76</v>
      </c>
      <c r="E734" t="s">
        <v>75</v>
      </c>
      <c r="F734" t="s">
        <v>202</v>
      </c>
      <c r="G734" t="s">
        <v>33</v>
      </c>
      <c r="H734" t="s">
        <v>41</v>
      </c>
      <c r="J734">
        <v>2.8174813553628998E-3</v>
      </c>
      <c r="K734">
        <v>4.8295298622235399E-3</v>
      </c>
      <c r="L734">
        <v>3.6766966546878499E-2</v>
      </c>
    </row>
    <row r="735" spans="3:12" x14ac:dyDescent="0.25">
      <c r="C735" s="55" t="s">
        <v>411</v>
      </c>
      <c r="D735" t="s">
        <v>76</v>
      </c>
      <c r="E735" t="s">
        <v>75</v>
      </c>
      <c r="F735" t="s">
        <v>202</v>
      </c>
      <c r="G735" t="s">
        <v>34</v>
      </c>
      <c r="H735" t="s">
        <v>41</v>
      </c>
      <c r="K735">
        <v>2.1879049087454999E-2</v>
      </c>
      <c r="L735">
        <v>0.109828794293655</v>
      </c>
    </row>
    <row r="736" spans="3:12" x14ac:dyDescent="0.25">
      <c r="C736" s="55" t="s">
        <v>411</v>
      </c>
      <c r="D736" t="s">
        <v>76</v>
      </c>
      <c r="E736" t="s">
        <v>75</v>
      </c>
      <c r="F736" t="s">
        <v>202</v>
      </c>
      <c r="G736" t="s">
        <v>35</v>
      </c>
      <c r="H736" t="s">
        <v>41</v>
      </c>
      <c r="J736">
        <v>2.1866896691307099E-3</v>
      </c>
      <c r="K736">
        <v>4.1575370486190604E-3</v>
      </c>
      <c r="L736">
        <v>3.1339878439816303E-2</v>
      </c>
    </row>
    <row r="737" spans="3:12" x14ac:dyDescent="0.25">
      <c r="C737" s="55" t="s">
        <v>411</v>
      </c>
      <c r="D737" t="s">
        <v>76</v>
      </c>
      <c r="E737" t="s">
        <v>75</v>
      </c>
      <c r="F737" t="s">
        <v>202</v>
      </c>
      <c r="G737" t="s">
        <v>36</v>
      </c>
      <c r="H737" t="s">
        <v>41</v>
      </c>
      <c r="K737">
        <v>1.16587935654249E-2</v>
      </c>
      <c r="L737">
        <v>7.0362933150703494E-2</v>
      </c>
    </row>
    <row r="738" spans="3:12" x14ac:dyDescent="0.25">
      <c r="C738" s="55" t="s">
        <v>411</v>
      </c>
      <c r="D738" t="s">
        <v>76</v>
      </c>
      <c r="E738" t="s">
        <v>75</v>
      </c>
      <c r="F738" t="s">
        <v>202</v>
      </c>
      <c r="G738" t="s">
        <v>37</v>
      </c>
      <c r="H738" t="s">
        <v>41</v>
      </c>
      <c r="K738">
        <v>6.1912499278232603E-3</v>
      </c>
      <c r="L738">
        <v>4.19279140092879E-2</v>
      </c>
    </row>
    <row r="739" spans="3:12" x14ac:dyDescent="0.25">
      <c r="C739" s="55" t="s">
        <v>411</v>
      </c>
      <c r="D739" t="s">
        <v>76</v>
      </c>
      <c r="E739" t="s">
        <v>75</v>
      </c>
      <c r="F739" t="s">
        <v>202</v>
      </c>
      <c r="G739" t="s">
        <v>38</v>
      </c>
      <c r="H739" t="s">
        <v>41</v>
      </c>
      <c r="J739">
        <v>1.9662740857801599E-3</v>
      </c>
      <c r="K739">
        <v>1.43897862153737E-2</v>
      </c>
      <c r="L739">
        <v>9.0301658584590702E-2</v>
      </c>
    </row>
    <row r="740" spans="3:12" x14ac:dyDescent="0.25">
      <c r="C740" s="55" t="s">
        <v>411</v>
      </c>
      <c r="D740" t="s">
        <v>76</v>
      </c>
      <c r="E740" t="s">
        <v>75</v>
      </c>
      <c r="F740" t="s">
        <v>426</v>
      </c>
      <c r="G740" t="s">
        <v>30</v>
      </c>
      <c r="H740" t="s">
        <v>41</v>
      </c>
      <c r="J740">
        <v>5.3403599734350597E-2</v>
      </c>
      <c r="K740">
        <v>7.1716297992896499E-2</v>
      </c>
      <c r="L740">
        <v>9.9322766472239907E-2</v>
      </c>
    </row>
    <row r="741" spans="3:12" x14ac:dyDescent="0.25">
      <c r="C741" s="55" t="s">
        <v>411</v>
      </c>
      <c r="D741" t="s">
        <v>76</v>
      </c>
      <c r="E741" t="s">
        <v>75</v>
      </c>
      <c r="F741" t="s">
        <v>426</v>
      </c>
      <c r="G741" t="s">
        <v>31</v>
      </c>
      <c r="H741" t="s">
        <v>41</v>
      </c>
      <c r="J741">
        <v>0.170392959624735</v>
      </c>
      <c r="K741">
        <v>0.20268320861205599</v>
      </c>
      <c r="L741">
        <v>0.27907581637197398</v>
      </c>
    </row>
    <row r="742" spans="3:12" x14ac:dyDescent="0.25">
      <c r="C742" s="55" t="s">
        <v>411</v>
      </c>
      <c r="D742" t="s">
        <v>76</v>
      </c>
      <c r="E742" t="s">
        <v>75</v>
      </c>
      <c r="F742" t="s">
        <v>426</v>
      </c>
      <c r="G742" t="s">
        <v>32</v>
      </c>
      <c r="H742" t="s">
        <v>41</v>
      </c>
      <c r="J742">
        <v>0.19157951946773499</v>
      </c>
      <c r="K742">
        <v>0.22285320778487899</v>
      </c>
      <c r="L742">
        <v>0.30418986356493499</v>
      </c>
    </row>
    <row r="743" spans="3:12" x14ac:dyDescent="0.25">
      <c r="C743" s="55" t="s">
        <v>411</v>
      </c>
      <c r="D743" t="s">
        <v>76</v>
      </c>
      <c r="E743" t="s">
        <v>75</v>
      </c>
      <c r="F743" t="s">
        <v>426</v>
      </c>
      <c r="G743" t="s">
        <v>33</v>
      </c>
      <c r="H743" t="s">
        <v>41</v>
      </c>
      <c r="J743">
        <v>7.0562014642050003E-2</v>
      </c>
      <c r="K743">
        <v>0.103401721445261</v>
      </c>
      <c r="L743">
        <v>0.144615598910177</v>
      </c>
    </row>
    <row r="744" spans="3:12" x14ac:dyDescent="0.25">
      <c r="C744" s="55" t="s">
        <v>411</v>
      </c>
      <c r="D744" t="s">
        <v>76</v>
      </c>
      <c r="E744" t="s">
        <v>75</v>
      </c>
      <c r="F744" t="s">
        <v>426</v>
      </c>
      <c r="G744" t="s">
        <v>34</v>
      </c>
      <c r="H744" t="s">
        <v>41</v>
      </c>
      <c r="J744">
        <v>0.29189209936068899</v>
      </c>
      <c r="K744">
        <v>0.30518353866161801</v>
      </c>
      <c r="L744">
        <v>0.43139167808134998</v>
      </c>
    </row>
    <row r="745" spans="3:12" x14ac:dyDescent="0.25">
      <c r="C745" s="55" t="s">
        <v>411</v>
      </c>
      <c r="D745" t="s">
        <v>76</v>
      </c>
      <c r="E745" t="s">
        <v>75</v>
      </c>
      <c r="F745" t="s">
        <v>426</v>
      </c>
      <c r="G745" t="s">
        <v>35</v>
      </c>
      <c r="H745" t="s">
        <v>41</v>
      </c>
      <c r="J745">
        <v>6.3240452437766603E-2</v>
      </c>
      <c r="K745">
        <v>8.9607328781543594E-2</v>
      </c>
      <c r="L745">
        <v>0.123811349566347</v>
      </c>
    </row>
    <row r="746" spans="3:12" x14ac:dyDescent="0.25">
      <c r="C746" s="55" t="s">
        <v>411</v>
      </c>
      <c r="D746" t="s">
        <v>76</v>
      </c>
      <c r="E746" t="s">
        <v>75</v>
      </c>
      <c r="F746" t="s">
        <v>426</v>
      </c>
      <c r="G746" t="s">
        <v>36</v>
      </c>
      <c r="H746" t="s">
        <v>41</v>
      </c>
      <c r="J746">
        <v>0.154238447579816</v>
      </c>
      <c r="K746">
        <v>0.193085784952299</v>
      </c>
      <c r="L746">
        <v>0.27609231798883999</v>
      </c>
    </row>
    <row r="747" spans="3:12" x14ac:dyDescent="0.25">
      <c r="C747" s="55" t="s">
        <v>411</v>
      </c>
      <c r="D747" t="s">
        <v>76</v>
      </c>
      <c r="E747" t="s">
        <v>75</v>
      </c>
      <c r="F747" t="s">
        <v>426</v>
      </c>
      <c r="G747" t="s">
        <v>37</v>
      </c>
      <c r="H747" t="s">
        <v>41</v>
      </c>
      <c r="J747">
        <v>8.9350423204108506E-2</v>
      </c>
      <c r="K747">
        <v>0.11336849840352201</v>
      </c>
      <c r="L747">
        <v>0.164356335240019</v>
      </c>
    </row>
    <row r="748" spans="3:12" x14ac:dyDescent="0.25">
      <c r="C748" s="55" t="s">
        <v>411</v>
      </c>
      <c r="D748" t="s">
        <v>76</v>
      </c>
      <c r="E748" t="s">
        <v>75</v>
      </c>
      <c r="F748" t="s">
        <v>426</v>
      </c>
      <c r="G748" t="s">
        <v>38</v>
      </c>
      <c r="H748" t="s">
        <v>41</v>
      </c>
      <c r="J748">
        <v>0.207842158522102</v>
      </c>
      <c r="K748">
        <v>0.24995912311461099</v>
      </c>
      <c r="L748">
        <v>0.35361456443033101</v>
      </c>
    </row>
    <row r="749" spans="3:12" x14ac:dyDescent="0.25">
      <c r="C749" s="55" t="s">
        <v>411</v>
      </c>
      <c r="D749" t="s">
        <v>76</v>
      </c>
      <c r="E749" t="s">
        <v>75</v>
      </c>
      <c r="F749" t="s">
        <v>427</v>
      </c>
      <c r="G749" t="s">
        <v>30</v>
      </c>
      <c r="H749" t="s">
        <v>41</v>
      </c>
      <c r="J749">
        <v>5.6723827297476296E-3</v>
      </c>
      <c r="K749">
        <v>2.5642815274450802E-2</v>
      </c>
      <c r="L749">
        <v>3.5428283335284999E-2</v>
      </c>
    </row>
    <row r="750" spans="3:12" x14ac:dyDescent="0.25">
      <c r="C750" s="55" t="s">
        <v>411</v>
      </c>
      <c r="D750" t="s">
        <v>76</v>
      </c>
      <c r="E750" t="s">
        <v>75</v>
      </c>
      <c r="F750" t="s">
        <v>427</v>
      </c>
      <c r="G750" t="s">
        <v>31</v>
      </c>
      <c r="H750" t="s">
        <v>41</v>
      </c>
      <c r="J750">
        <v>1.6596645638385001E-2</v>
      </c>
      <c r="K750">
        <v>7.2201718003161497E-2</v>
      </c>
      <c r="L750">
        <v>9.9280062234016503E-2</v>
      </c>
    </row>
    <row r="751" spans="3:12" x14ac:dyDescent="0.25">
      <c r="C751" s="55" t="s">
        <v>411</v>
      </c>
      <c r="D751" t="s">
        <v>76</v>
      </c>
      <c r="E751" t="s">
        <v>75</v>
      </c>
      <c r="F751" t="s">
        <v>427</v>
      </c>
      <c r="G751" t="s">
        <v>32</v>
      </c>
      <c r="H751" t="s">
        <v>41</v>
      </c>
      <c r="J751">
        <v>2.0545414037800101E-2</v>
      </c>
      <c r="K751">
        <v>7.9521757504229906E-2</v>
      </c>
      <c r="L751">
        <v>0.10835258309655101</v>
      </c>
    </row>
    <row r="752" spans="3:12" x14ac:dyDescent="0.25">
      <c r="C752" s="55" t="s">
        <v>411</v>
      </c>
      <c r="D752" t="s">
        <v>76</v>
      </c>
      <c r="E752" t="s">
        <v>75</v>
      </c>
      <c r="F752" t="s">
        <v>427</v>
      </c>
      <c r="G752" t="s">
        <v>33</v>
      </c>
      <c r="H752" t="s">
        <v>41</v>
      </c>
      <c r="J752">
        <v>7.4551638792300602E-3</v>
      </c>
      <c r="K752">
        <v>3.70180330364938E-2</v>
      </c>
      <c r="L752">
        <v>5.1626822520141502E-2</v>
      </c>
    </row>
    <row r="753" spans="3:12" x14ac:dyDescent="0.25">
      <c r="C753" s="55" t="s">
        <v>411</v>
      </c>
      <c r="D753" t="s">
        <v>76</v>
      </c>
      <c r="E753" t="s">
        <v>75</v>
      </c>
      <c r="F753" t="s">
        <v>427</v>
      </c>
      <c r="G753" t="s">
        <v>34</v>
      </c>
      <c r="H753" t="s">
        <v>41</v>
      </c>
      <c r="J753">
        <v>2.69488072988955E-2</v>
      </c>
      <c r="K753">
        <v>0.10890267640326599</v>
      </c>
      <c r="L753">
        <v>0.15363877853963301</v>
      </c>
    </row>
    <row r="754" spans="3:12" x14ac:dyDescent="0.25">
      <c r="C754" s="55" t="s">
        <v>411</v>
      </c>
      <c r="D754" t="s">
        <v>76</v>
      </c>
      <c r="E754" t="s">
        <v>75</v>
      </c>
      <c r="F754" t="s">
        <v>427</v>
      </c>
      <c r="G754" t="s">
        <v>35</v>
      </c>
      <c r="H754" t="s">
        <v>41</v>
      </c>
      <c r="J754">
        <v>6.7732308778588298E-3</v>
      </c>
      <c r="K754">
        <v>3.2054924444482102E-2</v>
      </c>
      <c r="L754">
        <v>4.4178980327847298E-2</v>
      </c>
    </row>
    <row r="755" spans="3:12" x14ac:dyDescent="0.25">
      <c r="C755" s="55" t="s">
        <v>411</v>
      </c>
      <c r="D755" t="s">
        <v>76</v>
      </c>
      <c r="E755" t="s">
        <v>75</v>
      </c>
      <c r="F755" t="s">
        <v>427</v>
      </c>
      <c r="G755" t="s">
        <v>36</v>
      </c>
      <c r="H755" t="s">
        <v>41</v>
      </c>
      <c r="J755">
        <v>1.6018110983216101E-2</v>
      </c>
      <c r="K755">
        <v>6.9041598738511401E-2</v>
      </c>
      <c r="L755">
        <v>9.8464334230353306E-2</v>
      </c>
    </row>
    <row r="756" spans="3:12" x14ac:dyDescent="0.25">
      <c r="C756" s="55" t="s">
        <v>411</v>
      </c>
      <c r="D756" t="s">
        <v>76</v>
      </c>
      <c r="E756" t="s">
        <v>75</v>
      </c>
      <c r="F756" t="s">
        <v>427</v>
      </c>
      <c r="G756" t="s">
        <v>37</v>
      </c>
      <c r="H756" t="s">
        <v>41</v>
      </c>
      <c r="J756">
        <v>1.06143608482438E-2</v>
      </c>
      <c r="K756">
        <v>4.0696369762448899E-2</v>
      </c>
      <c r="L756">
        <v>5.8769665057613198E-2</v>
      </c>
    </row>
    <row r="757" spans="3:12" x14ac:dyDescent="0.25">
      <c r="C757" s="55" t="s">
        <v>411</v>
      </c>
      <c r="D757" t="s">
        <v>76</v>
      </c>
      <c r="E757" t="s">
        <v>75</v>
      </c>
      <c r="F757" t="s">
        <v>427</v>
      </c>
      <c r="G757" t="s">
        <v>38</v>
      </c>
      <c r="H757" t="s">
        <v>41</v>
      </c>
      <c r="J757">
        <v>2.1631090625523999E-2</v>
      </c>
      <c r="K757">
        <v>8.9355904866213004E-2</v>
      </c>
      <c r="L757">
        <v>0.12609791051594299</v>
      </c>
    </row>
    <row r="758" spans="3:12" x14ac:dyDescent="0.25">
      <c r="C758" s="55"/>
    </row>
    <row r="759" spans="3:12" x14ac:dyDescent="0.25">
      <c r="C759" s="55"/>
    </row>
    <row r="760" spans="3:12" x14ac:dyDescent="0.25">
      <c r="C760" s="55"/>
    </row>
    <row r="761" spans="3:12" x14ac:dyDescent="0.25">
      <c r="C761" s="55"/>
    </row>
    <row r="762" spans="3:12" x14ac:dyDescent="0.25">
      <c r="C762" s="55"/>
    </row>
    <row r="763" spans="3:12" x14ac:dyDescent="0.25">
      <c r="C763" s="55"/>
    </row>
    <row r="764" spans="3:12" x14ac:dyDescent="0.25">
      <c r="C764" s="55"/>
    </row>
    <row r="765" spans="3:12" x14ac:dyDescent="0.25">
      <c r="C765" s="55"/>
    </row>
    <row r="766" spans="3:12" x14ac:dyDescent="0.25">
      <c r="C766" s="55"/>
    </row>
    <row r="767" spans="3:12" x14ac:dyDescent="0.25">
      <c r="C767" s="55"/>
    </row>
    <row r="768" spans="3:12" x14ac:dyDescent="0.25">
      <c r="C768" s="55"/>
    </row>
    <row r="769" spans="3:3" x14ac:dyDescent="0.25">
      <c r="C769" s="55"/>
    </row>
    <row r="770" spans="3:3" x14ac:dyDescent="0.25">
      <c r="C770" s="55"/>
    </row>
    <row r="771" spans="3:3" x14ac:dyDescent="0.25">
      <c r="C771" s="55"/>
    </row>
    <row r="772" spans="3:3" x14ac:dyDescent="0.25">
      <c r="C772" s="55"/>
    </row>
    <row r="773" spans="3:3" x14ac:dyDescent="0.25">
      <c r="C773" s="55"/>
    </row>
    <row r="774" spans="3:3" x14ac:dyDescent="0.25">
      <c r="C774" s="55"/>
    </row>
    <row r="775" spans="3:3" x14ac:dyDescent="0.25">
      <c r="C775" s="55"/>
    </row>
    <row r="776" spans="3:3" x14ac:dyDescent="0.25">
      <c r="C776" s="55"/>
    </row>
    <row r="777" spans="3:3" x14ac:dyDescent="0.25">
      <c r="C777" s="55"/>
    </row>
    <row r="778" spans="3:3" x14ac:dyDescent="0.25">
      <c r="C778" s="55"/>
    </row>
    <row r="779" spans="3:3" x14ac:dyDescent="0.25">
      <c r="C779" s="55"/>
    </row>
    <row r="780" spans="3:3" x14ac:dyDescent="0.25">
      <c r="C780" s="55"/>
    </row>
    <row r="781" spans="3:3" x14ac:dyDescent="0.25">
      <c r="C781" s="55"/>
    </row>
    <row r="782" spans="3:3" x14ac:dyDescent="0.25">
      <c r="C782" s="55"/>
    </row>
    <row r="783" spans="3:3" x14ac:dyDescent="0.25">
      <c r="C783" s="55"/>
    </row>
    <row r="784" spans="3:3" x14ac:dyDescent="0.25">
      <c r="C784" s="55"/>
    </row>
    <row r="785" spans="3:3" x14ac:dyDescent="0.25">
      <c r="C785" s="55"/>
    </row>
    <row r="786" spans="3:3" x14ac:dyDescent="0.25">
      <c r="C786" s="55"/>
    </row>
    <row r="787" spans="3:3" x14ac:dyDescent="0.25">
      <c r="C787" s="55"/>
    </row>
    <row r="788" spans="3:3" x14ac:dyDescent="0.25">
      <c r="C788" s="55"/>
    </row>
    <row r="789" spans="3:3" x14ac:dyDescent="0.25">
      <c r="C789" s="55"/>
    </row>
    <row r="790" spans="3:3" x14ac:dyDescent="0.25">
      <c r="C790" s="55"/>
    </row>
    <row r="791" spans="3:3" x14ac:dyDescent="0.25">
      <c r="C791" s="55"/>
    </row>
    <row r="792" spans="3:3" x14ac:dyDescent="0.25">
      <c r="C792" s="55"/>
    </row>
    <row r="793" spans="3:3" x14ac:dyDescent="0.25">
      <c r="C793" s="55"/>
    </row>
    <row r="794" spans="3:3" x14ac:dyDescent="0.25">
      <c r="C794" s="55"/>
    </row>
    <row r="795" spans="3:3" x14ac:dyDescent="0.25">
      <c r="C795" s="55"/>
    </row>
    <row r="796" spans="3:3" x14ac:dyDescent="0.25">
      <c r="C796" s="55"/>
    </row>
    <row r="797" spans="3:3" x14ac:dyDescent="0.25">
      <c r="C797" s="55"/>
    </row>
    <row r="798" spans="3:3" x14ac:dyDescent="0.25">
      <c r="C798" s="55"/>
    </row>
    <row r="799" spans="3:3" x14ac:dyDescent="0.25">
      <c r="C799" s="55"/>
    </row>
    <row r="800" spans="3:3" x14ac:dyDescent="0.25">
      <c r="C800" s="55"/>
    </row>
    <row r="801" spans="3:3" x14ac:dyDescent="0.25">
      <c r="C801" s="55"/>
    </row>
    <row r="802" spans="3:3" x14ac:dyDescent="0.25">
      <c r="C802" s="55"/>
    </row>
    <row r="803" spans="3:3" x14ac:dyDescent="0.25">
      <c r="C803" s="55"/>
    </row>
    <row r="804" spans="3:3" x14ac:dyDescent="0.25">
      <c r="C804" s="55"/>
    </row>
    <row r="805" spans="3:3" x14ac:dyDescent="0.25">
      <c r="C805" s="55"/>
    </row>
    <row r="806" spans="3:3" x14ac:dyDescent="0.25">
      <c r="C806" s="55"/>
    </row>
    <row r="807" spans="3:3" x14ac:dyDescent="0.25">
      <c r="C807" s="55"/>
    </row>
    <row r="808" spans="3:3" x14ac:dyDescent="0.25">
      <c r="C808" s="55"/>
    </row>
    <row r="809" spans="3:3" x14ac:dyDescent="0.25">
      <c r="C809" s="55"/>
    </row>
    <row r="810" spans="3:3" x14ac:dyDescent="0.25">
      <c r="C810" s="55"/>
    </row>
    <row r="811" spans="3:3" x14ac:dyDescent="0.25">
      <c r="C811" s="55"/>
    </row>
    <row r="812" spans="3:3" x14ac:dyDescent="0.25">
      <c r="C812" s="55"/>
    </row>
    <row r="813" spans="3:3" x14ac:dyDescent="0.25">
      <c r="C813" s="55"/>
    </row>
    <row r="814" spans="3:3" x14ac:dyDescent="0.25">
      <c r="C814" s="55"/>
    </row>
    <row r="815" spans="3:3" x14ac:dyDescent="0.25">
      <c r="C815" s="55"/>
    </row>
    <row r="816" spans="3:3" x14ac:dyDescent="0.25">
      <c r="C816" s="55"/>
    </row>
    <row r="817" spans="3:3" x14ac:dyDescent="0.25">
      <c r="C817" s="55"/>
    </row>
    <row r="818" spans="3:3" x14ac:dyDescent="0.25">
      <c r="C818" s="55"/>
    </row>
    <row r="819" spans="3:3" x14ac:dyDescent="0.25">
      <c r="C819" s="55"/>
    </row>
    <row r="820" spans="3:3" x14ac:dyDescent="0.25">
      <c r="C820" s="55"/>
    </row>
    <row r="821" spans="3:3" x14ac:dyDescent="0.25">
      <c r="C821" s="55"/>
    </row>
    <row r="822" spans="3:3" x14ac:dyDescent="0.25">
      <c r="C822" s="55"/>
    </row>
    <row r="823" spans="3:3" x14ac:dyDescent="0.25">
      <c r="C823" s="55"/>
    </row>
    <row r="824" spans="3:3" x14ac:dyDescent="0.25">
      <c r="C824" s="55"/>
    </row>
    <row r="825" spans="3:3" x14ac:dyDescent="0.25">
      <c r="C825" s="55"/>
    </row>
    <row r="826" spans="3:3" x14ac:dyDescent="0.25">
      <c r="C826" s="55"/>
    </row>
    <row r="827" spans="3:3" x14ac:dyDescent="0.25">
      <c r="C827" s="55"/>
    </row>
    <row r="828" spans="3:3" x14ac:dyDescent="0.25">
      <c r="C828" s="55"/>
    </row>
    <row r="829" spans="3:3" x14ac:dyDescent="0.25">
      <c r="C829" s="55"/>
    </row>
    <row r="830" spans="3:3" x14ac:dyDescent="0.25">
      <c r="C830" s="55"/>
    </row>
    <row r="831" spans="3:3" x14ac:dyDescent="0.25">
      <c r="C831" s="55"/>
    </row>
    <row r="832" spans="3:3" x14ac:dyDescent="0.25">
      <c r="C832" s="55"/>
    </row>
    <row r="833" spans="3:3" x14ac:dyDescent="0.25">
      <c r="C833" s="55"/>
    </row>
    <row r="834" spans="3:3" x14ac:dyDescent="0.25">
      <c r="C834" s="55"/>
    </row>
    <row r="835" spans="3:3" x14ac:dyDescent="0.25">
      <c r="C835" s="55"/>
    </row>
    <row r="836" spans="3:3" x14ac:dyDescent="0.25">
      <c r="C836" s="55"/>
    </row>
    <row r="837" spans="3:3" x14ac:dyDescent="0.25">
      <c r="C837" s="55"/>
    </row>
    <row r="838" spans="3:3" x14ac:dyDescent="0.25">
      <c r="C838" s="55"/>
    </row>
    <row r="839" spans="3:3" x14ac:dyDescent="0.25">
      <c r="C839" s="55"/>
    </row>
    <row r="840" spans="3:3" x14ac:dyDescent="0.25">
      <c r="C840" s="55"/>
    </row>
    <row r="841" spans="3:3" x14ac:dyDescent="0.25">
      <c r="C841" s="55"/>
    </row>
    <row r="842" spans="3:3" x14ac:dyDescent="0.25">
      <c r="C842" s="55"/>
    </row>
    <row r="843" spans="3:3" x14ac:dyDescent="0.25">
      <c r="C843" s="55"/>
    </row>
    <row r="844" spans="3:3" x14ac:dyDescent="0.25">
      <c r="C844" s="55"/>
    </row>
    <row r="845" spans="3:3" x14ac:dyDescent="0.25">
      <c r="C845" s="55"/>
    </row>
    <row r="846" spans="3:3" x14ac:dyDescent="0.25">
      <c r="C846" s="55"/>
    </row>
    <row r="847" spans="3:3" x14ac:dyDescent="0.25">
      <c r="C847" s="55"/>
    </row>
    <row r="848" spans="3:3" x14ac:dyDescent="0.25">
      <c r="C848" s="55"/>
    </row>
    <row r="849" spans="3:3" x14ac:dyDescent="0.25">
      <c r="C849" s="55"/>
    </row>
    <row r="850" spans="3:3" x14ac:dyDescent="0.25">
      <c r="C850" s="55"/>
    </row>
    <row r="851" spans="3:3" x14ac:dyDescent="0.25">
      <c r="C851" s="55"/>
    </row>
    <row r="852" spans="3:3" x14ac:dyDescent="0.25">
      <c r="C852" s="55"/>
    </row>
    <row r="853" spans="3:3" x14ac:dyDescent="0.25">
      <c r="C853" s="55"/>
    </row>
    <row r="854" spans="3:3" x14ac:dyDescent="0.25">
      <c r="C854" s="55"/>
    </row>
    <row r="855" spans="3:3" x14ac:dyDescent="0.25">
      <c r="C855" s="55"/>
    </row>
    <row r="856" spans="3:3" x14ac:dyDescent="0.25">
      <c r="C856" s="55"/>
    </row>
    <row r="857" spans="3:3" x14ac:dyDescent="0.25">
      <c r="C857" s="55"/>
    </row>
    <row r="858" spans="3:3" x14ac:dyDescent="0.25">
      <c r="C858" s="55"/>
    </row>
    <row r="859" spans="3:3" x14ac:dyDescent="0.25">
      <c r="C859" s="55"/>
    </row>
    <row r="860" spans="3:3" x14ac:dyDescent="0.25">
      <c r="C860" s="55"/>
    </row>
    <row r="861" spans="3:3" x14ac:dyDescent="0.25">
      <c r="C861" s="55"/>
    </row>
    <row r="862" spans="3:3" x14ac:dyDescent="0.25">
      <c r="C862" s="55"/>
    </row>
    <row r="863" spans="3:3" x14ac:dyDescent="0.25">
      <c r="C863" s="55"/>
    </row>
    <row r="864" spans="3:3" x14ac:dyDescent="0.25">
      <c r="C864" s="55"/>
    </row>
    <row r="865" spans="3:3" x14ac:dyDescent="0.25">
      <c r="C865" s="55"/>
    </row>
    <row r="866" spans="3:3" x14ac:dyDescent="0.25">
      <c r="C866" s="55"/>
    </row>
    <row r="867" spans="3:3" x14ac:dyDescent="0.25">
      <c r="C867" s="55"/>
    </row>
    <row r="868" spans="3:3" x14ac:dyDescent="0.25">
      <c r="C868" s="55"/>
    </row>
    <row r="869" spans="3:3" x14ac:dyDescent="0.25">
      <c r="C869" s="55"/>
    </row>
    <row r="870" spans="3:3" x14ac:dyDescent="0.25">
      <c r="C870" s="55"/>
    </row>
    <row r="871" spans="3:3" x14ac:dyDescent="0.25">
      <c r="C871" s="55"/>
    </row>
    <row r="872" spans="3:3" x14ac:dyDescent="0.25">
      <c r="C872" s="55"/>
    </row>
    <row r="873" spans="3:3" x14ac:dyDescent="0.25">
      <c r="C873" s="55"/>
    </row>
    <row r="874" spans="3:3" x14ac:dyDescent="0.25">
      <c r="C874" s="55"/>
    </row>
    <row r="875" spans="3:3" x14ac:dyDescent="0.25">
      <c r="C875" s="55"/>
    </row>
    <row r="876" spans="3:3" x14ac:dyDescent="0.25">
      <c r="C876" s="55"/>
    </row>
    <row r="877" spans="3:3" x14ac:dyDescent="0.25">
      <c r="C877" s="55"/>
    </row>
    <row r="878" spans="3:3" x14ac:dyDescent="0.25">
      <c r="C878" s="55"/>
    </row>
    <row r="879" spans="3:3" x14ac:dyDescent="0.25">
      <c r="C879" s="55"/>
    </row>
    <row r="880" spans="3:3" x14ac:dyDescent="0.25">
      <c r="C880" s="55"/>
    </row>
    <row r="881" spans="3:3" x14ac:dyDescent="0.25">
      <c r="C881" s="55"/>
    </row>
    <row r="882" spans="3:3" x14ac:dyDescent="0.25">
      <c r="C882" s="55"/>
    </row>
    <row r="883" spans="3:3" x14ac:dyDescent="0.25">
      <c r="C883" s="55"/>
    </row>
    <row r="884" spans="3:3" x14ac:dyDescent="0.25">
      <c r="C884" s="55"/>
    </row>
    <row r="885" spans="3:3" x14ac:dyDescent="0.25">
      <c r="C885" s="55"/>
    </row>
    <row r="886" spans="3:3" x14ac:dyDescent="0.25">
      <c r="C886" s="55"/>
    </row>
    <row r="887" spans="3:3" x14ac:dyDescent="0.25">
      <c r="C887" s="55"/>
    </row>
    <row r="888" spans="3:3" x14ac:dyDescent="0.25">
      <c r="C888" s="55"/>
    </row>
    <row r="889" spans="3:3" x14ac:dyDescent="0.25">
      <c r="C889" s="55"/>
    </row>
    <row r="890" spans="3:3" x14ac:dyDescent="0.25">
      <c r="C890" s="55"/>
    </row>
    <row r="891" spans="3:3" x14ac:dyDescent="0.25">
      <c r="C891" s="55"/>
    </row>
    <row r="892" spans="3:3" x14ac:dyDescent="0.25">
      <c r="C892" s="55"/>
    </row>
    <row r="893" spans="3:3" x14ac:dyDescent="0.25">
      <c r="C893" s="55"/>
    </row>
    <row r="894" spans="3:3" x14ac:dyDescent="0.25">
      <c r="C894" s="55"/>
    </row>
    <row r="895" spans="3:3" x14ac:dyDescent="0.25">
      <c r="C895" s="55"/>
    </row>
    <row r="896" spans="3:3" x14ac:dyDescent="0.25">
      <c r="C896" s="55"/>
    </row>
    <row r="897" spans="3:3" x14ac:dyDescent="0.25">
      <c r="C897" s="55"/>
    </row>
    <row r="898" spans="3:3" x14ac:dyDescent="0.25">
      <c r="C898" s="55"/>
    </row>
    <row r="899" spans="3:3" x14ac:dyDescent="0.25">
      <c r="C899" s="55"/>
    </row>
    <row r="900" spans="3:3" x14ac:dyDescent="0.25">
      <c r="C900" s="55"/>
    </row>
    <row r="901" spans="3:3" x14ac:dyDescent="0.25">
      <c r="C901" s="55"/>
    </row>
    <row r="902" spans="3:3" x14ac:dyDescent="0.25">
      <c r="C902" s="55"/>
    </row>
    <row r="903" spans="3:3" x14ac:dyDescent="0.25">
      <c r="C903" s="55"/>
    </row>
    <row r="904" spans="3:3" x14ac:dyDescent="0.25">
      <c r="C904" s="55"/>
    </row>
    <row r="905" spans="3:3" x14ac:dyDescent="0.25">
      <c r="C905" s="55"/>
    </row>
    <row r="906" spans="3:3" x14ac:dyDescent="0.25">
      <c r="C906" s="55"/>
    </row>
    <row r="907" spans="3:3" x14ac:dyDescent="0.25">
      <c r="C907" s="55"/>
    </row>
    <row r="908" spans="3:3" x14ac:dyDescent="0.25">
      <c r="C908" s="55"/>
    </row>
    <row r="909" spans="3:3" x14ac:dyDescent="0.25">
      <c r="C909" s="55"/>
    </row>
    <row r="910" spans="3:3" x14ac:dyDescent="0.25">
      <c r="C910" s="55"/>
    </row>
    <row r="911" spans="3:3" x14ac:dyDescent="0.25">
      <c r="C911" s="55"/>
    </row>
    <row r="912" spans="3:3" x14ac:dyDescent="0.25">
      <c r="C912" s="55"/>
    </row>
    <row r="913" spans="3:3" x14ac:dyDescent="0.25">
      <c r="C913" s="55"/>
    </row>
    <row r="914" spans="3:3" x14ac:dyDescent="0.25">
      <c r="C914" s="55"/>
    </row>
    <row r="915" spans="3:3" x14ac:dyDescent="0.25">
      <c r="C915" s="55"/>
    </row>
    <row r="916" spans="3:3" x14ac:dyDescent="0.25">
      <c r="C916" s="55"/>
    </row>
    <row r="917" spans="3:3" x14ac:dyDescent="0.25">
      <c r="C917" s="55"/>
    </row>
    <row r="918" spans="3:3" x14ac:dyDescent="0.25">
      <c r="C918" s="55"/>
    </row>
    <row r="919" spans="3:3" x14ac:dyDescent="0.25">
      <c r="C919" s="55"/>
    </row>
    <row r="920" spans="3:3" x14ac:dyDescent="0.25">
      <c r="C920" s="55"/>
    </row>
    <row r="921" spans="3:3" x14ac:dyDescent="0.25">
      <c r="C921" s="55"/>
    </row>
    <row r="922" spans="3:3" x14ac:dyDescent="0.25">
      <c r="C922" s="55"/>
    </row>
    <row r="923" spans="3:3" x14ac:dyDescent="0.25">
      <c r="C923" s="55"/>
    </row>
    <row r="924" spans="3:3" x14ac:dyDescent="0.25">
      <c r="C924" s="55"/>
    </row>
    <row r="925" spans="3:3" x14ac:dyDescent="0.25">
      <c r="C925" s="55"/>
    </row>
    <row r="926" spans="3:3" x14ac:dyDescent="0.25">
      <c r="C926" s="55"/>
    </row>
    <row r="927" spans="3:3" x14ac:dyDescent="0.25">
      <c r="C927" s="55"/>
    </row>
    <row r="928" spans="3:3" x14ac:dyDescent="0.25">
      <c r="C928" s="55"/>
    </row>
    <row r="929" spans="3:3" x14ac:dyDescent="0.25">
      <c r="C929" s="55"/>
    </row>
    <row r="930" spans="3:3" x14ac:dyDescent="0.25">
      <c r="C930" s="55"/>
    </row>
    <row r="931" spans="3:3" x14ac:dyDescent="0.25">
      <c r="C931" s="55"/>
    </row>
    <row r="932" spans="3:3" x14ac:dyDescent="0.25">
      <c r="C932" s="55"/>
    </row>
    <row r="933" spans="3:3" x14ac:dyDescent="0.25">
      <c r="C933" s="55"/>
    </row>
    <row r="934" spans="3:3" x14ac:dyDescent="0.25">
      <c r="C934" s="55"/>
    </row>
    <row r="935" spans="3:3" x14ac:dyDescent="0.25">
      <c r="C935" s="55"/>
    </row>
    <row r="936" spans="3:3" x14ac:dyDescent="0.25">
      <c r="C936" s="55"/>
    </row>
    <row r="937" spans="3:3" x14ac:dyDescent="0.25">
      <c r="C937" s="55"/>
    </row>
    <row r="938" spans="3:3" x14ac:dyDescent="0.25">
      <c r="C938" s="55"/>
    </row>
    <row r="939" spans="3:3" x14ac:dyDescent="0.25">
      <c r="C939" s="55"/>
    </row>
    <row r="940" spans="3:3" x14ac:dyDescent="0.25">
      <c r="C940" s="55"/>
    </row>
    <row r="941" spans="3:3" x14ac:dyDescent="0.25">
      <c r="C941" s="55"/>
    </row>
    <row r="942" spans="3:3" x14ac:dyDescent="0.25">
      <c r="C942" s="55"/>
    </row>
    <row r="943" spans="3:3" x14ac:dyDescent="0.25">
      <c r="C943" s="55"/>
    </row>
    <row r="944" spans="3:3" x14ac:dyDescent="0.25">
      <c r="C944" s="55"/>
    </row>
    <row r="945" spans="3:3" x14ac:dyDescent="0.25">
      <c r="C945" s="55"/>
    </row>
    <row r="946" spans="3:3" x14ac:dyDescent="0.25">
      <c r="C946" s="55"/>
    </row>
    <row r="947" spans="3:3" x14ac:dyDescent="0.25">
      <c r="C947" s="55"/>
    </row>
    <row r="948" spans="3:3" x14ac:dyDescent="0.25">
      <c r="C948" s="55"/>
    </row>
    <row r="949" spans="3:3" x14ac:dyDescent="0.25">
      <c r="C949" s="55"/>
    </row>
    <row r="950" spans="3:3" x14ac:dyDescent="0.25">
      <c r="C950" s="55"/>
    </row>
    <row r="951" spans="3:3" x14ac:dyDescent="0.25">
      <c r="C951" s="55"/>
    </row>
    <row r="952" spans="3:3" x14ac:dyDescent="0.25">
      <c r="C952" s="55"/>
    </row>
    <row r="953" spans="3:3" x14ac:dyDescent="0.25">
      <c r="C953" s="55"/>
    </row>
    <row r="954" spans="3:3" x14ac:dyDescent="0.25">
      <c r="C954" s="55"/>
    </row>
    <row r="955" spans="3:3" x14ac:dyDescent="0.25">
      <c r="C955" s="55"/>
    </row>
    <row r="956" spans="3:3" x14ac:dyDescent="0.25">
      <c r="C956" s="55"/>
    </row>
    <row r="957" spans="3:3" x14ac:dyDescent="0.25">
      <c r="C957" s="55"/>
    </row>
    <row r="958" spans="3:3" x14ac:dyDescent="0.25">
      <c r="C958" s="55"/>
    </row>
    <row r="959" spans="3:3" x14ac:dyDescent="0.25">
      <c r="C959" s="55"/>
    </row>
    <row r="960" spans="3:3" x14ac:dyDescent="0.25">
      <c r="C960" s="55"/>
    </row>
    <row r="961" spans="3:3" x14ac:dyDescent="0.25">
      <c r="C961" s="55"/>
    </row>
    <row r="962" spans="3:3" x14ac:dyDescent="0.25">
      <c r="C962" s="55"/>
    </row>
    <row r="963" spans="3:3" x14ac:dyDescent="0.25">
      <c r="C963" s="55"/>
    </row>
    <row r="964" spans="3:3" x14ac:dyDescent="0.25">
      <c r="C964" s="55"/>
    </row>
    <row r="965" spans="3:3" x14ac:dyDescent="0.25">
      <c r="C965" s="55"/>
    </row>
    <row r="966" spans="3:3" x14ac:dyDescent="0.25">
      <c r="C966" s="55"/>
    </row>
    <row r="967" spans="3:3" x14ac:dyDescent="0.25">
      <c r="C967" s="55"/>
    </row>
    <row r="968" spans="3:3" x14ac:dyDescent="0.25">
      <c r="C968" s="55"/>
    </row>
    <row r="969" spans="3:3" x14ac:dyDescent="0.25">
      <c r="C969" s="55"/>
    </row>
    <row r="970" spans="3:3" x14ac:dyDescent="0.25">
      <c r="C970" s="55"/>
    </row>
    <row r="971" spans="3:3" x14ac:dyDescent="0.25">
      <c r="C971" s="55"/>
    </row>
    <row r="972" spans="3:3" x14ac:dyDescent="0.25">
      <c r="C972" s="55"/>
    </row>
    <row r="973" spans="3:3" x14ac:dyDescent="0.25">
      <c r="C973" s="55"/>
    </row>
    <row r="974" spans="3:3" x14ac:dyDescent="0.25">
      <c r="C974" s="55"/>
    </row>
    <row r="975" spans="3:3" x14ac:dyDescent="0.25">
      <c r="C975" s="55"/>
    </row>
    <row r="976" spans="3:3" x14ac:dyDescent="0.25">
      <c r="C976" s="55"/>
    </row>
    <row r="977" spans="3:3" x14ac:dyDescent="0.25">
      <c r="C977" s="55"/>
    </row>
    <row r="978" spans="3:3" x14ac:dyDescent="0.25">
      <c r="C978" s="55"/>
    </row>
    <row r="979" spans="3:3" x14ac:dyDescent="0.25">
      <c r="C979" s="55"/>
    </row>
    <row r="980" spans="3:3" x14ac:dyDescent="0.25">
      <c r="C980" s="55"/>
    </row>
    <row r="981" spans="3:3" x14ac:dyDescent="0.25">
      <c r="C981" s="55"/>
    </row>
    <row r="982" spans="3:3" x14ac:dyDescent="0.25">
      <c r="C982" s="55"/>
    </row>
    <row r="983" spans="3:3" x14ac:dyDescent="0.25">
      <c r="C983" s="55"/>
    </row>
    <row r="984" spans="3:3" x14ac:dyDescent="0.25">
      <c r="C984" s="55"/>
    </row>
    <row r="985" spans="3:3" x14ac:dyDescent="0.25">
      <c r="C985" s="55"/>
    </row>
    <row r="986" spans="3:3" x14ac:dyDescent="0.25">
      <c r="C986" s="55"/>
    </row>
    <row r="987" spans="3:3" x14ac:dyDescent="0.25">
      <c r="C987" s="55"/>
    </row>
    <row r="988" spans="3:3" x14ac:dyDescent="0.25">
      <c r="C988" s="55"/>
    </row>
    <row r="989" spans="3:3" x14ac:dyDescent="0.25">
      <c r="C989" s="55"/>
    </row>
    <row r="990" spans="3:3" x14ac:dyDescent="0.25">
      <c r="C990" s="55"/>
    </row>
    <row r="991" spans="3:3" x14ac:dyDescent="0.25">
      <c r="C991" s="55"/>
    </row>
    <row r="992" spans="3:3" x14ac:dyDescent="0.25">
      <c r="C992" s="55"/>
    </row>
    <row r="993" spans="3:3" x14ac:dyDescent="0.25">
      <c r="C993" s="55"/>
    </row>
    <row r="994" spans="3:3" x14ac:dyDescent="0.25">
      <c r="C994" s="55"/>
    </row>
    <row r="995" spans="3:3" x14ac:dyDescent="0.25">
      <c r="C995" s="55"/>
    </row>
    <row r="996" spans="3:3" x14ac:dyDescent="0.25">
      <c r="C996" s="55"/>
    </row>
    <row r="997" spans="3:3" x14ac:dyDescent="0.25">
      <c r="C997" s="55"/>
    </row>
    <row r="998" spans="3:3" x14ac:dyDescent="0.25">
      <c r="C998" s="55"/>
    </row>
    <row r="999" spans="3:3" x14ac:dyDescent="0.25">
      <c r="C999" s="55"/>
    </row>
    <row r="1000" spans="3:3" x14ac:dyDescent="0.25">
      <c r="C1000" s="55"/>
    </row>
    <row r="1001" spans="3:3" x14ac:dyDescent="0.25">
      <c r="C1001" s="55"/>
    </row>
    <row r="1002" spans="3:3" x14ac:dyDescent="0.25">
      <c r="C1002" s="55"/>
    </row>
    <row r="1003" spans="3:3" x14ac:dyDescent="0.25">
      <c r="C1003" s="55"/>
    </row>
    <row r="1004" spans="3:3" x14ac:dyDescent="0.25">
      <c r="C1004" s="55"/>
    </row>
    <row r="1005" spans="3:3" x14ac:dyDescent="0.25">
      <c r="C1005" s="55"/>
    </row>
    <row r="1006" spans="3:3" x14ac:dyDescent="0.25">
      <c r="C1006" s="55"/>
    </row>
    <row r="1007" spans="3:3" x14ac:dyDescent="0.25">
      <c r="C1007" s="55"/>
    </row>
    <row r="1008" spans="3:3" x14ac:dyDescent="0.25">
      <c r="C1008" s="55"/>
    </row>
    <row r="1009" spans="3:3" x14ac:dyDescent="0.25">
      <c r="C1009" s="55"/>
    </row>
    <row r="1010" spans="3:3" x14ac:dyDescent="0.25">
      <c r="C1010" s="55"/>
    </row>
    <row r="1011" spans="3:3" x14ac:dyDescent="0.25">
      <c r="C1011" s="55"/>
    </row>
    <row r="1012" spans="3:3" x14ac:dyDescent="0.25">
      <c r="C1012" s="55"/>
    </row>
    <row r="1013" spans="3:3" x14ac:dyDescent="0.25">
      <c r="C1013" s="55"/>
    </row>
    <row r="1014" spans="3:3" x14ac:dyDescent="0.25">
      <c r="C1014" s="55"/>
    </row>
    <row r="1015" spans="3:3" x14ac:dyDescent="0.25">
      <c r="C1015" s="55"/>
    </row>
    <row r="1016" spans="3:3" x14ac:dyDescent="0.25">
      <c r="C1016" s="55"/>
    </row>
    <row r="1017" spans="3:3" x14ac:dyDescent="0.25">
      <c r="C1017" s="55"/>
    </row>
    <row r="1018" spans="3:3" x14ac:dyDescent="0.25">
      <c r="C1018" s="55"/>
    </row>
    <row r="1019" spans="3:3" x14ac:dyDescent="0.25">
      <c r="C1019" s="55"/>
    </row>
    <row r="1020" spans="3:3" x14ac:dyDescent="0.25">
      <c r="C1020" s="55"/>
    </row>
    <row r="1021" spans="3:3" x14ac:dyDescent="0.25">
      <c r="C1021" s="55"/>
    </row>
    <row r="1022" spans="3:3" x14ac:dyDescent="0.25">
      <c r="C1022" s="55"/>
    </row>
    <row r="1023" spans="3:3" x14ac:dyDescent="0.25">
      <c r="C1023" s="55"/>
    </row>
    <row r="1024" spans="3:3" x14ac:dyDescent="0.25">
      <c r="C1024" s="55"/>
    </row>
    <row r="1025" spans="3:3" x14ac:dyDescent="0.25">
      <c r="C1025" s="55"/>
    </row>
    <row r="1026" spans="3:3" x14ac:dyDescent="0.25">
      <c r="C1026" s="55"/>
    </row>
    <row r="1299" spans="3:3" x14ac:dyDescent="0.25">
      <c r="C1299" s="55"/>
    </row>
    <row r="1300" spans="3:3" x14ac:dyDescent="0.25">
      <c r="C1300" s="55"/>
    </row>
    <row r="1301" spans="3:3" x14ac:dyDescent="0.25">
      <c r="C1301" s="55"/>
    </row>
    <row r="1302" spans="3:3" x14ac:dyDescent="0.25">
      <c r="C1302" s="55"/>
    </row>
    <row r="1303" spans="3:3" x14ac:dyDescent="0.25">
      <c r="C1303" s="55"/>
    </row>
    <row r="1304" spans="3:3" x14ac:dyDescent="0.25">
      <c r="C1304" s="55"/>
    </row>
    <row r="1305" spans="3:3" x14ac:dyDescent="0.25">
      <c r="C1305" s="55"/>
    </row>
    <row r="1306" spans="3:3" x14ac:dyDescent="0.25">
      <c r="C1306" s="55"/>
    </row>
    <row r="1307" spans="3:3" x14ac:dyDescent="0.25">
      <c r="C1307" s="55"/>
    </row>
    <row r="1308" spans="3:3" x14ac:dyDescent="0.25">
      <c r="C1308" s="55"/>
    </row>
    <row r="1309" spans="3:3" x14ac:dyDescent="0.25">
      <c r="C1309" s="55"/>
    </row>
    <row r="1310" spans="3:3" x14ac:dyDescent="0.25">
      <c r="C1310" s="55"/>
    </row>
    <row r="1311" spans="3:3" x14ac:dyDescent="0.25">
      <c r="C1311" s="55"/>
    </row>
    <row r="1312" spans="3:3" x14ac:dyDescent="0.25">
      <c r="C1312" s="55"/>
    </row>
    <row r="1313" spans="3:3" x14ac:dyDescent="0.25">
      <c r="C1313" s="55"/>
    </row>
    <row r="1314" spans="3:3" x14ac:dyDescent="0.25">
      <c r="C1314" s="55"/>
    </row>
    <row r="1315" spans="3:3" x14ac:dyDescent="0.25">
      <c r="C1315" s="55"/>
    </row>
    <row r="1316" spans="3:3" x14ac:dyDescent="0.25">
      <c r="C1316" s="55"/>
    </row>
    <row r="1317" spans="3:3" x14ac:dyDescent="0.25">
      <c r="C1317" s="55"/>
    </row>
    <row r="1318" spans="3:3" x14ac:dyDescent="0.25">
      <c r="C1318" s="55"/>
    </row>
    <row r="1319" spans="3:3" x14ac:dyDescent="0.25">
      <c r="C1319" s="55"/>
    </row>
    <row r="1320" spans="3:3" x14ac:dyDescent="0.25">
      <c r="C1320" s="55"/>
    </row>
    <row r="1321" spans="3:3" x14ac:dyDescent="0.25">
      <c r="C1321" s="55"/>
    </row>
    <row r="1322" spans="3:3" x14ac:dyDescent="0.25">
      <c r="C1322" s="55"/>
    </row>
    <row r="1323" spans="3:3" x14ac:dyDescent="0.25">
      <c r="C1323" s="55"/>
    </row>
    <row r="1324" spans="3:3" x14ac:dyDescent="0.25">
      <c r="C1324" s="55"/>
    </row>
    <row r="1325" spans="3:3" x14ac:dyDescent="0.25">
      <c r="C1325" s="55"/>
    </row>
    <row r="1326" spans="3:3" x14ac:dyDescent="0.25">
      <c r="C1326" s="55"/>
    </row>
    <row r="1327" spans="3:3" x14ac:dyDescent="0.25">
      <c r="C1327" s="55"/>
    </row>
    <row r="1328" spans="3:3" x14ac:dyDescent="0.25">
      <c r="C1328" s="55"/>
    </row>
    <row r="1329" spans="3:3" x14ac:dyDescent="0.25">
      <c r="C1329" s="55"/>
    </row>
    <row r="1330" spans="3:3" x14ac:dyDescent="0.25">
      <c r="C1330" s="55"/>
    </row>
    <row r="1331" spans="3:3" x14ac:dyDescent="0.25">
      <c r="C1331" s="55"/>
    </row>
    <row r="1332" spans="3:3" x14ac:dyDescent="0.25">
      <c r="C1332" s="55"/>
    </row>
    <row r="1333" spans="3:3" x14ac:dyDescent="0.25">
      <c r="C1333" s="55"/>
    </row>
    <row r="1334" spans="3:3" x14ac:dyDescent="0.25">
      <c r="C1334" s="55"/>
    </row>
    <row r="1335" spans="3:3" x14ac:dyDescent="0.25">
      <c r="C1335" s="55"/>
    </row>
    <row r="1336" spans="3:3" x14ac:dyDescent="0.25">
      <c r="C1336" s="55"/>
    </row>
    <row r="1337" spans="3:3" x14ac:dyDescent="0.25">
      <c r="C1337" s="55"/>
    </row>
    <row r="1338" spans="3:3" x14ac:dyDescent="0.25">
      <c r="C1338" s="55"/>
    </row>
    <row r="1339" spans="3:3" x14ac:dyDescent="0.25">
      <c r="C1339" s="55"/>
    </row>
    <row r="1340" spans="3:3" x14ac:dyDescent="0.25">
      <c r="C1340" s="55"/>
    </row>
    <row r="1341" spans="3:3" x14ac:dyDescent="0.25">
      <c r="C1341" s="55"/>
    </row>
    <row r="1342" spans="3:3" x14ac:dyDescent="0.25">
      <c r="C1342" s="55"/>
    </row>
    <row r="1343" spans="3:3" x14ac:dyDescent="0.25">
      <c r="C1343" s="55"/>
    </row>
    <row r="1344" spans="3:3" x14ac:dyDescent="0.25">
      <c r="C1344" s="55"/>
    </row>
    <row r="1345" spans="3:3" x14ac:dyDescent="0.25">
      <c r="C1345" s="55"/>
    </row>
    <row r="1346" spans="3:3" x14ac:dyDescent="0.25">
      <c r="C1346" s="55"/>
    </row>
    <row r="1347" spans="3:3" x14ac:dyDescent="0.25">
      <c r="C1347" s="55"/>
    </row>
    <row r="1348" spans="3:3" x14ac:dyDescent="0.25">
      <c r="C1348" s="55"/>
    </row>
    <row r="1349" spans="3:3" x14ac:dyDescent="0.25">
      <c r="C1349" s="55"/>
    </row>
    <row r="1350" spans="3:3" x14ac:dyDescent="0.25">
      <c r="C1350" s="55"/>
    </row>
    <row r="1351" spans="3:3" x14ac:dyDescent="0.25">
      <c r="C1351" s="55"/>
    </row>
    <row r="1352" spans="3:3" x14ac:dyDescent="0.25">
      <c r="C1352" s="55"/>
    </row>
    <row r="1353" spans="3:3" x14ac:dyDescent="0.25">
      <c r="C1353" s="55"/>
    </row>
    <row r="1354" spans="3:3" x14ac:dyDescent="0.25">
      <c r="C1354" s="55"/>
    </row>
    <row r="1355" spans="3:3" x14ac:dyDescent="0.25">
      <c r="C1355" s="55"/>
    </row>
    <row r="1356" spans="3:3" x14ac:dyDescent="0.25">
      <c r="C1356" s="55"/>
    </row>
    <row r="1357" spans="3:3" x14ac:dyDescent="0.25">
      <c r="C1357" s="55"/>
    </row>
    <row r="1358" spans="3:3" x14ac:dyDescent="0.25">
      <c r="C1358" s="55"/>
    </row>
    <row r="1359" spans="3:3" x14ac:dyDescent="0.25">
      <c r="C1359" s="55"/>
    </row>
    <row r="1360" spans="3:3" x14ac:dyDescent="0.25">
      <c r="C1360" s="55"/>
    </row>
    <row r="1361" spans="3:3" x14ac:dyDescent="0.25">
      <c r="C1361" s="55"/>
    </row>
    <row r="1362" spans="3:3" x14ac:dyDescent="0.25">
      <c r="C1362" s="55"/>
    </row>
    <row r="1363" spans="3:3" x14ac:dyDescent="0.25">
      <c r="C1363" s="55"/>
    </row>
    <row r="1364" spans="3:3" x14ac:dyDescent="0.25">
      <c r="C1364" s="55"/>
    </row>
    <row r="1365" spans="3:3" x14ac:dyDescent="0.25">
      <c r="C1365" s="55"/>
    </row>
    <row r="1366" spans="3:3" x14ac:dyDescent="0.25">
      <c r="C1366" s="55"/>
    </row>
    <row r="1367" spans="3:3" x14ac:dyDescent="0.25">
      <c r="C1367" s="55"/>
    </row>
    <row r="1368" spans="3:3" x14ac:dyDescent="0.25">
      <c r="C1368" s="55"/>
    </row>
    <row r="1369" spans="3:3" x14ac:dyDescent="0.25">
      <c r="C1369" s="55"/>
    </row>
    <row r="1370" spans="3:3" x14ac:dyDescent="0.25">
      <c r="C1370" s="55"/>
    </row>
    <row r="1371" spans="3:3" x14ac:dyDescent="0.25">
      <c r="C1371" s="55"/>
    </row>
    <row r="1372" spans="3:3" x14ac:dyDescent="0.25">
      <c r="C1372" s="55"/>
    </row>
    <row r="1373" spans="3:3" x14ac:dyDescent="0.25">
      <c r="C1373" s="55"/>
    </row>
    <row r="1374" spans="3:3" x14ac:dyDescent="0.25">
      <c r="C1374" s="55"/>
    </row>
    <row r="1375" spans="3:3" x14ac:dyDescent="0.25">
      <c r="C1375" s="55"/>
    </row>
    <row r="1376" spans="3:3" x14ac:dyDescent="0.25">
      <c r="C1376" s="55"/>
    </row>
    <row r="1377" spans="3:3" x14ac:dyDescent="0.25">
      <c r="C1377" s="55"/>
    </row>
    <row r="1378" spans="3:3" x14ac:dyDescent="0.25">
      <c r="C1378" s="55"/>
    </row>
    <row r="1379" spans="3:3" x14ac:dyDescent="0.25">
      <c r="C1379" s="55"/>
    </row>
    <row r="1380" spans="3:3" x14ac:dyDescent="0.25">
      <c r="C1380" s="55"/>
    </row>
    <row r="1381" spans="3:3" x14ac:dyDescent="0.25">
      <c r="C1381" s="55"/>
    </row>
    <row r="1382" spans="3:3" x14ac:dyDescent="0.25">
      <c r="C1382" s="55"/>
    </row>
    <row r="1383" spans="3:3" x14ac:dyDescent="0.25">
      <c r="C1383" s="55"/>
    </row>
    <row r="1384" spans="3:3" x14ac:dyDescent="0.25">
      <c r="C1384" s="55"/>
    </row>
    <row r="1385" spans="3:3" x14ac:dyDescent="0.25">
      <c r="C1385" s="55"/>
    </row>
    <row r="1386" spans="3:3" x14ac:dyDescent="0.25">
      <c r="C1386" s="55"/>
    </row>
    <row r="1387" spans="3:3" x14ac:dyDescent="0.25">
      <c r="C1387" s="55"/>
    </row>
    <row r="1388" spans="3:3" x14ac:dyDescent="0.25">
      <c r="C1388" s="55"/>
    </row>
    <row r="1389" spans="3:3" x14ac:dyDescent="0.25">
      <c r="C1389" s="55"/>
    </row>
    <row r="1390" spans="3:3" x14ac:dyDescent="0.25">
      <c r="C1390" s="55"/>
    </row>
    <row r="1391" spans="3:3" x14ac:dyDescent="0.25">
      <c r="C1391" s="55"/>
    </row>
    <row r="1392" spans="3:3" x14ac:dyDescent="0.25">
      <c r="C1392" s="55"/>
    </row>
    <row r="1393" spans="3:3" x14ac:dyDescent="0.25">
      <c r="C1393" s="55"/>
    </row>
    <row r="1394" spans="3:3" x14ac:dyDescent="0.25">
      <c r="C1394" s="55"/>
    </row>
    <row r="1395" spans="3:3" x14ac:dyDescent="0.25">
      <c r="C1395" s="55"/>
    </row>
    <row r="1396" spans="3:3" x14ac:dyDescent="0.25">
      <c r="C1396" s="55"/>
    </row>
    <row r="1397" spans="3:3" x14ac:dyDescent="0.25">
      <c r="C1397" s="55"/>
    </row>
    <row r="1398" spans="3:3" x14ac:dyDescent="0.25">
      <c r="C1398" s="55"/>
    </row>
    <row r="1399" spans="3:3" x14ac:dyDescent="0.25">
      <c r="C1399" s="55"/>
    </row>
    <row r="1400" spans="3:3" x14ac:dyDescent="0.25">
      <c r="C1400" s="55"/>
    </row>
    <row r="1401" spans="3:3" x14ac:dyDescent="0.25">
      <c r="C1401" s="55"/>
    </row>
    <row r="1402" spans="3:3" x14ac:dyDescent="0.25">
      <c r="C1402" s="55"/>
    </row>
    <row r="1403" spans="3:3" x14ac:dyDescent="0.25">
      <c r="C1403" s="55"/>
    </row>
    <row r="1404" spans="3:3" x14ac:dyDescent="0.25">
      <c r="C1404" s="55"/>
    </row>
    <row r="1405" spans="3:3" x14ac:dyDescent="0.25">
      <c r="C1405" s="55"/>
    </row>
    <row r="1406" spans="3:3" x14ac:dyDescent="0.25">
      <c r="C1406" s="55"/>
    </row>
    <row r="1407" spans="3:3" x14ac:dyDescent="0.25">
      <c r="C1407" s="55"/>
    </row>
    <row r="1408" spans="3:3" x14ac:dyDescent="0.25">
      <c r="C1408" s="55"/>
    </row>
    <row r="1409" spans="3:3" x14ac:dyDescent="0.25">
      <c r="C1409" s="55"/>
    </row>
    <row r="1410" spans="3:3" x14ac:dyDescent="0.25">
      <c r="C1410" s="55"/>
    </row>
    <row r="1411" spans="3:3" x14ac:dyDescent="0.25">
      <c r="C1411" s="55"/>
    </row>
    <row r="1412" spans="3:3" x14ac:dyDescent="0.25">
      <c r="C1412" s="55"/>
    </row>
    <row r="1413" spans="3:3" x14ac:dyDescent="0.25">
      <c r="C1413" s="55"/>
    </row>
    <row r="1414" spans="3:3" x14ac:dyDescent="0.25">
      <c r="C1414" s="55"/>
    </row>
    <row r="1415" spans="3:3" x14ac:dyDescent="0.25">
      <c r="C1415" s="55"/>
    </row>
    <row r="1416" spans="3:3" x14ac:dyDescent="0.25">
      <c r="C1416" s="55"/>
    </row>
    <row r="1417" spans="3:3" x14ac:dyDescent="0.25">
      <c r="C1417" s="55"/>
    </row>
    <row r="1418" spans="3:3" x14ac:dyDescent="0.25">
      <c r="C1418" s="55"/>
    </row>
    <row r="1419" spans="3:3" x14ac:dyDescent="0.25">
      <c r="C1419" s="55"/>
    </row>
    <row r="1420" spans="3:3" x14ac:dyDescent="0.25">
      <c r="C1420" s="55"/>
    </row>
    <row r="1421" spans="3:3" x14ac:dyDescent="0.25">
      <c r="C1421" s="55"/>
    </row>
    <row r="1422" spans="3:3" x14ac:dyDescent="0.25">
      <c r="C1422" s="55"/>
    </row>
    <row r="1423" spans="3:3" x14ac:dyDescent="0.25">
      <c r="C1423" s="55"/>
    </row>
    <row r="1424" spans="3:3" x14ac:dyDescent="0.25">
      <c r="C1424" s="55"/>
    </row>
    <row r="1425" spans="3:3" x14ac:dyDescent="0.25">
      <c r="C1425" s="55"/>
    </row>
    <row r="1426" spans="3:3" x14ac:dyDescent="0.25">
      <c r="C1426" s="55"/>
    </row>
    <row r="1427" spans="3:3" x14ac:dyDescent="0.25">
      <c r="C1427" s="55"/>
    </row>
    <row r="1428" spans="3:3" x14ac:dyDescent="0.25">
      <c r="C1428" s="55"/>
    </row>
    <row r="1429" spans="3:3" x14ac:dyDescent="0.25">
      <c r="C1429" s="55"/>
    </row>
    <row r="1430" spans="3:3" x14ac:dyDescent="0.25">
      <c r="C1430" s="55"/>
    </row>
    <row r="1431" spans="3:3" x14ac:dyDescent="0.25">
      <c r="C1431" s="55"/>
    </row>
    <row r="1432" spans="3:3" x14ac:dyDescent="0.25">
      <c r="C1432" s="55"/>
    </row>
    <row r="1433" spans="3:3" x14ac:dyDescent="0.25">
      <c r="C1433" s="55"/>
    </row>
    <row r="1434" spans="3:3" x14ac:dyDescent="0.25">
      <c r="C1434" s="55"/>
    </row>
    <row r="1435" spans="3:3" x14ac:dyDescent="0.25">
      <c r="C1435" s="55"/>
    </row>
    <row r="1436" spans="3:3" x14ac:dyDescent="0.25">
      <c r="C1436" s="55"/>
    </row>
    <row r="1437" spans="3:3" x14ac:dyDescent="0.25">
      <c r="C1437" s="55"/>
    </row>
    <row r="1438" spans="3:3" x14ac:dyDescent="0.25">
      <c r="C1438" s="55"/>
    </row>
    <row r="1439" spans="3:3" x14ac:dyDescent="0.25">
      <c r="C1439" s="55"/>
    </row>
    <row r="1440" spans="3:3" x14ac:dyDescent="0.25">
      <c r="C1440" s="55"/>
    </row>
    <row r="1441" spans="3:3" x14ac:dyDescent="0.25">
      <c r="C1441" s="55"/>
    </row>
    <row r="1442" spans="3:3" x14ac:dyDescent="0.25">
      <c r="C1442" s="55"/>
    </row>
    <row r="1443" spans="3:3" x14ac:dyDescent="0.25">
      <c r="C1443" s="55"/>
    </row>
    <row r="1444" spans="3:3" x14ac:dyDescent="0.25">
      <c r="C1444" s="55"/>
    </row>
    <row r="1445" spans="3:3" x14ac:dyDescent="0.25">
      <c r="C1445" s="55"/>
    </row>
    <row r="1446" spans="3:3" x14ac:dyDescent="0.25">
      <c r="C1446" s="55"/>
    </row>
    <row r="1447" spans="3:3" x14ac:dyDescent="0.25">
      <c r="C1447" s="55"/>
    </row>
    <row r="1448" spans="3:3" x14ac:dyDescent="0.25">
      <c r="C1448" s="55"/>
    </row>
    <row r="1449" spans="3:3" x14ac:dyDescent="0.25">
      <c r="C1449" s="55"/>
    </row>
    <row r="1450" spans="3:3" x14ac:dyDescent="0.25">
      <c r="C1450" s="55"/>
    </row>
    <row r="1451" spans="3:3" x14ac:dyDescent="0.25">
      <c r="C1451" s="55"/>
    </row>
    <row r="1452" spans="3:3" x14ac:dyDescent="0.25">
      <c r="C1452" s="55"/>
    </row>
    <row r="1453" spans="3:3" x14ac:dyDescent="0.25">
      <c r="C1453" s="55"/>
    </row>
    <row r="1454" spans="3:3" x14ac:dyDescent="0.25">
      <c r="C1454" s="55"/>
    </row>
    <row r="1455" spans="3:3" x14ac:dyDescent="0.25">
      <c r="C1455" s="55"/>
    </row>
    <row r="1456" spans="3:3" x14ac:dyDescent="0.25">
      <c r="C1456" s="55"/>
    </row>
    <row r="1457" spans="3:3" x14ac:dyDescent="0.25">
      <c r="C1457" s="55"/>
    </row>
    <row r="1458" spans="3:3" x14ac:dyDescent="0.25">
      <c r="C1458" s="55"/>
    </row>
    <row r="1459" spans="3:3" x14ac:dyDescent="0.25">
      <c r="C1459" s="55"/>
    </row>
    <row r="1460" spans="3:3" x14ac:dyDescent="0.25">
      <c r="C1460" s="55"/>
    </row>
    <row r="1461" spans="3:3" x14ac:dyDescent="0.25">
      <c r="C1461" s="55"/>
    </row>
    <row r="1462" spans="3:3" x14ac:dyDescent="0.25">
      <c r="C1462" s="55"/>
    </row>
    <row r="1463" spans="3:3" x14ac:dyDescent="0.25">
      <c r="C1463" s="55"/>
    </row>
    <row r="1464" spans="3:3" x14ac:dyDescent="0.25">
      <c r="C1464" s="55"/>
    </row>
    <row r="1465" spans="3:3" x14ac:dyDescent="0.25">
      <c r="C1465" s="55"/>
    </row>
    <row r="1466" spans="3:3" x14ac:dyDescent="0.25">
      <c r="C1466" s="55"/>
    </row>
    <row r="1467" spans="3:3" x14ac:dyDescent="0.25">
      <c r="C1467" s="55"/>
    </row>
    <row r="1468" spans="3:3" x14ac:dyDescent="0.25">
      <c r="C1468" s="55"/>
    </row>
    <row r="1469" spans="3:3" x14ac:dyDescent="0.25">
      <c r="C1469" s="55"/>
    </row>
    <row r="1470" spans="3:3" x14ac:dyDescent="0.25">
      <c r="C1470" s="55"/>
    </row>
    <row r="1471" spans="3:3" x14ac:dyDescent="0.25">
      <c r="C1471" s="55"/>
    </row>
    <row r="1472" spans="3:3" x14ac:dyDescent="0.25">
      <c r="C1472" s="55"/>
    </row>
    <row r="1473" spans="3:3" x14ac:dyDescent="0.25">
      <c r="C1473" s="55"/>
    </row>
    <row r="1474" spans="3:3" x14ac:dyDescent="0.25">
      <c r="C1474" s="55"/>
    </row>
    <row r="1475" spans="3:3" x14ac:dyDescent="0.25">
      <c r="C1475" s="55"/>
    </row>
    <row r="1476" spans="3:3" x14ac:dyDescent="0.25">
      <c r="C1476" s="55"/>
    </row>
    <row r="1477" spans="3:3" x14ac:dyDescent="0.25">
      <c r="C1477" s="55"/>
    </row>
    <row r="1478" spans="3:3" x14ac:dyDescent="0.25">
      <c r="C1478" s="55"/>
    </row>
    <row r="1479" spans="3:3" x14ac:dyDescent="0.25">
      <c r="C1479" s="55"/>
    </row>
    <row r="1480" spans="3:3" x14ac:dyDescent="0.25">
      <c r="C1480" s="55"/>
    </row>
    <row r="1481" spans="3:3" x14ac:dyDescent="0.25">
      <c r="C1481" s="55"/>
    </row>
    <row r="1482" spans="3:3" x14ac:dyDescent="0.25">
      <c r="C1482" s="55"/>
    </row>
    <row r="1483" spans="3:3" x14ac:dyDescent="0.25">
      <c r="C1483" s="55"/>
    </row>
    <row r="1484" spans="3:3" x14ac:dyDescent="0.25">
      <c r="C1484" s="55"/>
    </row>
    <row r="1485" spans="3:3" x14ac:dyDescent="0.25">
      <c r="C1485" s="55"/>
    </row>
    <row r="1486" spans="3:3" x14ac:dyDescent="0.25">
      <c r="C1486" s="55"/>
    </row>
    <row r="1487" spans="3:3" x14ac:dyDescent="0.25">
      <c r="C1487" s="55"/>
    </row>
    <row r="1488" spans="3:3" x14ac:dyDescent="0.25">
      <c r="C1488" s="55"/>
    </row>
    <row r="1489" spans="3:3" x14ac:dyDescent="0.25">
      <c r="C1489" s="55"/>
    </row>
    <row r="1490" spans="3:3" x14ac:dyDescent="0.25">
      <c r="C1490" s="55"/>
    </row>
    <row r="1491" spans="3:3" x14ac:dyDescent="0.25">
      <c r="C1491" s="55"/>
    </row>
    <row r="1492" spans="3:3" x14ac:dyDescent="0.25">
      <c r="C1492" s="55"/>
    </row>
    <row r="1493" spans="3:3" x14ac:dyDescent="0.25">
      <c r="C1493" s="55"/>
    </row>
    <row r="1494" spans="3:3" x14ac:dyDescent="0.25">
      <c r="C1494" s="55"/>
    </row>
    <row r="1495" spans="3:3" x14ac:dyDescent="0.25">
      <c r="C1495" s="55"/>
    </row>
    <row r="1496" spans="3:3" x14ac:dyDescent="0.25">
      <c r="C1496" s="55"/>
    </row>
    <row r="1497" spans="3:3" x14ac:dyDescent="0.25">
      <c r="C1497" s="55"/>
    </row>
    <row r="1498" spans="3:3" x14ac:dyDescent="0.25">
      <c r="C1498" s="55"/>
    </row>
    <row r="1499" spans="3:3" x14ac:dyDescent="0.25">
      <c r="C1499" s="55"/>
    </row>
    <row r="1500" spans="3:3" x14ac:dyDescent="0.25">
      <c r="C1500" s="55"/>
    </row>
    <row r="1501" spans="3:3" x14ac:dyDescent="0.25">
      <c r="C1501" s="55"/>
    </row>
    <row r="1502" spans="3:3" x14ac:dyDescent="0.25">
      <c r="C1502" s="55"/>
    </row>
    <row r="1503" spans="3:3" x14ac:dyDescent="0.25">
      <c r="C1503" s="55"/>
    </row>
    <row r="1504" spans="3:3" x14ac:dyDescent="0.25">
      <c r="C1504" s="55"/>
    </row>
    <row r="1505" spans="3:3" x14ac:dyDescent="0.25">
      <c r="C1505" s="55"/>
    </row>
    <row r="1506" spans="3:3" x14ac:dyDescent="0.25">
      <c r="C1506" s="55"/>
    </row>
    <row r="1507" spans="3:3" x14ac:dyDescent="0.25">
      <c r="C1507" s="55"/>
    </row>
    <row r="1508" spans="3:3" x14ac:dyDescent="0.25">
      <c r="C1508" s="55"/>
    </row>
    <row r="1509" spans="3:3" x14ac:dyDescent="0.25">
      <c r="C1509" s="55"/>
    </row>
    <row r="1510" spans="3:3" x14ac:dyDescent="0.25">
      <c r="C1510" s="55"/>
    </row>
    <row r="1511" spans="3:3" x14ac:dyDescent="0.25">
      <c r="C1511" s="55"/>
    </row>
    <row r="1512" spans="3:3" x14ac:dyDescent="0.25">
      <c r="C1512" s="55"/>
    </row>
    <row r="1513" spans="3:3" x14ac:dyDescent="0.25">
      <c r="C1513" s="55"/>
    </row>
    <row r="1514" spans="3:3" x14ac:dyDescent="0.25">
      <c r="C1514" s="55"/>
    </row>
    <row r="1515" spans="3:3" x14ac:dyDescent="0.25">
      <c r="C1515" s="55"/>
    </row>
    <row r="1516" spans="3:3" x14ac:dyDescent="0.25">
      <c r="C1516" s="55"/>
    </row>
    <row r="1517" spans="3:3" x14ac:dyDescent="0.25">
      <c r="C1517" s="55"/>
    </row>
    <row r="1518" spans="3:3" x14ac:dyDescent="0.25">
      <c r="C1518" s="55"/>
    </row>
    <row r="1519" spans="3:3" x14ac:dyDescent="0.25">
      <c r="C1519" s="55"/>
    </row>
    <row r="1520" spans="3:3" x14ac:dyDescent="0.25">
      <c r="C1520" s="55"/>
    </row>
    <row r="1521" spans="3:3" x14ac:dyDescent="0.25">
      <c r="C1521" s="55"/>
    </row>
    <row r="1522" spans="3:3" x14ac:dyDescent="0.25">
      <c r="C1522" s="55"/>
    </row>
    <row r="1523" spans="3:3" x14ac:dyDescent="0.25">
      <c r="C1523" s="55"/>
    </row>
    <row r="1524" spans="3:3" x14ac:dyDescent="0.25">
      <c r="C1524" s="55"/>
    </row>
    <row r="1525" spans="3:3" x14ac:dyDescent="0.25">
      <c r="C1525" s="55"/>
    </row>
    <row r="1526" spans="3:3" x14ac:dyDescent="0.25">
      <c r="C1526" s="55"/>
    </row>
    <row r="1527" spans="3:3" x14ac:dyDescent="0.25">
      <c r="C1527" s="55"/>
    </row>
    <row r="1528" spans="3:3" x14ac:dyDescent="0.25">
      <c r="C1528" s="55"/>
    </row>
    <row r="1529" spans="3:3" x14ac:dyDescent="0.25">
      <c r="C1529" s="55"/>
    </row>
    <row r="1530" spans="3:3" x14ac:dyDescent="0.25">
      <c r="C1530" s="55"/>
    </row>
    <row r="1531" spans="3:3" x14ac:dyDescent="0.25">
      <c r="C1531" s="55"/>
    </row>
    <row r="1532" spans="3:3" x14ac:dyDescent="0.25">
      <c r="C1532" s="55"/>
    </row>
    <row r="1533" spans="3:3" x14ac:dyDescent="0.25">
      <c r="C1533" s="55"/>
    </row>
    <row r="1534" spans="3:3" x14ac:dyDescent="0.25">
      <c r="C1534" s="55"/>
    </row>
    <row r="1535" spans="3:3" x14ac:dyDescent="0.25">
      <c r="C1535" s="55"/>
    </row>
    <row r="1536" spans="3:3" x14ac:dyDescent="0.25">
      <c r="C1536" s="55"/>
    </row>
    <row r="1537" spans="3:3" x14ac:dyDescent="0.25">
      <c r="C1537" s="55"/>
    </row>
    <row r="1538" spans="3:3" x14ac:dyDescent="0.25">
      <c r="C1538" s="55"/>
    </row>
    <row r="1539" spans="3:3" x14ac:dyDescent="0.25">
      <c r="C1539" s="55"/>
    </row>
    <row r="1540" spans="3:3" x14ac:dyDescent="0.25">
      <c r="C1540" s="55"/>
    </row>
    <row r="1541" spans="3:3" x14ac:dyDescent="0.25">
      <c r="C1541" s="55"/>
    </row>
    <row r="1542" spans="3:3" x14ac:dyDescent="0.25">
      <c r="C1542" s="55"/>
    </row>
    <row r="1543" spans="3:3" x14ac:dyDescent="0.25">
      <c r="C1543" s="55"/>
    </row>
    <row r="1544" spans="3:3" x14ac:dyDescent="0.25">
      <c r="C1544" s="55"/>
    </row>
    <row r="1545" spans="3:3" x14ac:dyDescent="0.25">
      <c r="C1545" s="55"/>
    </row>
    <row r="1546" spans="3:3" x14ac:dyDescent="0.25">
      <c r="C1546" s="55"/>
    </row>
    <row r="1547" spans="3:3" x14ac:dyDescent="0.25">
      <c r="C1547" s="55"/>
    </row>
    <row r="1548" spans="3:3" x14ac:dyDescent="0.25">
      <c r="C1548" s="55"/>
    </row>
    <row r="1549" spans="3:3" x14ac:dyDescent="0.25">
      <c r="C1549" s="55"/>
    </row>
    <row r="1550" spans="3:3" x14ac:dyDescent="0.25">
      <c r="C1550" s="55"/>
    </row>
    <row r="1551" spans="3:3" x14ac:dyDescent="0.25">
      <c r="C1551" s="55"/>
    </row>
    <row r="1552" spans="3:3" x14ac:dyDescent="0.25">
      <c r="C1552" s="55"/>
    </row>
    <row r="1553" spans="3:3" x14ac:dyDescent="0.25">
      <c r="C1553" s="55"/>
    </row>
    <row r="1554" spans="3:3" x14ac:dyDescent="0.25">
      <c r="C1554" s="55"/>
    </row>
    <row r="1555" spans="3:3" x14ac:dyDescent="0.25">
      <c r="C1555" s="55"/>
    </row>
    <row r="1556" spans="3:3" x14ac:dyDescent="0.25">
      <c r="C1556" s="55"/>
    </row>
    <row r="1557" spans="3:3" x14ac:dyDescent="0.25">
      <c r="C1557" s="55"/>
    </row>
    <row r="1558" spans="3:3" x14ac:dyDescent="0.25">
      <c r="C1558" s="55"/>
    </row>
    <row r="1559" spans="3:3" x14ac:dyDescent="0.25">
      <c r="C1559" s="55"/>
    </row>
    <row r="1560" spans="3:3" x14ac:dyDescent="0.25">
      <c r="C1560" s="55"/>
    </row>
    <row r="1561" spans="3:3" x14ac:dyDescent="0.25">
      <c r="C1561" s="55"/>
    </row>
    <row r="1562" spans="3:3" x14ac:dyDescent="0.25">
      <c r="C1562" s="55"/>
    </row>
    <row r="1563" spans="3:3" x14ac:dyDescent="0.25">
      <c r="C1563" s="55"/>
    </row>
    <row r="1564" spans="3:3" x14ac:dyDescent="0.25">
      <c r="C1564" s="55"/>
    </row>
    <row r="1565" spans="3:3" x14ac:dyDescent="0.25">
      <c r="C1565" s="55"/>
    </row>
    <row r="1566" spans="3:3" x14ac:dyDescent="0.25">
      <c r="C1566" s="55"/>
    </row>
    <row r="1567" spans="3:3" x14ac:dyDescent="0.25">
      <c r="C1567" s="55"/>
    </row>
    <row r="1568" spans="3:3" x14ac:dyDescent="0.25">
      <c r="C1568" s="55"/>
    </row>
    <row r="1569" spans="3:3" x14ac:dyDescent="0.25">
      <c r="C1569" s="55"/>
    </row>
    <row r="1570" spans="3:3" x14ac:dyDescent="0.25">
      <c r="C1570" s="55"/>
    </row>
    <row r="1571" spans="3:3" x14ac:dyDescent="0.25">
      <c r="C1571" s="55"/>
    </row>
    <row r="1572" spans="3:3" x14ac:dyDescent="0.25">
      <c r="C1572" s="55"/>
    </row>
    <row r="1573" spans="3:3" x14ac:dyDescent="0.25">
      <c r="C1573" s="55"/>
    </row>
    <row r="1574" spans="3:3" x14ac:dyDescent="0.25">
      <c r="C1574" s="55"/>
    </row>
    <row r="1575" spans="3:3" x14ac:dyDescent="0.25">
      <c r="C1575" s="55"/>
    </row>
    <row r="1576" spans="3:3" x14ac:dyDescent="0.25">
      <c r="C1576" s="55"/>
    </row>
    <row r="1577" spans="3:3" x14ac:dyDescent="0.25">
      <c r="C1577" s="55"/>
    </row>
    <row r="1578" spans="3:3" x14ac:dyDescent="0.25">
      <c r="C1578" s="55"/>
    </row>
    <row r="1579" spans="3:3" x14ac:dyDescent="0.25">
      <c r="C1579" s="55"/>
    </row>
    <row r="1580" spans="3:3" x14ac:dyDescent="0.25">
      <c r="C1580" s="55"/>
    </row>
    <row r="1581" spans="3:3" x14ac:dyDescent="0.25">
      <c r="C1581" s="55"/>
    </row>
    <row r="1582" spans="3:3" x14ac:dyDescent="0.25">
      <c r="C1582" s="55"/>
    </row>
    <row r="1583" spans="3:3" x14ac:dyDescent="0.25">
      <c r="C1583" s="55"/>
    </row>
    <row r="1584" spans="3:3" x14ac:dyDescent="0.25">
      <c r="C1584" s="55"/>
    </row>
    <row r="1585" spans="3:3" x14ac:dyDescent="0.25">
      <c r="C1585" s="55"/>
    </row>
    <row r="1586" spans="3:3" x14ac:dyDescent="0.25">
      <c r="C1586" s="55"/>
    </row>
    <row r="1587" spans="3:3" x14ac:dyDescent="0.25">
      <c r="C1587" s="55"/>
    </row>
    <row r="1588" spans="3:3" x14ac:dyDescent="0.25">
      <c r="C1588" s="55"/>
    </row>
    <row r="1589" spans="3:3" x14ac:dyDescent="0.25">
      <c r="C1589" s="55"/>
    </row>
    <row r="1590" spans="3:3" x14ac:dyDescent="0.25">
      <c r="C1590" s="55"/>
    </row>
    <row r="1591" spans="3:3" x14ac:dyDescent="0.25">
      <c r="C1591" s="55"/>
    </row>
    <row r="1592" spans="3:3" x14ac:dyDescent="0.25">
      <c r="C1592" s="55"/>
    </row>
    <row r="1593" spans="3:3" x14ac:dyDescent="0.25">
      <c r="C1593" s="55"/>
    </row>
    <row r="1594" spans="3:3" x14ac:dyDescent="0.25">
      <c r="C1594" s="55"/>
    </row>
    <row r="1595" spans="3:3" x14ac:dyDescent="0.25">
      <c r="C1595" s="55"/>
    </row>
    <row r="1596" spans="3:3" x14ac:dyDescent="0.25">
      <c r="C1596" s="55"/>
    </row>
    <row r="1597" spans="3:3" x14ac:dyDescent="0.25">
      <c r="C1597" s="55"/>
    </row>
    <row r="1598" spans="3:3" x14ac:dyDescent="0.25">
      <c r="C1598" s="55"/>
    </row>
    <row r="1599" spans="3:3" x14ac:dyDescent="0.25">
      <c r="C1599" s="55"/>
    </row>
    <row r="1600" spans="3:3" x14ac:dyDescent="0.25">
      <c r="C1600" s="55"/>
    </row>
    <row r="1601" spans="3:3" x14ac:dyDescent="0.25">
      <c r="C1601" s="55"/>
    </row>
    <row r="1602" spans="3:3" x14ac:dyDescent="0.25">
      <c r="C1602" s="55"/>
    </row>
    <row r="1603" spans="3:3" x14ac:dyDescent="0.25">
      <c r="C1603" s="55"/>
    </row>
    <row r="1604" spans="3:3" x14ac:dyDescent="0.25">
      <c r="C1604" s="55"/>
    </row>
    <row r="1605" spans="3:3" x14ac:dyDescent="0.25">
      <c r="C1605" s="55"/>
    </row>
    <row r="1606" spans="3:3" x14ac:dyDescent="0.25">
      <c r="C1606" s="55"/>
    </row>
    <row r="1607" spans="3:3" x14ac:dyDescent="0.25">
      <c r="C1607" s="55"/>
    </row>
    <row r="1608" spans="3:3" x14ac:dyDescent="0.25">
      <c r="C1608" s="55"/>
    </row>
    <row r="1609" spans="3:3" x14ac:dyDescent="0.25">
      <c r="C1609" s="55"/>
    </row>
    <row r="1610" spans="3:3" x14ac:dyDescent="0.25">
      <c r="C1610" s="55"/>
    </row>
    <row r="1611" spans="3:3" x14ac:dyDescent="0.25">
      <c r="C1611" s="55"/>
    </row>
    <row r="1612" spans="3:3" x14ac:dyDescent="0.25">
      <c r="C1612" s="55"/>
    </row>
    <row r="1613" spans="3:3" x14ac:dyDescent="0.25">
      <c r="C1613" s="55"/>
    </row>
    <row r="1614" spans="3:3" x14ac:dyDescent="0.25">
      <c r="C1614" s="55"/>
    </row>
    <row r="1615" spans="3:3" x14ac:dyDescent="0.25">
      <c r="C1615" s="55"/>
    </row>
    <row r="1616" spans="3:3" x14ac:dyDescent="0.25">
      <c r="C1616" s="55"/>
    </row>
    <row r="1617" spans="3:3" x14ac:dyDescent="0.25">
      <c r="C1617" s="55"/>
    </row>
    <row r="1618" spans="3:3" x14ac:dyDescent="0.25">
      <c r="C1618" s="55"/>
    </row>
    <row r="1619" spans="3:3" x14ac:dyDescent="0.25">
      <c r="C1619" s="55"/>
    </row>
    <row r="1620" spans="3:3" x14ac:dyDescent="0.25">
      <c r="C1620" s="55"/>
    </row>
    <row r="1621" spans="3:3" x14ac:dyDescent="0.25">
      <c r="C1621" s="55"/>
    </row>
    <row r="1622" spans="3:3" x14ac:dyDescent="0.25">
      <c r="C1622" s="55"/>
    </row>
    <row r="1623" spans="3:3" x14ac:dyDescent="0.25">
      <c r="C1623" s="55"/>
    </row>
    <row r="1624" spans="3:3" x14ac:dyDescent="0.25">
      <c r="C1624" s="55"/>
    </row>
    <row r="1625" spans="3:3" x14ac:dyDescent="0.25">
      <c r="C1625" s="55"/>
    </row>
    <row r="1626" spans="3:3" x14ac:dyDescent="0.25">
      <c r="C1626" s="55"/>
    </row>
    <row r="1627" spans="3:3" x14ac:dyDescent="0.25">
      <c r="C1627" s="55"/>
    </row>
    <row r="1628" spans="3:3" x14ac:dyDescent="0.25">
      <c r="C1628" s="55"/>
    </row>
    <row r="1629" spans="3:3" x14ac:dyDescent="0.25">
      <c r="C1629" s="55"/>
    </row>
    <row r="1630" spans="3:3" x14ac:dyDescent="0.25">
      <c r="C1630" s="55"/>
    </row>
    <row r="1631" spans="3:3" x14ac:dyDescent="0.25">
      <c r="C1631" s="55"/>
    </row>
    <row r="1632" spans="3:3" x14ac:dyDescent="0.25">
      <c r="C1632" s="55"/>
    </row>
    <row r="1633" spans="3:3" x14ac:dyDescent="0.25">
      <c r="C1633" s="55"/>
    </row>
    <row r="1634" spans="3:3" x14ac:dyDescent="0.25">
      <c r="C1634" s="55"/>
    </row>
    <row r="1635" spans="3:3" x14ac:dyDescent="0.25">
      <c r="C1635" s="55"/>
    </row>
    <row r="1636" spans="3:3" x14ac:dyDescent="0.25">
      <c r="C1636" s="55"/>
    </row>
    <row r="1637" spans="3:3" x14ac:dyDescent="0.25">
      <c r="C1637" s="55"/>
    </row>
    <row r="1638" spans="3:3" x14ac:dyDescent="0.25">
      <c r="C1638" s="55"/>
    </row>
    <row r="1639" spans="3:3" x14ac:dyDescent="0.25">
      <c r="C1639" s="55"/>
    </row>
    <row r="1640" spans="3:3" x14ac:dyDescent="0.25">
      <c r="C1640" s="55"/>
    </row>
    <row r="1641" spans="3:3" x14ac:dyDescent="0.25">
      <c r="C1641" s="55"/>
    </row>
    <row r="1642" spans="3:3" x14ac:dyDescent="0.25">
      <c r="C1642" s="55"/>
    </row>
    <row r="1643" spans="3:3" x14ac:dyDescent="0.25">
      <c r="C1643" s="55"/>
    </row>
    <row r="1644" spans="3:3" x14ac:dyDescent="0.25">
      <c r="C1644" s="55"/>
    </row>
    <row r="1645" spans="3:3" x14ac:dyDescent="0.25">
      <c r="C1645" s="55"/>
    </row>
    <row r="1646" spans="3:3" x14ac:dyDescent="0.25">
      <c r="C1646" s="55"/>
    </row>
    <row r="1647" spans="3:3" x14ac:dyDescent="0.25">
      <c r="C1647" s="55"/>
    </row>
    <row r="1648" spans="3:3" x14ac:dyDescent="0.25">
      <c r="C1648" s="55"/>
    </row>
    <row r="1649" spans="3:3" x14ac:dyDescent="0.25">
      <c r="C1649" s="55"/>
    </row>
    <row r="1922" spans="3:3" x14ac:dyDescent="0.25">
      <c r="C1922" s="55"/>
    </row>
    <row r="1923" spans="3:3" x14ac:dyDescent="0.25">
      <c r="C1923" s="55"/>
    </row>
    <row r="1924" spans="3:3" x14ac:dyDescent="0.25">
      <c r="C1924" s="55"/>
    </row>
    <row r="1925" spans="3:3" x14ac:dyDescent="0.25">
      <c r="C1925" s="55"/>
    </row>
    <row r="1926" spans="3:3" x14ac:dyDescent="0.25">
      <c r="C1926" s="55"/>
    </row>
    <row r="1927" spans="3:3" x14ac:dyDescent="0.25">
      <c r="C1927" s="55"/>
    </row>
    <row r="1928" spans="3:3" x14ac:dyDescent="0.25">
      <c r="C1928" s="55"/>
    </row>
    <row r="1929" spans="3:3" x14ac:dyDescent="0.25">
      <c r="C1929" s="55"/>
    </row>
    <row r="1930" spans="3:3" x14ac:dyDescent="0.25">
      <c r="C1930" s="55"/>
    </row>
    <row r="1931" spans="3:3" x14ac:dyDescent="0.25">
      <c r="C1931" s="55"/>
    </row>
    <row r="1932" spans="3:3" x14ac:dyDescent="0.25">
      <c r="C1932" s="55"/>
    </row>
    <row r="1933" spans="3:3" x14ac:dyDescent="0.25">
      <c r="C1933" s="55"/>
    </row>
    <row r="1934" spans="3:3" x14ac:dyDescent="0.25">
      <c r="C1934" s="55"/>
    </row>
    <row r="1935" spans="3:3" x14ac:dyDescent="0.25">
      <c r="C1935" s="55"/>
    </row>
    <row r="1936" spans="3:3" x14ac:dyDescent="0.25">
      <c r="C1936" s="55"/>
    </row>
    <row r="1937" spans="3:3" x14ac:dyDescent="0.25">
      <c r="C1937" s="55"/>
    </row>
    <row r="1938" spans="3:3" x14ac:dyDescent="0.25">
      <c r="C1938" s="55"/>
    </row>
    <row r="1939" spans="3:3" x14ac:dyDescent="0.25">
      <c r="C1939" s="55"/>
    </row>
    <row r="1940" spans="3:3" x14ac:dyDescent="0.25">
      <c r="C1940" s="55"/>
    </row>
    <row r="1941" spans="3:3" x14ac:dyDescent="0.25">
      <c r="C1941" s="55"/>
    </row>
    <row r="1942" spans="3:3" x14ac:dyDescent="0.25">
      <c r="C1942" s="55"/>
    </row>
    <row r="1943" spans="3:3" x14ac:dyDescent="0.25">
      <c r="C1943" s="55"/>
    </row>
    <row r="1944" spans="3:3" x14ac:dyDescent="0.25">
      <c r="C1944" s="55"/>
    </row>
    <row r="1945" spans="3:3" x14ac:dyDescent="0.25">
      <c r="C1945" s="55"/>
    </row>
    <row r="1946" spans="3:3" x14ac:dyDescent="0.25">
      <c r="C1946" s="55"/>
    </row>
    <row r="1947" spans="3:3" x14ac:dyDescent="0.25">
      <c r="C1947" s="55"/>
    </row>
    <row r="1948" spans="3:3" x14ac:dyDescent="0.25">
      <c r="C1948" s="55"/>
    </row>
    <row r="1949" spans="3:3" x14ac:dyDescent="0.25">
      <c r="C1949" s="55"/>
    </row>
    <row r="1950" spans="3:3" x14ac:dyDescent="0.25">
      <c r="C1950" s="55"/>
    </row>
    <row r="1951" spans="3:3" x14ac:dyDescent="0.25">
      <c r="C1951" s="55"/>
    </row>
    <row r="1952" spans="3:3" x14ac:dyDescent="0.25">
      <c r="C1952" s="55"/>
    </row>
    <row r="1953" spans="3:3" x14ac:dyDescent="0.25">
      <c r="C1953" s="55"/>
    </row>
    <row r="1954" spans="3:3" x14ac:dyDescent="0.25">
      <c r="C1954" s="55"/>
    </row>
    <row r="1955" spans="3:3" x14ac:dyDescent="0.25">
      <c r="C1955" s="55"/>
    </row>
    <row r="1956" spans="3:3" x14ac:dyDescent="0.25">
      <c r="C1956" s="55"/>
    </row>
    <row r="1957" spans="3:3" x14ac:dyDescent="0.25">
      <c r="C1957" s="55"/>
    </row>
    <row r="1958" spans="3:3" x14ac:dyDescent="0.25">
      <c r="C1958" s="55"/>
    </row>
    <row r="1959" spans="3:3" x14ac:dyDescent="0.25">
      <c r="C1959" s="55"/>
    </row>
    <row r="1960" spans="3:3" x14ac:dyDescent="0.25">
      <c r="C1960" s="55"/>
    </row>
    <row r="1961" spans="3:3" x14ac:dyDescent="0.25">
      <c r="C1961" s="55"/>
    </row>
    <row r="1962" spans="3:3" x14ac:dyDescent="0.25">
      <c r="C1962" s="55"/>
    </row>
    <row r="1963" spans="3:3" x14ac:dyDescent="0.25">
      <c r="C1963" s="55"/>
    </row>
    <row r="1964" spans="3:3" x14ac:dyDescent="0.25">
      <c r="C1964" s="55"/>
    </row>
    <row r="1965" spans="3:3" x14ac:dyDescent="0.25">
      <c r="C1965" s="55"/>
    </row>
    <row r="1966" spans="3:3" x14ac:dyDescent="0.25">
      <c r="C1966" s="55"/>
    </row>
    <row r="1967" spans="3:3" x14ac:dyDescent="0.25">
      <c r="C1967" s="55"/>
    </row>
    <row r="1968" spans="3:3" x14ac:dyDescent="0.25">
      <c r="C1968" s="55"/>
    </row>
    <row r="1969" spans="3:3" x14ac:dyDescent="0.25">
      <c r="C1969" s="55"/>
    </row>
    <row r="1970" spans="3:3" x14ac:dyDescent="0.25">
      <c r="C1970" s="55"/>
    </row>
    <row r="1971" spans="3:3" x14ac:dyDescent="0.25">
      <c r="C1971" s="55"/>
    </row>
    <row r="1972" spans="3:3" x14ac:dyDescent="0.25">
      <c r="C1972" s="55"/>
    </row>
    <row r="1973" spans="3:3" x14ac:dyDescent="0.25">
      <c r="C1973" s="55"/>
    </row>
    <row r="1974" spans="3:3" x14ac:dyDescent="0.25">
      <c r="C1974" s="55"/>
    </row>
    <row r="1975" spans="3:3" x14ac:dyDescent="0.25">
      <c r="C1975" s="55"/>
    </row>
    <row r="1976" spans="3:3" x14ac:dyDescent="0.25">
      <c r="C1976" s="55"/>
    </row>
    <row r="1977" spans="3:3" x14ac:dyDescent="0.25">
      <c r="C1977" s="55"/>
    </row>
    <row r="1978" spans="3:3" x14ac:dyDescent="0.25">
      <c r="C1978" s="55"/>
    </row>
    <row r="1979" spans="3:3" x14ac:dyDescent="0.25">
      <c r="C1979" s="55"/>
    </row>
    <row r="1980" spans="3:3" x14ac:dyDescent="0.25">
      <c r="C1980" s="55"/>
    </row>
    <row r="1981" spans="3:3" x14ac:dyDescent="0.25">
      <c r="C1981" s="55"/>
    </row>
    <row r="1982" spans="3:3" x14ac:dyDescent="0.25">
      <c r="C1982" s="55"/>
    </row>
    <row r="1983" spans="3:3" x14ac:dyDescent="0.25">
      <c r="C1983" s="55"/>
    </row>
    <row r="1984" spans="3:3" x14ac:dyDescent="0.25">
      <c r="C1984" s="55"/>
    </row>
    <row r="1985" spans="3:3" x14ac:dyDescent="0.25">
      <c r="C1985" s="55"/>
    </row>
    <row r="1986" spans="3:3" x14ac:dyDescent="0.25">
      <c r="C1986" s="55"/>
    </row>
    <row r="1987" spans="3:3" x14ac:dyDescent="0.25">
      <c r="C1987" s="55"/>
    </row>
    <row r="1988" spans="3:3" x14ac:dyDescent="0.25">
      <c r="C1988" s="55"/>
    </row>
    <row r="1989" spans="3:3" x14ac:dyDescent="0.25">
      <c r="C1989" s="55"/>
    </row>
    <row r="1990" spans="3:3" x14ac:dyDescent="0.25">
      <c r="C1990" s="55"/>
    </row>
    <row r="1991" spans="3:3" x14ac:dyDescent="0.25">
      <c r="C1991" s="55"/>
    </row>
    <row r="1992" spans="3:3" x14ac:dyDescent="0.25">
      <c r="C1992" s="55"/>
    </row>
    <row r="1993" spans="3:3" x14ac:dyDescent="0.25">
      <c r="C1993" s="55"/>
    </row>
    <row r="1994" spans="3:3" x14ac:dyDescent="0.25">
      <c r="C1994" s="55"/>
    </row>
    <row r="1995" spans="3:3" x14ac:dyDescent="0.25">
      <c r="C1995" s="55"/>
    </row>
    <row r="1996" spans="3:3" x14ac:dyDescent="0.25">
      <c r="C1996" s="55"/>
    </row>
    <row r="1997" spans="3:3" x14ac:dyDescent="0.25">
      <c r="C1997" s="55"/>
    </row>
    <row r="1998" spans="3:3" x14ac:dyDescent="0.25">
      <c r="C1998" s="55"/>
    </row>
    <row r="1999" spans="3:3" x14ac:dyDescent="0.25">
      <c r="C1999" s="55"/>
    </row>
    <row r="2000" spans="3:3" x14ac:dyDescent="0.25">
      <c r="C2000" s="55"/>
    </row>
    <row r="2001" spans="3:3" x14ac:dyDescent="0.25">
      <c r="C2001" s="55"/>
    </row>
    <row r="2002" spans="3:3" x14ac:dyDescent="0.25">
      <c r="C2002" s="55"/>
    </row>
    <row r="2003" spans="3:3" x14ac:dyDescent="0.25">
      <c r="C2003" s="55"/>
    </row>
    <row r="2004" spans="3:3" x14ac:dyDescent="0.25">
      <c r="C2004" s="55"/>
    </row>
    <row r="2005" spans="3:3" x14ac:dyDescent="0.25">
      <c r="C2005" s="55"/>
    </row>
    <row r="2006" spans="3:3" x14ac:dyDescent="0.25">
      <c r="C2006" s="55"/>
    </row>
    <row r="2007" spans="3:3" x14ac:dyDescent="0.25">
      <c r="C2007" s="55"/>
    </row>
    <row r="2008" spans="3:3" x14ac:dyDescent="0.25">
      <c r="C2008" s="55"/>
    </row>
    <row r="2009" spans="3:3" x14ac:dyDescent="0.25">
      <c r="C2009" s="55"/>
    </row>
    <row r="2010" spans="3:3" x14ac:dyDescent="0.25">
      <c r="C2010" s="55"/>
    </row>
    <row r="2011" spans="3:3" x14ac:dyDescent="0.25">
      <c r="C2011" s="55"/>
    </row>
    <row r="2012" spans="3:3" x14ac:dyDescent="0.25">
      <c r="C2012" s="55"/>
    </row>
    <row r="2013" spans="3:3" x14ac:dyDescent="0.25">
      <c r="C2013" s="55"/>
    </row>
    <row r="2014" spans="3:3" x14ac:dyDescent="0.25">
      <c r="C2014" s="55"/>
    </row>
    <row r="2015" spans="3:3" x14ac:dyDescent="0.25">
      <c r="C2015" s="55"/>
    </row>
    <row r="2016" spans="3:3" x14ac:dyDescent="0.25">
      <c r="C2016" s="55"/>
    </row>
    <row r="2017" spans="3:3" x14ac:dyDescent="0.25">
      <c r="C2017" s="55"/>
    </row>
    <row r="2018" spans="3:3" x14ac:dyDescent="0.25">
      <c r="C2018" s="55"/>
    </row>
    <row r="2019" spans="3:3" x14ac:dyDescent="0.25">
      <c r="C2019" s="55"/>
    </row>
    <row r="2020" spans="3:3" x14ac:dyDescent="0.25">
      <c r="C2020" s="55"/>
    </row>
    <row r="2021" spans="3:3" x14ac:dyDescent="0.25">
      <c r="C2021" s="55"/>
    </row>
    <row r="2022" spans="3:3" x14ac:dyDescent="0.25">
      <c r="C2022" s="55"/>
    </row>
    <row r="2023" spans="3:3" x14ac:dyDescent="0.25">
      <c r="C2023" s="55"/>
    </row>
    <row r="2024" spans="3:3" x14ac:dyDescent="0.25">
      <c r="C2024" s="55"/>
    </row>
    <row r="2025" spans="3:3" x14ac:dyDescent="0.25">
      <c r="C2025" s="55"/>
    </row>
    <row r="2026" spans="3:3" x14ac:dyDescent="0.25">
      <c r="C2026" s="55"/>
    </row>
    <row r="2027" spans="3:3" x14ac:dyDescent="0.25">
      <c r="C2027" s="55"/>
    </row>
    <row r="2028" spans="3:3" x14ac:dyDescent="0.25">
      <c r="C2028" s="55"/>
    </row>
    <row r="2029" spans="3:3" x14ac:dyDescent="0.25">
      <c r="C2029" s="55"/>
    </row>
    <row r="2030" spans="3:3" x14ac:dyDescent="0.25">
      <c r="C2030" s="55"/>
    </row>
    <row r="2031" spans="3:3" x14ac:dyDescent="0.25">
      <c r="C2031" s="55"/>
    </row>
    <row r="2032" spans="3:3" x14ac:dyDescent="0.25">
      <c r="C2032" s="55"/>
    </row>
    <row r="2033" spans="3:3" x14ac:dyDescent="0.25">
      <c r="C2033" s="55"/>
    </row>
    <row r="2034" spans="3:3" x14ac:dyDescent="0.25">
      <c r="C2034" s="55"/>
    </row>
    <row r="2035" spans="3:3" x14ac:dyDescent="0.25">
      <c r="C2035" s="55"/>
    </row>
    <row r="2036" spans="3:3" x14ac:dyDescent="0.25">
      <c r="C2036" s="55"/>
    </row>
    <row r="2037" spans="3:3" x14ac:dyDescent="0.25">
      <c r="C2037" s="55"/>
    </row>
    <row r="2038" spans="3:3" x14ac:dyDescent="0.25">
      <c r="C2038" s="55"/>
    </row>
    <row r="2039" spans="3:3" x14ac:dyDescent="0.25">
      <c r="C2039" s="55"/>
    </row>
    <row r="2040" spans="3:3" x14ac:dyDescent="0.25">
      <c r="C2040" s="55"/>
    </row>
    <row r="2041" spans="3:3" x14ac:dyDescent="0.25">
      <c r="C2041" s="55"/>
    </row>
    <row r="2042" spans="3:3" x14ac:dyDescent="0.25">
      <c r="C2042" s="55"/>
    </row>
    <row r="2043" spans="3:3" x14ac:dyDescent="0.25">
      <c r="C2043" s="55"/>
    </row>
    <row r="2044" spans="3:3" x14ac:dyDescent="0.25">
      <c r="C2044" s="55"/>
    </row>
    <row r="2045" spans="3:3" x14ac:dyDescent="0.25">
      <c r="C2045" s="55"/>
    </row>
    <row r="2046" spans="3:3" x14ac:dyDescent="0.25">
      <c r="C2046" s="55"/>
    </row>
    <row r="2047" spans="3:3" x14ac:dyDescent="0.25">
      <c r="C2047" s="55"/>
    </row>
    <row r="2048" spans="3:3" x14ac:dyDescent="0.25">
      <c r="C2048" s="55"/>
    </row>
    <row r="2049" spans="3:3" x14ac:dyDescent="0.25">
      <c r="C2049" s="55"/>
    </row>
    <row r="2050" spans="3:3" x14ac:dyDescent="0.25">
      <c r="C2050" s="55"/>
    </row>
    <row r="2051" spans="3:3" x14ac:dyDescent="0.25">
      <c r="C2051" s="55"/>
    </row>
    <row r="2052" spans="3:3" x14ac:dyDescent="0.25">
      <c r="C2052" s="55"/>
    </row>
    <row r="2053" spans="3:3" x14ac:dyDescent="0.25">
      <c r="C2053" s="55"/>
    </row>
    <row r="2054" spans="3:3" x14ac:dyDescent="0.25">
      <c r="C2054" s="55"/>
    </row>
    <row r="2055" spans="3:3" x14ac:dyDescent="0.25">
      <c r="C2055" s="55"/>
    </row>
    <row r="2056" spans="3:3" x14ac:dyDescent="0.25">
      <c r="C2056" s="55"/>
    </row>
    <row r="2057" spans="3:3" x14ac:dyDescent="0.25">
      <c r="C2057" s="55"/>
    </row>
    <row r="2058" spans="3:3" x14ac:dyDescent="0.25">
      <c r="C2058" s="55"/>
    </row>
    <row r="2059" spans="3:3" x14ac:dyDescent="0.25">
      <c r="C2059" s="55"/>
    </row>
    <row r="2060" spans="3:3" x14ac:dyDescent="0.25">
      <c r="C2060" s="55"/>
    </row>
    <row r="2061" spans="3:3" x14ac:dyDescent="0.25">
      <c r="C2061" s="55"/>
    </row>
    <row r="2062" spans="3:3" x14ac:dyDescent="0.25">
      <c r="C2062" s="55"/>
    </row>
    <row r="2063" spans="3:3" x14ac:dyDescent="0.25">
      <c r="C2063" s="55"/>
    </row>
    <row r="2064" spans="3:3" x14ac:dyDescent="0.25">
      <c r="C2064" s="55"/>
    </row>
    <row r="2065" spans="3:3" x14ac:dyDescent="0.25">
      <c r="C2065" s="55"/>
    </row>
    <row r="2066" spans="3:3" x14ac:dyDescent="0.25">
      <c r="C2066" s="55"/>
    </row>
    <row r="2067" spans="3:3" x14ac:dyDescent="0.25">
      <c r="C2067" s="55"/>
    </row>
    <row r="2068" spans="3:3" x14ac:dyDescent="0.25">
      <c r="C2068" s="55"/>
    </row>
    <row r="2069" spans="3:3" x14ac:dyDescent="0.25">
      <c r="C2069" s="55"/>
    </row>
    <row r="2070" spans="3:3" x14ac:dyDescent="0.25">
      <c r="C2070" s="55"/>
    </row>
    <row r="2071" spans="3:3" x14ac:dyDescent="0.25">
      <c r="C2071" s="55"/>
    </row>
    <row r="2072" spans="3:3" x14ac:dyDescent="0.25">
      <c r="C2072" s="55"/>
    </row>
    <row r="2073" spans="3:3" x14ac:dyDescent="0.25">
      <c r="C2073" s="55"/>
    </row>
    <row r="2074" spans="3:3" x14ac:dyDescent="0.25">
      <c r="C2074" s="55"/>
    </row>
    <row r="2075" spans="3:3" x14ac:dyDescent="0.25">
      <c r="C2075" s="55"/>
    </row>
    <row r="2076" spans="3:3" x14ac:dyDescent="0.25">
      <c r="C2076" s="55"/>
    </row>
    <row r="2077" spans="3:3" x14ac:dyDescent="0.25">
      <c r="C2077" s="55"/>
    </row>
    <row r="2078" spans="3:3" x14ac:dyDescent="0.25">
      <c r="C2078" s="55"/>
    </row>
    <row r="2079" spans="3:3" x14ac:dyDescent="0.25">
      <c r="C2079" s="55"/>
    </row>
    <row r="2080" spans="3:3" x14ac:dyDescent="0.25">
      <c r="C2080" s="55"/>
    </row>
    <row r="2081" spans="3:3" x14ac:dyDescent="0.25">
      <c r="C2081" s="55"/>
    </row>
    <row r="2082" spans="3:3" x14ac:dyDescent="0.25">
      <c r="C2082" s="55"/>
    </row>
    <row r="2083" spans="3:3" x14ac:dyDescent="0.25">
      <c r="C2083" s="55"/>
    </row>
    <row r="2084" spans="3:3" x14ac:dyDescent="0.25">
      <c r="C2084" s="55"/>
    </row>
    <row r="2085" spans="3:3" x14ac:dyDescent="0.25">
      <c r="C2085" s="55"/>
    </row>
    <row r="2086" spans="3:3" x14ac:dyDescent="0.25">
      <c r="C2086" s="55"/>
    </row>
    <row r="2087" spans="3:3" x14ac:dyDescent="0.25">
      <c r="C2087" s="55"/>
    </row>
    <row r="2088" spans="3:3" x14ac:dyDescent="0.25">
      <c r="C2088" s="55"/>
    </row>
    <row r="2089" spans="3:3" x14ac:dyDescent="0.25">
      <c r="C2089" s="55"/>
    </row>
    <row r="2090" spans="3:3" x14ac:dyDescent="0.25">
      <c r="C2090" s="55"/>
    </row>
    <row r="2091" spans="3:3" x14ac:dyDescent="0.25">
      <c r="C2091" s="55"/>
    </row>
    <row r="2092" spans="3:3" x14ac:dyDescent="0.25">
      <c r="C2092" s="55"/>
    </row>
    <row r="2093" spans="3:3" x14ac:dyDescent="0.25">
      <c r="C2093" s="55"/>
    </row>
    <row r="2094" spans="3:3" x14ac:dyDescent="0.25">
      <c r="C2094" s="55"/>
    </row>
    <row r="2095" spans="3:3" x14ac:dyDescent="0.25">
      <c r="C2095" s="55"/>
    </row>
    <row r="2096" spans="3:3" x14ac:dyDescent="0.25">
      <c r="C2096" s="55"/>
    </row>
    <row r="2097" spans="3:3" x14ac:dyDescent="0.25">
      <c r="C2097" s="55"/>
    </row>
    <row r="2098" spans="3:3" x14ac:dyDescent="0.25">
      <c r="C2098" s="55"/>
    </row>
    <row r="2099" spans="3:3" x14ac:dyDescent="0.25">
      <c r="C2099" s="55"/>
    </row>
    <row r="2100" spans="3:3" x14ac:dyDescent="0.25">
      <c r="C2100" s="55"/>
    </row>
    <row r="2101" spans="3:3" x14ac:dyDescent="0.25">
      <c r="C2101" s="55"/>
    </row>
    <row r="2102" spans="3:3" x14ac:dyDescent="0.25">
      <c r="C2102" s="55"/>
    </row>
    <row r="2103" spans="3:3" x14ac:dyDescent="0.25">
      <c r="C2103" s="55"/>
    </row>
    <row r="2104" spans="3:3" x14ac:dyDescent="0.25">
      <c r="C2104" s="55"/>
    </row>
    <row r="2105" spans="3:3" x14ac:dyDescent="0.25">
      <c r="C2105" s="55"/>
    </row>
    <row r="2106" spans="3:3" x14ac:dyDescent="0.25">
      <c r="C2106" s="55"/>
    </row>
    <row r="2107" spans="3:3" x14ac:dyDescent="0.25">
      <c r="C2107" s="55"/>
    </row>
    <row r="2108" spans="3:3" x14ac:dyDescent="0.25">
      <c r="C2108" s="55"/>
    </row>
    <row r="2109" spans="3:3" x14ac:dyDescent="0.25">
      <c r="C2109" s="55"/>
    </row>
    <row r="2110" spans="3:3" x14ac:dyDescent="0.25">
      <c r="C2110" s="55"/>
    </row>
    <row r="2111" spans="3:3" x14ac:dyDescent="0.25">
      <c r="C2111" s="55"/>
    </row>
    <row r="2112" spans="3:3" x14ac:dyDescent="0.25">
      <c r="C2112" s="55"/>
    </row>
    <row r="2113" spans="3:3" x14ac:dyDescent="0.25">
      <c r="C2113" s="55"/>
    </row>
    <row r="2114" spans="3:3" x14ac:dyDescent="0.25">
      <c r="C2114" s="55"/>
    </row>
    <row r="2115" spans="3:3" x14ac:dyDescent="0.25">
      <c r="C2115" s="55"/>
    </row>
    <row r="2116" spans="3:3" x14ac:dyDescent="0.25">
      <c r="C2116" s="55"/>
    </row>
    <row r="2117" spans="3:3" x14ac:dyDescent="0.25">
      <c r="C2117" s="55"/>
    </row>
    <row r="2118" spans="3:3" x14ac:dyDescent="0.25">
      <c r="C2118" s="55"/>
    </row>
    <row r="2119" spans="3:3" x14ac:dyDescent="0.25">
      <c r="C2119" s="55"/>
    </row>
    <row r="2120" spans="3:3" x14ac:dyDescent="0.25">
      <c r="C2120" s="55"/>
    </row>
    <row r="2121" spans="3:3" x14ac:dyDescent="0.25">
      <c r="C2121" s="55"/>
    </row>
    <row r="2122" spans="3:3" x14ac:dyDescent="0.25">
      <c r="C2122" s="55"/>
    </row>
    <row r="2123" spans="3:3" x14ac:dyDescent="0.25">
      <c r="C2123" s="55"/>
    </row>
    <row r="2124" spans="3:3" x14ac:dyDescent="0.25">
      <c r="C2124" s="55"/>
    </row>
    <row r="2125" spans="3:3" x14ac:dyDescent="0.25">
      <c r="C2125" s="55"/>
    </row>
    <row r="2126" spans="3:3" x14ac:dyDescent="0.25">
      <c r="C2126" s="55"/>
    </row>
    <row r="2127" spans="3:3" x14ac:dyDescent="0.25">
      <c r="C2127" s="55"/>
    </row>
    <row r="2128" spans="3:3" x14ac:dyDescent="0.25">
      <c r="C2128" s="55"/>
    </row>
    <row r="2129" spans="3:3" x14ac:dyDescent="0.25">
      <c r="C2129" s="55"/>
    </row>
    <row r="2130" spans="3:3" x14ac:dyDescent="0.25">
      <c r="C2130" s="55"/>
    </row>
    <row r="2131" spans="3:3" x14ac:dyDescent="0.25">
      <c r="C2131" s="55"/>
    </row>
    <row r="2132" spans="3:3" x14ac:dyDescent="0.25">
      <c r="C2132" s="55"/>
    </row>
    <row r="2133" spans="3:3" x14ac:dyDescent="0.25">
      <c r="C2133" s="55"/>
    </row>
    <row r="2134" spans="3:3" x14ac:dyDescent="0.25">
      <c r="C2134" s="55"/>
    </row>
    <row r="2135" spans="3:3" x14ac:dyDescent="0.25">
      <c r="C2135" s="55"/>
    </row>
    <row r="2136" spans="3:3" x14ac:dyDescent="0.25">
      <c r="C2136" s="55"/>
    </row>
    <row r="2137" spans="3:3" x14ac:dyDescent="0.25">
      <c r="C2137" s="55"/>
    </row>
    <row r="2138" spans="3:3" x14ac:dyDescent="0.25">
      <c r="C2138" s="55"/>
    </row>
    <row r="2139" spans="3:3" x14ac:dyDescent="0.25">
      <c r="C2139" s="55"/>
    </row>
    <row r="2140" spans="3:3" x14ac:dyDescent="0.25">
      <c r="C2140" s="55"/>
    </row>
    <row r="2141" spans="3:3" x14ac:dyDescent="0.25">
      <c r="C2141" s="55"/>
    </row>
    <row r="2142" spans="3:3" x14ac:dyDescent="0.25">
      <c r="C2142" s="55"/>
    </row>
    <row r="2143" spans="3:3" x14ac:dyDescent="0.25">
      <c r="C2143" s="55"/>
    </row>
    <row r="2144" spans="3:3" x14ac:dyDescent="0.25">
      <c r="C2144" s="55"/>
    </row>
    <row r="2145" spans="3:3" x14ac:dyDescent="0.25">
      <c r="C2145" s="55"/>
    </row>
    <row r="2146" spans="3:3" x14ac:dyDescent="0.25">
      <c r="C2146" s="55"/>
    </row>
    <row r="2147" spans="3:3" x14ac:dyDescent="0.25">
      <c r="C2147" s="55"/>
    </row>
    <row r="2148" spans="3:3" x14ac:dyDescent="0.25">
      <c r="C2148" s="55"/>
    </row>
    <row r="2149" spans="3:3" x14ac:dyDescent="0.25">
      <c r="C2149" s="55"/>
    </row>
    <row r="2150" spans="3:3" x14ac:dyDescent="0.25">
      <c r="C2150" s="55"/>
    </row>
    <row r="2151" spans="3:3" x14ac:dyDescent="0.25">
      <c r="C2151" s="55"/>
    </row>
    <row r="2152" spans="3:3" x14ac:dyDescent="0.25">
      <c r="C2152" s="55"/>
    </row>
    <row r="2153" spans="3:3" x14ac:dyDescent="0.25">
      <c r="C2153" s="55"/>
    </row>
    <row r="2154" spans="3:3" x14ac:dyDescent="0.25">
      <c r="C2154" s="55"/>
    </row>
    <row r="2155" spans="3:3" x14ac:dyDescent="0.25">
      <c r="C2155" s="55"/>
    </row>
    <row r="2156" spans="3:3" x14ac:dyDescent="0.25">
      <c r="C2156" s="55"/>
    </row>
    <row r="2157" spans="3:3" x14ac:dyDescent="0.25">
      <c r="C2157" s="55"/>
    </row>
    <row r="2158" spans="3:3" x14ac:dyDescent="0.25">
      <c r="C2158" s="55"/>
    </row>
    <row r="2159" spans="3:3" x14ac:dyDescent="0.25">
      <c r="C2159" s="55"/>
    </row>
    <row r="2160" spans="3:3" x14ac:dyDescent="0.25">
      <c r="C2160" s="55"/>
    </row>
    <row r="2161" spans="3:3" x14ac:dyDescent="0.25">
      <c r="C2161" s="55"/>
    </row>
    <row r="2162" spans="3:3" x14ac:dyDescent="0.25">
      <c r="C2162" s="55"/>
    </row>
    <row r="2163" spans="3:3" x14ac:dyDescent="0.25">
      <c r="C2163" s="55"/>
    </row>
    <row r="2164" spans="3:3" x14ac:dyDescent="0.25">
      <c r="C2164" s="55"/>
    </row>
    <row r="2165" spans="3:3" x14ac:dyDescent="0.25">
      <c r="C2165" s="55"/>
    </row>
    <row r="2166" spans="3:3" x14ac:dyDescent="0.25">
      <c r="C2166" s="55"/>
    </row>
    <row r="2167" spans="3:3" x14ac:dyDescent="0.25">
      <c r="C2167" s="55"/>
    </row>
    <row r="2168" spans="3:3" x14ac:dyDescent="0.25">
      <c r="C2168" s="55"/>
    </row>
    <row r="2169" spans="3:3" x14ac:dyDescent="0.25">
      <c r="C2169" s="55"/>
    </row>
    <row r="2170" spans="3:3" x14ac:dyDescent="0.25">
      <c r="C2170" s="55"/>
    </row>
    <row r="2171" spans="3:3" x14ac:dyDescent="0.25">
      <c r="C2171" s="55"/>
    </row>
    <row r="2172" spans="3:3" x14ac:dyDescent="0.25">
      <c r="C2172" s="55"/>
    </row>
    <row r="2173" spans="3:3" x14ac:dyDescent="0.25">
      <c r="C2173" s="55"/>
    </row>
    <row r="2174" spans="3:3" x14ac:dyDescent="0.25">
      <c r="C2174" s="55"/>
    </row>
    <row r="2175" spans="3:3" x14ac:dyDescent="0.25">
      <c r="C2175" s="55"/>
    </row>
    <row r="2176" spans="3:3" x14ac:dyDescent="0.25">
      <c r="C2176" s="55"/>
    </row>
    <row r="2177" spans="3:3" x14ac:dyDescent="0.25">
      <c r="C2177" s="55"/>
    </row>
    <row r="2178" spans="3:3" x14ac:dyDescent="0.25">
      <c r="C2178" s="55"/>
    </row>
    <row r="2179" spans="3:3" x14ac:dyDescent="0.25">
      <c r="C2179" s="55"/>
    </row>
    <row r="2180" spans="3:3" x14ac:dyDescent="0.25">
      <c r="C2180" s="55"/>
    </row>
    <row r="2181" spans="3:3" x14ac:dyDescent="0.25">
      <c r="C2181" s="55"/>
    </row>
    <row r="2182" spans="3:3" x14ac:dyDescent="0.25">
      <c r="C2182" s="55"/>
    </row>
    <row r="2183" spans="3:3" x14ac:dyDescent="0.25">
      <c r="C2183" s="55"/>
    </row>
    <row r="2184" spans="3:3" x14ac:dyDescent="0.25">
      <c r="C2184" s="55"/>
    </row>
    <row r="2185" spans="3:3" x14ac:dyDescent="0.25">
      <c r="C2185" s="55"/>
    </row>
    <row r="2186" spans="3:3" x14ac:dyDescent="0.25">
      <c r="C2186" s="55"/>
    </row>
    <row r="2187" spans="3:3" x14ac:dyDescent="0.25">
      <c r="C2187" s="55"/>
    </row>
    <row r="2188" spans="3:3" x14ac:dyDescent="0.25">
      <c r="C2188" s="55"/>
    </row>
    <row r="2189" spans="3:3" x14ac:dyDescent="0.25">
      <c r="C2189" s="55"/>
    </row>
    <row r="2190" spans="3:3" x14ac:dyDescent="0.25">
      <c r="C2190" s="55"/>
    </row>
    <row r="2191" spans="3:3" x14ac:dyDescent="0.25">
      <c r="C2191" s="55"/>
    </row>
    <row r="2192" spans="3:3" x14ac:dyDescent="0.25">
      <c r="C2192" s="55"/>
    </row>
    <row r="2193" spans="3:3" x14ac:dyDescent="0.25">
      <c r="C2193" s="55"/>
    </row>
    <row r="2194" spans="3:3" x14ac:dyDescent="0.25">
      <c r="C2194" s="55"/>
    </row>
    <row r="2195" spans="3:3" x14ac:dyDescent="0.25">
      <c r="C2195" s="55"/>
    </row>
    <row r="2196" spans="3:3" x14ac:dyDescent="0.25">
      <c r="C2196" s="55"/>
    </row>
    <row r="2197" spans="3:3" x14ac:dyDescent="0.25">
      <c r="C2197" s="55"/>
    </row>
    <row r="2198" spans="3:3" x14ac:dyDescent="0.25">
      <c r="C2198" s="55"/>
    </row>
    <row r="2199" spans="3:3" x14ac:dyDescent="0.25">
      <c r="C2199" s="55"/>
    </row>
    <row r="2200" spans="3:3" x14ac:dyDescent="0.25">
      <c r="C2200" s="55"/>
    </row>
    <row r="2201" spans="3:3" x14ac:dyDescent="0.25">
      <c r="C2201" s="55"/>
    </row>
    <row r="2202" spans="3:3" x14ac:dyDescent="0.25">
      <c r="C2202" s="55"/>
    </row>
    <row r="2203" spans="3:3" x14ac:dyDescent="0.25">
      <c r="C2203" s="55"/>
    </row>
    <row r="2204" spans="3:3" x14ac:dyDescent="0.25">
      <c r="C2204" s="55"/>
    </row>
    <row r="2205" spans="3:3" x14ac:dyDescent="0.25">
      <c r="C2205" s="55"/>
    </row>
    <row r="2206" spans="3:3" x14ac:dyDescent="0.25">
      <c r="C2206" s="55"/>
    </row>
    <row r="2207" spans="3:3" x14ac:dyDescent="0.25">
      <c r="C2207" s="55"/>
    </row>
    <row r="2208" spans="3:3" x14ac:dyDescent="0.25">
      <c r="C2208" s="55"/>
    </row>
    <row r="2209" spans="3:3" x14ac:dyDescent="0.25">
      <c r="C2209" s="55"/>
    </row>
    <row r="2210" spans="3:3" x14ac:dyDescent="0.25">
      <c r="C2210" s="55"/>
    </row>
    <row r="2211" spans="3:3" x14ac:dyDescent="0.25">
      <c r="C2211" s="55"/>
    </row>
    <row r="2212" spans="3:3" x14ac:dyDescent="0.25">
      <c r="C2212" s="55"/>
    </row>
    <row r="2213" spans="3:3" x14ac:dyDescent="0.25">
      <c r="C2213" s="55"/>
    </row>
    <row r="2214" spans="3:3" x14ac:dyDescent="0.25">
      <c r="C2214" s="55"/>
    </row>
    <row r="2215" spans="3:3" x14ac:dyDescent="0.25">
      <c r="C2215" s="55"/>
    </row>
    <row r="2216" spans="3:3" x14ac:dyDescent="0.25">
      <c r="C2216" s="55"/>
    </row>
    <row r="2217" spans="3:3" x14ac:dyDescent="0.25">
      <c r="C2217" s="55"/>
    </row>
    <row r="2218" spans="3:3" x14ac:dyDescent="0.25">
      <c r="C2218" s="55"/>
    </row>
    <row r="2219" spans="3:3" x14ac:dyDescent="0.25">
      <c r="C2219" s="55"/>
    </row>
    <row r="2220" spans="3:3" x14ac:dyDescent="0.25">
      <c r="C2220" s="55"/>
    </row>
    <row r="2221" spans="3:3" x14ac:dyDescent="0.25">
      <c r="C2221" s="55"/>
    </row>
    <row r="2222" spans="3:3" x14ac:dyDescent="0.25">
      <c r="C2222" s="55"/>
    </row>
    <row r="2223" spans="3:3" x14ac:dyDescent="0.25">
      <c r="C2223" s="55"/>
    </row>
    <row r="2224" spans="3:3" x14ac:dyDescent="0.25">
      <c r="C2224" s="55"/>
    </row>
    <row r="2225" spans="3:3" x14ac:dyDescent="0.25">
      <c r="C2225" s="55"/>
    </row>
    <row r="2226" spans="3:3" x14ac:dyDescent="0.25">
      <c r="C2226" s="55"/>
    </row>
    <row r="2227" spans="3:3" x14ac:dyDescent="0.25">
      <c r="C2227" s="55"/>
    </row>
    <row r="2228" spans="3:3" x14ac:dyDescent="0.25">
      <c r="C2228" s="55"/>
    </row>
    <row r="2229" spans="3:3" x14ac:dyDescent="0.25">
      <c r="C2229" s="55"/>
    </row>
    <row r="2230" spans="3:3" x14ac:dyDescent="0.25">
      <c r="C2230" s="55"/>
    </row>
    <row r="2231" spans="3:3" x14ac:dyDescent="0.25">
      <c r="C2231" s="55"/>
    </row>
    <row r="2232" spans="3:3" x14ac:dyDescent="0.25">
      <c r="C2232" s="55"/>
    </row>
    <row r="2233" spans="3:3" x14ac:dyDescent="0.25">
      <c r="C2233" s="55"/>
    </row>
    <row r="2234" spans="3:3" x14ac:dyDescent="0.25">
      <c r="C2234" s="55"/>
    </row>
    <row r="2235" spans="3:3" x14ac:dyDescent="0.25">
      <c r="C2235" s="55"/>
    </row>
    <row r="2236" spans="3:3" x14ac:dyDescent="0.25">
      <c r="C2236" s="55"/>
    </row>
    <row r="2237" spans="3:3" x14ac:dyDescent="0.25">
      <c r="C2237" s="55"/>
    </row>
    <row r="2238" spans="3:3" x14ac:dyDescent="0.25">
      <c r="C2238" s="55"/>
    </row>
    <row r="2239" spans="3:3" x14ac:dyDescent="0.25">
      <c r="C2239" s="55"/>
    </row>
    <row r="2240" spans="3:3" x14ac:dyDescent="0.25">
      <c r="C2240" s="55"/>
    </row>
    <row r="2241" spans="3:3" x14ac:dyDescent="0.25">
      <c r="C2241" s="55"/>
    </row>
    <row r="2242" spans="3:3" x14ac:dyDescent="0.25">
      <c r="C2242" s="55"/>
    </row>
    <row r="2243" spans="3:3" x14ac:dyDescent="0.25">
      <c r="C2243" s="55"/>
    </row>
    <row r="2244" spans="3:3" x14ac:dyDescent="0.25">
      <c r="C2244" s="55"/>
    </row>
    <row r="2245" spans="3:3" x14ac:dyDescent="0.25">
      <c r="C2245" s="55"/>
    </row>
    <row r="2246" spans="3:3" x14ac:dyDescent="0.25">
      <c r="C2246" s="55"/>
    </row>
    <row r="2247" spans="3:3" x14ac:dyDescent="0.25">
      <c r="C2247" s="55"/>
    </row>
    <row r="2248" spans="3:3" x14ac:dyDescent="0.25">
      <c r="C2248" s="55"/>
    </row>
    <row r="2249" spans="3:3" x14ac:dyDescent="0.25">
      <c r="C2249" s="55"/>
    </row>
    <row r="2250" spans="3:3" x14ac:dyDescent="0.25">
      <c r="C2250" s="55"/>
    </row>
    <row r="2251" spans="3:3" x14ac:dyDescent="0.25">
      <c r="C2251" s="55"/>
    </row>
    <row r="2252" spans="3:3" x14ac:dyDescent="0.25">
      <c r="C2252" s="55"/>
    </row>
    <row r="2253" spans="3:3" x14ac:dyDescent="0.25">
      <c r="C2253" s="55"/>
    </row>
    <row r="2254" spans="3:3" x14ac:dyDescent="0.25">
      <c r="C2254" s="55"/>
    </row>
    <row r="2255" spans="3:3" x14ac:dyDescent="0.25">
      <c r="C2255" s="55"/>
    </row>
    <row r="2256" spans="3:3" x14ac:dyDescent="0.25">
      <c r="C2256" s="55"/>
    </row>
    <row r="2257" spans="3:3" x14ac:dyDescent="0.25">
      <c r="C2257" s="55"/>
    </row>
    <row r="2258" spans="3:3" x14ac:dyDescent="0.25">
      <c r="C2258" s="55"/>
    </row>
    <row r="2259" spans="3:3" x14ac:dyDescent="0.25">
      <c r="C2259" s="55"/>
    </row>
    <row r="2260" spans="3:3" x14ac:dyDescent="0.25">
      <c r="C2260" s="55"/>
    </row>
    <row r="2261" spans="3:3" x14ac:dyDescent="0.25">
      <c r="C2261" s="55"/>
    </row>
    <row r="2262" spans="3:3" x14ac:dyDescent="0.25">
      <c r="C2262" s="55"/>
    </row>
    <row r="2263" spans="3:3" x14ac:dyDescent="0.25">
      <c r="C2263" s="55"/>
    </row>
    <row r="2264" spans="3:3" x14ac:dyDescent="0.25">
      <c r="C2264" s="55"/>
    </row>
    <row r="2265" spans="3:3" x14ac:dyDescent="0.25">
      <c r="C2265" s="55"/>
    </row>
    <row r="2266" spans="3:3" x14ac:dyDescent="0.25">
      <c r="C2266" s="55"/>
    </row>
    <row r="2267" spans="3:3" x14ac:dyDescent="0.25">
      <c r="C2267" s="55"/>
    </row>
    <row r="2268" spans="3:3" x14ac:dyDescent="0.25">
      <c r="C2268" s="55"/>
    </row>
    <row r="2269" spans="3:3" x14ac:dyDescent="0.25">
      <c r="C2269" s="55"/>
    </row>
    <row r="2270" spans="3:3" x14ac:dyDescent="0.25">
      <c r="C2270" s="55"/>
    </row>
    <row r="2271" spans="3:3" x14ac:dyDescent="0.25">
      <c r="C2271" s="55"/>
    </row>
    <row r="2545" spans="3:3" x14ac:dyDescent="0.25">
      <c r="C2545" s="55"/>
    </row>
    <row r="2546" spans="3:3" x14ac:dyDescent="0.25">
      <c r="C2546" s="55"/>
    </row>
    <row r="2547" spans="3:3" x14ac:dyDescent="0.25">
      <c r="C2547" s="55"/>
    </row>
    <row r="2548" spans="3:3" x14ac:dyDescent="0.25">
      <c r="C2548" s="55"/>
    </row>
    <row r="2549" spans="3:3" x14ac:dyDescent="0.25">
      <c r="C2549" s="55"/>
    </row>
    <row r="2550" spans="3:3" x14ac:dyDescent="0.25">
      <c r="C2550" s="55"/>
    </row>
    <row r="2551" spans="3:3" x14ac:dyDescent="0.25">
      <c r="C2551" s="55"/>
    </row>
    <row r="2552" spans="3:3" x14ac:dyDescent="0.25">
      <c r="C2552" s="55"/>
    </row>
    <row r="2553" spans="3:3" x14ac:dyDescent="0.25">
      <c r="C2553" s="55"/>
    </row>
    <row r="2554" spans="3:3" x14ac:dyDescent="0.25">
      <c r="C2554" s="55"/>
    </row>
    <row r="2555" spans="3:3" x14ac:dyDescent="0.25">
      <c r="C2555" s="55"/>
    </row>
    <row r="2556" spans="3:3" x14ac:dyDescent="0.25">
      <c r="C2556" s="55"/>
    </row>
    <row r="2557" spans="3:3" x14ac:dyDescent="0.25">
      <c r="C2557" s="55"/>
    </row>
    <row r="2558" spans="3:3" x14ac:dyDescent="0.25">
      <c r="C2558" s="55"/>
    </row>
    <row r="2559" spans="3:3" x14ac:dyDescent="0.25">
      <c r="C2559" s="55"/>
    </row>
    <row r="2560" spans="3:3" x14ac:dyDescent="0.25">
      <c r="C2560" s="55"/>
    </row>
    <row r="2561" spans="3:3" x14ac:dyDescent="0.25">
      <c r="C2561" s="55"/>
    </row>
    <row r="2562" spans="3:3" x14ac:dyDescent="0.25">
      <c r="C2562" s="55"/>
    </row>
    <row r="2563" spans="3:3" x14ac:dyDescent="0.25">
      <c r="C2563" s="55"/>
    </row>
    <row r="2564" spans="3:3" x14ac:dyDescent="0.25">
      <c r="C2564" s="55"/>
    </row>
    <row r="2565" spans="3:3" x14ac:dyDescent="0.25">
      <c r="C2565" s="55"/>
    </row>
    <row r="2566" spans="3:3" x14ac:dyDescent="0.25">
      <c r="C2566" s="55"/>
    </row>
    <row r="2567" spans="3:3" x14ac:dyDescent="0.25">
      <c r="C2567" s="55"/>
    </row>
    <row r="2568" spans="3:3" x14ac:dyDescent="0.25">
      <c r="C2568" s="55"/>
    </row>
    <row r="2569" spans="3:3" x14ac:dyDescent="0.25">
      <c r="C2569" s="55"/>
    </row>
    <row r="2570" spans="3:3" x14ac:dyDescent="0.25">
      <c r="C2570" s="55"/>
    </row>
    <row r="2571" spans="3:3" x14ac:dyDescent="0.25">
      <c r="C2571" s="55"/>
    </row>
    <row r="2572" spans="3:3" x14ac:dyDescent="0.25">
      <c r="C2572" s="55"/>
    </row>
    <row r="2573" spans="3:3" x14ac:dyDescent="0.25">
      <c r="C2573" s="55"/>
    </row>
    <row r="2574" spans="3:3" x14ac:dyDescent="0.25">
      <c r="C2574" s="55"/>
    </row>
    <row r="2575" spans="3:3" x14ac:dyDescent="0.25">
      <c r="C2575" s="55"/>
    </row>
    <row r="2576" spans="3:3" x14ac:dyDescent="0.25">
      <c r="C2576" s="55"/>
    </row>
    <row r="2577" spans="3:3" x14ac:dyDescent="0.25">
      <c r="C2577" s="55"/>
    </row>
    <row r="2578" spans="3:3" x14ac:dyDescent="0.25">
      <c r="C2578" s="55"/>
    </row>
    <row r="2579" spans="3:3" x14ac:dyDescent="0.25">
      <c r="C2579" s="55"/>
    </row>
    <row r="2580" spans="3:3" x14ac:dyDescent="0.25">
      <c r="C2580" s="55"/>
    </row>
    <row r="2581" spans="3:3" x14ac:dyDescent="0.25">
      <c r="C2581" s="55"/>
    </row>
    <row r="2582" spans="3:3" x14ac:dyDescent="0.25">
      <c r="C2582" s="55"/>
    </row>
    <row r="2583" spans="3:3" x14ac:dyDescent="0.25">
      <c r="C2583" s="55"/>
    </row>
    <row r="2584" spans="3:3" x14ac:dyDescent="0.25">
      <c r="C2584" s="55"/>
    </row>
    <row r="2585" spans="3:3" x14ac:dyDescent="0.25">
      <c r="C2585" s="55"/>
    </row>
    <row r="2586" spans="3:3" x14ac:dyDescent="0.25">
      <c r="C2586" s="55"/>
    </row>
    <row r="2587" spans="3:3" x14ac:dyDescent="0.25">
      <c r="C2587" s="55"/>
    </row>
    <row r="2588" spans="3:3" x14ac:dyDescent="0.25">
      <c r="C2588" s="55"/>
    </row>
    <row r="2589" spans="3:3" x14ac:dyDescent="0.25">
      <c r="C2589" s="55"/>
    </row>
    <row r="2590" spans="3:3" x14ac:dyDescent="0.25">
      <c r="C2590" s="55"/>
    </row>
    <row r="2591" spans="3:3" x14ac:dyDescent="0.25">
      <c r="C2591" s="55"/>
    </row>
    <row r="2592" spans="3:3" x14ac:dyDescent="0.25">
      <c r="C2592" s="55"/>
    </row>
    <row r="2593" spans="3:3" x14ac:dyDescent="0.25">
      <c r="C2593" s="55"/>
    </row>
    <row r="2594" spans="3:3" x14ac:dyDescent="0.25">
      <c r="C2594" s="55"/>
    </row>
    <row r="2595" spans="3:3" x14ac:dyDescent="0.25">
      <c r="C2595" s="55"/>
    </row>
    <row r="2596" spans="3:3" x14ac:dyDescent="0.25">
      <c r="C2596" s="55"/>
    </row>
    <row r="2597" spans="3:3" x14ac:dyDescent="0.25">
      <c r="C2597" s="55"/>
    </row>
    <row r="2598" spans="3:3" x14ac:dyDescent="0.25">
      <c r="C2598" s="55"/>
    </row>
    <row r="2599" spans="3:3" x14ac:dyDescent="0.25">
      <c r="C2599" s="55"/>
    </row>
    <row r="2600" spans="3:3" x14ac:dyDescent="0.25">
      <c r="C2600" s="55"/>
    </row>
    <row r="2601" spans="3:3" x14ac:dyDescent="0.25">
      <c r="C2601" s="55"/>
    </row>
    <row r="2602" spans="3:3" x14ac:dyDescent="0.25">
      <c r="C2602" s="55"/>
    </row>
    <row r="2603" spans="3:3" x14ac:dyDescent="0.25">
      <c r="C2603" s="55"/>
    </row>
    <row r="2604" spans="3:3" x14ac:dyDescent="0.25">
      <c r="C2604" s="55"/>
    </row>
    <row r="2605" spans="3:3" x14ac:dyDescent="0.25">
      <c r="C2605" s="55"/>
    </row>
    <row r="2606" spans="3:3" x14ac:dyDescent="0.25">
      <c r="C2606" s="55"/>
    </row>
    <row r="2607" spans="3:3" x14ac:dyDescent="0.25">
      <c r="C2607" s="55"/>
    </row>
    <row r="2608" spans="3:3" x14ac:dyDescent="0.25">
      <c r="C2608" s="55"/>
    </row>
    <row r="2609" spans="3:3" x14ac:dyDescent="0.25">
      <c r="C2609" s="55"/>
    </row>
    <row r="2610" spans="3:3" x14ac:dyDescent="0.25">
      <c r="C2610" s="55"/>
    </row>
    <row r="2611" spans="3:3" x14ac:dyDescent="0.25">
      <c r="C2611" s="55"/>
    </row>
    <row r="2612" spans="3:3" x14ac:dyDescent="0.25">
      <c r="C2612" s="55"/>
    </row>
    <row r="2613" spans="3:3" x14ac:dyDescent="0.25">
      <c r="C2613" s="55"/>
    </row>
    <row r="2614" spans="3:3" x14ac:dyDescent="0.25">
      <c r="C2614" s="55"/>
    </row>
    <row r="2615" spans="3:3" x14ac:dyDescent="0.25">
      <c r="C2615" s="55"/>
    </row>
    <row r="2616" spans="3:3" x14ac:dyDescent="0.25">
      <c r="C2616" s="55"/>
    </row>
    <row r="2617" spans="3:3" x14ac:dyDescent="0.25">
      <c r="C2617" s="55"/>
    </row>
    <row r="2618" spans="3:3" x14ac:dyDescent="0.25">
      <c r="C2618" s="55"/>
    </row>
    <row r="2619" spans="3:3" x14ac:dyDescent="0.25">
      <c r="C2619" s="55"/>
    </row>
    <row r="2620" spans="3:3" x14ac:dyDescent="0.25">
      <c r="C2620" s="55"/>
    </row>
    <row r="2621" spans="3:3" x14ac:dyDescent="0.25">
      <c r="C2621" s="55"/>
    </row>
    <row r="2622" spans="3:3" x14ac:dyDescent="0.25">
      <c r="C2622" s="55"/>
    </row>
    <row r="2623" spans="3:3" x14ac:dyDescent="0.25">
      <c r="C2623" s="55"/>
    </row>
    <row r="2624" spans="3:3" x14ac:dyDescent="0.25">
      <c r="C2624" s="55"/>
    </row>
    <row r="2625" spans="3:3" x14ac:dyDescent="0.25">
      <c r="C2625" s="55"/>
    </row>
    <row r="2626" spans="3:3" x14ac:dyDescent="0.25">
      <c r="C2626" s="55"/>
    </row>
    <row r="2627" spans="3:3" x14ac:dyDescent="0.25">
      <c r="C2627" s="55"/>
    </row>
    <row r="2628" spans="3:3" x14ac:dyDescent="0.25">
      <c r="C2628" s="55"/>
    </row>
    <row r="2629" spans="3:3" x14ac:dyDescent="0.25">
      <c r="C2629" s="55"/>
    </row>
    <row r="2630" spans="3:3" x14ac:dyDescent="0.25">
      <c r="C2630" s="55"/>
    </row>
    <row r="2631" spans="3:3" x14ac:dyDescent="0.25">
      <c r="C2631" s="55"/>
    </row>
    <row r="2632" spans="3:3" x14ac:dyDescent="0.25">
      <c r="C2632" s="55"/>
    </row>
    <row r="2633" spans="3:3" x14ac:dyDescent="0.25">
      <c r="C2633" s="55"/>
    </row>
    <row r="2634" spans="3:3" x14ac:dyDescent="0.25">
      <c r="C2634" s="55"/>
    </row>
    <row r="2635" spans="3:3" x14ac:dyDescent="0.25">
      <c r="C2635" s="55"/>
    </row>
    <row r="2636" spans="3:3" x14ac:dyDescent="0.25">
      <c r="C2636" s="55"/>
    </row>
    <row r="2637" spans="3:3" x14ac:dyDescent="0.25">
      <c r="C2637" s="55"/>
    </row>
    <row r="2638" spans="3:3" x14ac:dyDescent="0.25">
      <c r="C2638" s="55"/>
    </row>
    <row r="2639" spans="3:3" x14ac:dyDescent="0.25">
      <c r="C2639" s="55"/>
    </row>
    <row r="2640" spans="3:3" x14ac:dyDescent="0.25">
      <c r="C2640" s="55"/>
    </row>
    <row r="2641" spans="3:3" x14ac:dyDescent="0.25">
      <c r="C2641" s="55"/>
    </row>
    <row r="2642" spans="3:3" x14ac:dyDescent="0.25">
      <c r="C2642" s="55"/>
    </row>
    <row r="2643" spans="3:3" x14ac:dyDescent="0.25">
      <c r="C2643" s="55"/>
    </row>
    <row r="2644" spans="3:3" x14ac:dyDescent="0.25">
      <c r="C2644" s="55"/>
    </row>
    <row r="2645" spans="3:3" x14ac:dyDescent="0.25">
      <c r="C2645" s="55"/>
    </row>
    <row r="2646" spans="3:3" x14ac:dyDescent="0.25">
      <c r="C2646" s="55"/>
    </row>
    <row r="2647" spans="3:3" x14ac:dyDescent="0.25">
      <c r="C2647" s="55"/>
    </row>
    <row r="2648" spans="3:3" x14ac:dyDescent="0.25">
      <c r="C2648" s="55"/>
    </row>
    <row r="2649" spans="3:3" x14ac:dyDescent="0.25">
      <c r="C2649" s="55"/>
    </row>
    <row r="2650" spans="3:3" x14ac:dyDescent="0.25">
      <c r="C2650" s="55"/>
    </row>
    <row r="2651" spans="3:3" x14ac:dyDescent="0.25">
      <c r="C2651" s="55"/>
    </row>
    <row r="2652" spans="3:3" x14ac:dyDescent="0.25">
      <c r="C2652" s="55"/>
    </row>
    <row r="2653" spans="3:3" x14ac:dyDescent="0.25">
      <c r="C2653" s="55"/>
    </row>
    <row r="2654" spans="3:3" x14ac:dyDescent="0.25">
      <c r="C2654" s="55"/>
    </row>
    <row r="2655" spans="3:3" x14ac:dyDescent="0.25">
      <c r="C2655" s="55"/>
    </row>
    <row r="2656" spans="3:3" x14ac:dyDescent="0.25">
      <c r="C2656" s="55"/>
    </row>
    <row r="2657" spans="3:3" x14ac:dyDescent="0.25">
      <c r="C2657" s="55"/>
    </row>
    <row r="2658" spans="3:3" x14ac:dyDescent="0.25">
      <c r="C2658" s="55"/>
    </row>
    <row r="2659" spans="3:3" x14ac:dyDescent="0.25">
      <c r="C2659" s="55"/>
    </row>
    <row r="2660" spans="3:3" x14ac:dyDescent="0.25">
      <c r="C2660" s="55"/>
    </row>
    <row r="2661" spans="3:3" x14ac:dyDescent="0.25">
      <c r="C2661" s="55"/>
    </row>
    <row r="2662" spans="3:3" x14ac:dyDescent="0.25">
      <c r="C2662" s="55"/>
    </row>
    <row r="2663" spans="3:3" x14ac:dyDescent="0.25">
      <c r="C2663" s="55"/>
    </row>
    <row r="2664" spans="3:3" x14ac:dyDescent="0.25">
      <c r="C2664" s="55"/>
    </row>
    <row r="2665" spans="3:3" x14ac:dyDescent="0.25">
      <c r="C2665" s="55"/>
    </row>
    <row r="2666" spans="3:3" x14ac:dyDescent="0.25">
      <c r="C2666" s="55"/>
    </row>
    <row r="2667" spans="3:3" x14ac:dyDescent="0.25">
      <c r="C2667" s="55"/>
    </row>
    <row r="2668" spans="3:3" x14ac:dyDescent="0.25">
      <c r="C2668" s="55"/>
    </row>
    <row r="2669" spans="3:3" x14ac:dyDescent="0.25">
      <c r="C2669" s="55"/>
    </row>
    <row r="2670" spans="3:3" x14ac:dyDescent="0.25">
      <c r="C2670" s="55"/>
    </row>
    <row r="2671" spans="3:3" x14ac:dyDescent="0.25">
      <c r="C2671" s="55"/>
    </row>
    <row r="2672" spans="3:3" x14ac:dyDescent="0.25">
      <c r="C2672" s="55"/>
    </row>
    <row r="2673" spans="3:3" x14ac:dyDescent="0.25">
      <c r="C2673" s="55"/>
    </row>
    <row r="2674" spans="3:3" x14ac:dyDescent="0.25">
      <c r="C2674" s="55"/>
    </row>
    <row r="2675" spans="3:3" x14ac:dyDescent="0.25">
      <c r="C2675" s="55"/>
    </row>
    <row r="2676" spans="3:3" x14ac:dyDescent="0.25">
      <c r="C2676" s="55"/>
    </row>
    <row r="2677" spans="3:3" x14ac:dyDescent="0.25">
      <c r="C2677" s="55"/>
    </row>
    <row r="2678" spans="3:3" x14ac:dyDescent="0.25">
      <c r="C2678" s="55"/>
    </row>
    <row r="2679" spans="3:3" x14ac:dyDescent="0.25">
      <c r="C2679" s="55"/>
    </row>
    <row r="2680" spans="3:3" x14ac:dyDescent="0.25">
      <c r="C2680" s="55"/>
    </row>
    <row r="2681" spans="3:3" x14ac:dyDescent="0.25">
      <c r="C2681" s="55"/>
    </row>
    <row r="2682" spans="3:3" x14ac:dyDescent="0.25">
      <c r="C2682" s="55"/>
    </row>
    <row r="2683" spans="3:3" x14ac:dyDescent="0.25">
      <c r="C2683" s="55"/>
    </row>
    <row r="2684" spans="3:3" x14ac:dyDescent="0.25">
      <c r="C2684" s="55"/>
    </row>
    <row r="2685" spans="3:3" x14ac:dyDescent="0.25">
      <c r="C2685" s="55"/>
    </row>
    <row r="2686" spans="3:3" x14ac:dyDescent="0.25">
      <c r="C2686" s="55"/>
    </row>
    <row r="2687" spans="3:3" x14ac:dyDescent="0.25">
      <c r="C2687" s="55"/>
    </row>
    <row r="2688" spans="3:3" x14ac:dyDescent="0.25">
      <c r="C2688" s="55"/>
    </row>
    <row r="2689" spans="3:3" x14ac:dyDescent="0.25">
      <c r="C2689" s="55"/>
    </row>
    <row r="2690" spans="3:3" x14ac:dyDescent="0.25">
      <c r="C2690" s="55"/>
    </row>
    <row r="2691" spans="3:3" x14ac:dyDescent="0.25">
      <c r="C2691" s="55"/>
    </row>
    <row r="2692" spans="3:3" x14ac:dyDescent="0.25">
      <c r="C2692" s="55"/>
    </row>
    <row r="2693" spans="3:3" x14ac:dyDescent="0.25">
      <c r="C2693" s="55"/>
    </row>
    <row r="2694" spans="3:3" x14ac:dyDescent="0.25">
      <c r="C2694" s="55"/>
    </row>
    <row r="2695" spans="3:3" x14ac:dyDescent="0.25">
      <c r="C2695" s="55"/>
    </row>
    <row r="2696" spans="3:3" x14ac:dyDescent="0.25">
      <c r="C2696" s="55"/>
    </row>
    <row r="2697" spans="3:3" x14ac:dyDescent="0.25">
      <c r="C2697" s="55"/>
    </row>
    <row r="2698" spans="3:3" x14ac:dyDescent="0.25">
      <c r="C2698" s="55"/>
    </row>
    <row r="2699" spans="3:3" x14ac:dyDescent="0.25">
      <c r="C2699" s="55"/>
    </row>
    <row r="2700" spans="3:3" x14ac:dyDescent="0.25">
      <c r="C2700" s="55"/>
    </row>
    <row r="2701" spans="3:3" x14ac:dyDescent="0.25">
      <c r="C2701" s="55"/>
    </row>
    <row r="2702" spans="3:3" x14ac:dyDescent="0.25">
      <c r="C2702" s="55"/>
    </row>
    <row r="2703" spans="3:3" x14ac:dyDescent="0.25">
      <c r="C2703" s="55"/>
    </row>
    <row r="2704" spans="3:3" x14ac:dyDescent="0.25">
      <c r="C2704" s="55"/>
    </row>
    <row r="2705" spans="3:3" x14ac:dyDescent="0.25">
      <c r="C2705" s="55"/>
    </row>
    <row r="2706" spans="3:3" x14ac:dyDescent="0.25">
      <c r="C2706" s="55"/>
    </row>
    <row r="2707" spans="3:3" x14ac:dyDescent="0.25">
      <c r="C2707" s="55"/>
    </row>
    <row r="2708" spans="3:3" x14ac:dyDescent="0.25">
      <c r="C2708" s="55"/>
    </row>
    <row r="2709" spans="3:3" x14ac:dyDescent="0.25">
      <c r="C2709" s="55"/>
    </row>
    <row r="2710" spans="3:3" x14ac:dyDescent="0.25">
      <c r="C2710" s="55"/>
    </row>
    <row r="2711" spans="3:3" x14ac:dyDescent="0.25">
      <c r="C2711" s="55"/>
    </row>
    <row r="2712" spans="3:3" x14ac:dyDescent="0.25">
      <c r="C2712" s="55"/>
    </row>
    <row r="2713" spans="3:3" x14ac:dyDescent="0.25">
      <c r="C2713" s="55"/>
    </row>
    <row r="2714" spans="3:3" x14ac:dyDescent="0.25">
      <c r="C2714" s="55"/>
    </row>
    <row r="2715" spans="3:3" x14ac:dyDescent="0.25">
      <c r="C2715" s="55"/>
    </row>
    <row r="2716" spans="3:3" x14ac:dyDescent="0.25">
      <c r="C2716" s="55"/>
    </row>
    <row r="2717" spans="3:3" x14ac:dyDescent="0.25">
      <c r="C2717" s="55"/>
    </row>
    <row r="2718" spans="3:3" x14ac:dyDescent="0.25">
      <c r="C2718" s="55"/>
    </row>
    <row r="2719" spans="3:3" x14ac:dyDescent="0.25">
      <c r="C2719" s="55"/>
    </row>
    <row r="2720" spans="3:3" x14ac:dyDescent="0.25">
      <c r="C2720" s="55"/>
    </row>
    <row r="2721" spans="3:3" x14ac:dyDescent="0.25">
      <c r="C2721" s="55"/>
    </row>
    <row r="2722" spans="3:3" x14ac:dyDescent="0.25">
      <c r="C2722" s="55"/>
    </row>
    <row r="2723" spans="3:3" x14ac:dyDescent="0.25">
      <c r="C2723" s="55"/>
    </row>
    <row r="2724" spans="3:3" x14ac:dyDescent="0.25">
      <c r="C2724" s="55"/>
    </row>
    <row r="2725" spans="3:3" x14ac:dyDescent="0.25">
      <c r="C2725" s="55"/>
    </row>
    <row r="2726" spans="3:3" x14ac:dyDescent="0.25">
      <c r="C2726" s="55"/>
    </row>
    <row r="2727" spans="3:3" x14ac:dyDescent="0.25">
      <c r="C2727" s="55"/>
    </row>
    <row r="2728" spans="3:3" x14ac:dyDescent="0.25">
      <c r="C2728" s="55"/>
    </row>
    <row r="2729" spans="3:3" x14ac:dyDescent="0.25">
      <c r="C2729" s="55"/>
    </row>
    <row r="2730" spans="3:3" x14ac:dyDescent="0.25">
      <c r="C2730" s="55"/>
    </row>
    <row r="2731" spans="3:3" x14ac:dyDescent="0.25">
      <c r="C2731" s="55"/>
    </row>
    <row r="2732" spans="3:3" x14ac:dyDescent="0.25">
      <c r="C2732" s="55"/>
    </row>
    <row r="2733" spans="3:3" x14ac:dyDescent="0.25">
      <c r="C2733" s="55"/>
    </row>
    <row r="2734" spans="3:3" x14ac:dyDescent="0.25">
      <c r="C2734" s="55"/>
    </row>
    <row r="2735" spans="3:3" x14ac:dyDescent="0.25">
      <c r="C2735" s="55"/>
    </row>
    <row r="2736" spans="3:3" x14ac:dyDescent="0.25">
      <c r="C2736" s="55"/>
    </row>
    <row r="2737" spans="3:3" x14ac:dyDescent="0.25">
      <c r="C2737" s="55"/>
    </row>
    <row r="2738" spans="3:3" x14ac:dyDescent="0.25">
      <c r="C2738" s="55"/>
    </row>
    <row r="2739" spans="3:3" x14ac:dyDescent="0.25">
      <c r="C2739" s="55"/>
    </row>
    <row r="2740" spans="3:3" x14ac:dyDescent="0.25">
      <c r="C2740" s="55"/>
    </row>
    <row r="2741" spans="3:3" x14ac:dyDescent="0.25">
      <c r="C2741" s="55"/>
    </row>
    <row r="2742" spans="3:3" x14ac:dyDescent="0.25">
      <c r="C2742" s="55"/>
    </row>
    <row r="2743" spans="3:3" x14ac:dyDescent="0.25">
      <c r="C2743" s="55"/>
    </row>
    <row r="2744" spans="3:3" x14ac:dyDescent="0.25">
      <c r="C2744" s="55"/>
    </row>
    <row r="2745" spans="3:3" x14ac:dyDescent="0.25">
      <c r="C2745" s="55"/>
    </row>
    <row r="2746" spans="3:3" x14ac:dyDescent="0.25">
      <c r="C2746" s="55"/>
    </row>
    <row r="2747" spans="3:3" x14ac:dyDescent="0.25">
      <c r="C2747" s="55"/>
    </row>
    <row r="2748" spans="3:3" x14ac:dyDescent="0.25">
      <c r="C2748" s="55"/>
    </row>
    <row r="2749" spans="3:3" x14ac:dyDescent="0.25">
      <c r="C2749" s="55"/>
    </row>
    <row r="2750" spans="3:3" x14ac:dyDescent="0.25">
      <c r="C2750" s="55"/>
    </row>
    <row r="2751" spans="3:3" x14ac:dyDescent="0.25">
      <c r="C2751" s="55"/>
    </row>
    <row r="2752" spans="3:3" x14ac:dyDescent="0.25">
      <c r="C2752" s="55"/>
    </row>
    <row r="2753" spans="3:3" x14ac:dyDescent="0.25">
      <c r="C2753" s="55"/>
    </row>
    <row r="2754" spans="3:3" x14ac:dyDescent="0.25">
      <c r="C2754" s="55"/>
    </row>
    <row r="2755" spans="3:3" x14ac:dyDescent="0.25">
      <c r="C2755" s="55"/>
    </row>
    <row r="2756" spans="3:3" x14ac:dyDescent="0.25">
      <c r="C2756" s="55"/>
    </row>
    <row r="2757" spans="3:3" x14ac:dyDescent="0.25">
      <c r="C2757" s="55"/>
    </row>
    <row r="2758" spans="3:3" x14ac:dyDescent="0.25">
      <c r="C2758" s="55"/>
    </row>
    <row r="2759" spans="3:3" x14ac:dyDescent="0.25">
      <c r="C2759" s="55"/>
    </row>
    <row r="2760" spans="3:3" x14ac:dyDescent="0.25">
      <c r="C2760" s="55"/>
    </row>
    <row r="2761" spans="3:3" x14ac:dyDescent="0.25">
      <c r="C2761" s="55"/>
    </row>
    <row r="2762" spans="3:3" x14ac:dyDescent="0.25">
      <c r="C2762" s="55"/>
    </row>
    <row r="2763" spans="3:3" x14ac:dyDescent="0.25">
      <c r="C2763" s="55"/>
    </row>
    <row r="2764" spans="3:3" x14ac:dyDescent="0.25">
      <c r="C2764" s="55"/>
    </row>
    <row r="2765" spans="3:3" x14ac:dyDescent="0.25">
      <c r="C2765" s="55"/>
    </row>
    <row r="2766" spans="3:3" x14ac:dyDescent="0.25">
      <c r="C2766" s="55"/>
    </row>
    <row r="2767" spans="3:3" x14ac:dyDescent="0.25">
      <c r="C2767" s="55"/>
    </row>
    <row r="2768" spans="3:3" x14ac:dyDescent="0.25">
      <c r="C2768" s="55"/>
    </row>
    <row r="2769" spans="3:3" x14ac:dyDescent="0.25">
      <c r="C2769" s="55"/>
    </row>
    <row r="2770" spans="3:3" x14ac:dyDescent="0.25">
      <c r="C2770" s="55"/>
    </row>
    <row r="2771" spans="3:3" x14ac:dyDescent="0.25">
      <c r="C2771" s="55"/>
    </row>
    <row r="2772" spans="3:3" x14ac:dyDescent="0.25">
      <c r="C2772" s="55"/>
    </row>
    <row r="2773" spans="3:3" x14ac:dyDescent="0.25">
      <c r="C2773" s="55"/>
    </row>
    <row r="2774" spans="3:3" x14ac:dyDescent="0.25">
      <c r="C2774" s="55"/>
    </row>
    <row r="2775" spans="3:3" x14ac:dyDescent="0.25">
      <c r="C2775" s="55"/>
    </row>
    <row r="2776" spans="3:3" x14ac:dyDescent="0.25">
      <c r="C2776" s="55"/>
    </row>
    <row r="2777" spans="3:3" x14ac:dyDescent="0.25">
      <c r="C2777" s="55"/>
    </row>
    <row r="2778" spans="3:3" x14ac:dyDescent="0.25">
      <c r="C2778" s="55"/>
    </row>
    <row r="2779" spans="3:3" x14ac:dyDescent="0.25">
      <c r="C2779" s="55"/>
    </row>
    <row r="2780" spans="3:3" x14ac:dyDescent="0.25">
      <c r="C2780" s="55"/>
    </row>
    <row r="2781" spans="3:3" x14ac:dyDescent="0.25">
      <c r="C2781" s="55"/>
    </row>
    <row r="2782" spans="3:3" x14ac:dyDescent="0.25">
      <c r="C2782" s="55"/>
    </row>
    <row r="2783" spans="3:3" x14ac:dyDescent="0.25">
      <c r="C2783" s="55"/>
    </row>
    <row r="2784" spans="3:3" x14ac:dyDescent="0.25">
      <c r="C2784" s="55"/>
    </row>
    <row r="2785" spans="3:3" x14ac:dyDescent="0.25">
      <c r="C2785" s="55"/>
    </row>
    <row r="2786" spans="3:3" x14ac:dyDescent="0.25">
      <c r="C2786" s="55"/>
    </row>
    <row r="2787" spans="3:3" x14ac:dyDescent="0.25">
      <c r="C2787" s="55"/>
    </row>
    <row r="2788" spans="3:3" x14ac:dyDescent="0.25">
      <c r="C2788" s="55"/>
    </row>
    <row r="2789" spans="3:3" x14ac:dyDescent="0.25">
      <c r="C2789" s="55"/>
    </row>
    <row r="2790" spans="3:3" x14ac:dyDescent="0.25">
      <c r="C2790" s="55"/>
    </row>
    <row r="2791" spans="3:3" x14ac:dyDescent="0.25">
      <c r="C2791" s="55"/>
    </row>
    <row r="2792" spans="3:3" x14ac:dyDescent="0.25">
      <c r="C2792" s="55"/>
    </row>
    <row r="2793" spans="3:3" x14ac:dyDescent="0.25">
      <c r="C2793" s="55"/>
    </row>
    <row r="2794" spans="3:3" x14ac:dyDescent="0.25">
      <c r="C2794" s="55"/>
    </row>
    <row r="2795" spans="3:3" x14ac:dyDescent="0.25">
      <c r="C2795" s="55"/>
    </row>
    <row r="2796" spans="3:3" x14ac:dyDescent="0.25">
      <c r="C2796" s="55"/>
    </row>
    <row r="2797" spans="3:3" x14ac:dyDescent="0.25">
      <c r="C2797" s="55"/>
    </row>
    <row r="2798" spans="3:3" x14ac:dyDescent="0.25">
      <c r="C2798" s="55"/>
    </row>
    <row r="2799" spans="3:3" x14ac:dyDescent="0.25">
      <c r="C2799" s="55"/>
    </row>
    <row r="2800" spans="3:3" x14ac:dyDescent="0.25">
      <c r="C2800" s="55"/>
    </row>
    <row r="2801" spans="3:3" x14ac:dyDescent="0.25">
      <c r="C2801" s="55"/>
    </row>
    <row r="2802" spans="3:3" x14ac:dyDescent="0.25">
      <c r="C2802" s="55"/>
    </row>
    <row r="2803" spans="3:3" x14ac:dyDescent="0.25">
      <c r="C2803" s="55"/>
    </row>
    <row r="2804" spans="3:3" x14ac:dyDescent="0.25">
      <c r="C2804" s="55"/>
    </row>
    <row r="2805" spans="3:3" x14ac:dyDescent="0.25">
      <c r="C2805" s="55"/>
    </row>
    <row r="2806" spans="3:3" x14ac:dyDescent="0.25">
      <c r="C2806" s="55"/>
    </row>
    <row r="2807" spans="3:3" x14ac:dyDescent="0.25">
      <c r="C2807" s="55"/>
    </row>
    <row r="2808" spans="3:3" x14ac:dyDescent="0.25">
      <c r="C2808" s="55"/>
    </row>
    <row r="2809" spans="3:3" x14ac:dyDescent="0.25">
      <c r="C2809" s="55"/>
    </row>
    <row r="2810" spans="3:3" x14ac:dyDescent="0.25">
      <c r="C2810" s="55"/>
    </row>
    <row r="2811" spans="3:3" x14ac:dyDescent="0.25">
      <c r="C2811" s="55"/>
    </row>
    <row r="2812" spans="3:3" x14ac:dyDescent="0.25">
      <c r="C2812" s="55"/>
    </row>
    <row r="2813" spans="3:3" x14ac:dyDescent="0.25">
      <c r="C2813" s="55"/>
    </row>
    <row r="2814" spans="3:3" x14ac:dyDescent="0.25">
      <c r="C2814" s="55"/>
    </row>
    <row r="2815" spans="3:3" x14ac:dyDescent="0.25">
      <c r="C2815" s="55"/>
    </row>
    <row r="2816" spans="3:3" x14ac:dyDescent="0.25">
      <c r="C2816" s="55"/>
    </row>
    <row r="2817" spans="3:3" x14ac:dyDescent="0.25">
      <c r="C2817" s="55"/>
    </row>
    <row r="2818" spans="3:3" x14ac:dyDescent="0.25">
      <c r="C2818" s="55"/>
    </row>
    <row r="2819" spans="3:3" x14ac:dyDescent="0.25">
      <c r="C2819" s="55"/>
    </row>
    <row r="2820" spans="3:3" x14ac:dyDescent="0.25">
      <c r="C2820" s="55"/>
    </row>
    <row r="2821" spans="3:3" x14ac:dyDescent="0.25">
      <c r="C2821" s="55"/>
    </row>
    <row r="2822" spans="3:3" x14ac:dyDescent="0.25">
      <c r="C2822" s="55"/>
    </row>
    <row r="2823" spans="3:3" x14ac:dyDescent="0.25">
      <c r="C2823" s="55"/>
    </row>
    <row r="2824" spans="3:3" x14ac:dyDescent="0.25">
      <c r="C2824" s="55"/>
    </row>
    <row r="2825" spans="3:3" x14ac:dyDescent="0.25">
      <c r="C2825" s="55"/>
    </row>
    <row r="2826" spans="3:3" x14ac:dyDescent="0.25">
      <c r="C2826" s="55"/>
    </row>
    <row r="2827" spans="3:3" x14ac:dyDescent="0.25">
      <c r="C2827" s="55"/>
    </row>
    <row r="2828" spans="3:3" x14ac:dyDescent="0.25">
      <c r="C2828" s="55"/>
    </row>
    <row r="2829" spans="3:3" x14ac:dyDescent="0.25">
      <c r="C2829" s="55"/>
    </row>
    <row r="2830" spans="3:3" x14ac:dyDescent="0.25">
      <c r="C2830" s="55"/>
    </row>
    <row r="2831" spans="3:3" x14ac:dyDescent="0.25">
      <c r="C2831" s="55"/>
    </row>
    <row r="2832" spans="3:3" x14ac:dyDescent="0.25">
      <c r="C2832" s="55"/>
    </row>
    <row r="2833" spans="3:3" x14ac:dyDescent="0.25">
      <c r="C2833" s="55"/>
    </row>
    <row r="2834" spans="3:3" x14ac:dyDescent="0.25">
      <c r="C2834" s="55"/>
    </row>
    <row r="2835" spans="3:3" x14ac:dyDescent="0.25">
      <c r="C2835" s="55"/>
    </row>
    <row r="2836" spans="3:3" x14ac:dyDescent="0.25">
      <c r="C2836" s="55"/>
    </row>
    <row r="2837" spans="3:3" x14ac:dyDescent="0.25">
      <c r="C2837" s="55"/>
    </row>
    <row r="2838" spans="3:3" x14ac:dyDescent="0.25">
      <c r="C2838" s="55"/>
    </row>
    <row r="2839" spans="3:3" x14ac:dyDescent="0.25">
      <c r="C2839" s="55"/>
    </row>
    <row r="2840" spans="3:3" x14ac:dyDescent="0.25">
      <c r="C2840" s="55"/>
    </row>
    <row r="2841" spans="3:3" x14ac:dyDescent="0.25">
      <c r="C2841" s="55"/>
    </row>
    <row r="2842" spans="3:3" x14ac:dyDescent="0.25">
      <c r="C2842" s="55"/>
    </row>
    <row r="2843" spans="3:3" x14ac:dyDescent="0.25">
      <c r="C2843" s="55"/>
    </row>
    <row r="2844" spans="3:3" x14ac:dyDescent="0.25">
      <c r="C2844" s="55"/>
    </row>
    <row r="2845" spans="3:3" x14ac:dyDescent="0.25">
      <c r="C2845" s="55"/>
    </row>
    <row r="2846" spans="3:3" x14ac:dyDescent="0.25">
      <c r="C2846" s="55"/>
    </row>
    <row r="2847" spans="3:3" x14ac:dyDescent="0.25">
      <c r="C2847" s="55"/>
    </row>
    <row r="2848" spans="3:3" x14ac:dyDescent="0.25">
      <c r="C2848" s="55"/>
    </row>
    <row r="2849" spans="3:3" x14ac:dyDescent="0.25">
      <c r="C2849" s="55"/>
    </row>
    <row r="2850" spans="3:3" x14ac:dyDescent="0.25">
      <c r="C2850" s="55"/>
    </row>
    <row r="2851" spans="3:3" x14ac:dyDescent="0.25">
      <c r="C2851" s="55"/>
    </row>
    <row r="2852" spans="3:3" x14ac:dyDescent="0.25">
      <c r="C2852" s="55"/>
    </row>
    <row r="2853" spans="3:3" x14ac:dyDescent="0.25">
      <c r="C2853" s="55"/>
    </row>
    <row r="2854" spans="3:3" x14ac:dyDescent="0.25">
      <c r="C2854" s="55"/>
    </row>
    <row r="2855" spans="3:3" x14ac:dyDescent="0.25">
      <c r="C2855" s="55"/>
    </row>
    <row r="2856" spans="3:3" x14ac:dyDescent="0.25">
      <c r="C2856" s="55"/>
    </row>
    <row r="2857" spans="3:3" x14ac:dyDescent="0.25">
      <c r="C2857" s="55"/>
    </row>
    <row r="2858" spans="3:3" x14ac:dyDescent="0.25">
      <c r="C2858" s="55"/>
    </row>
    <row r="2859" spans="3:3" x14ac:dyDescent="0.25">
      <c r="C2859" s="55"/>
    </row>
    <row r="2860" spans="3:3" x14ac:dyDescent="0.25">
      <c r="C2860" s="55"/>
    </row>
    <row r="2861" spans="3:3" x14ac:dyDescent="0.25">
      <c r="C2861" s="55"/>
    </row>
    <row r="2862" spans="3:3" x14ac:dyDescent="0.25">
      <c r="C2862" s="55"/>
    </row>
    <row r="2863" spans="3:3" x14ac:dyDescent="0.25">
      <c r="C2863" s="55"/>
    </row>
    <row r="2864" spans="3:3" x14ac:dyDescent="0.25">
      <c r="C2864" s="55"/>
    </row>
    <row r="2865" spans="3:3" x14ac:dyDescent="0.25">
      <c r="C2865" s="55"/>
    </row>
    <row r="2866" spans="3:3" x14ac:dyDescent="0.25">
      <c r="C2866" s="55"/>
    </row>
    <row r="2867" spans="3:3" x14ac:dyDescent="0.25">
      <c r="C2867" s="55"/>
    </row>
    <row r="2868" spans="3:3" x14ac:dyDescent="0.25">
      <c r="C2868" s="55"/>
    </row>
    <row r="2869" spans="3:3" x14ac:dyDescent="0.25">
      <c r="C2869" s="55"/>
    </row>
    <row r="2870" spans="3:3" x14ac:dyDescent="0.25">
      <c r="C2870" s="55"/>
    </row>
    <row r="2871" spans="3:3" x14ac:dyDescent="0.25">
      <c r="C2871" s="55"/>
    </row>
    <row r="2872" spans="3:3" x14ac:dyDescent="0.25">
      <c r="C2872" s="55"/>
    </row>
    <row r="2873" spans="3:3" x14ac:dyDescent="0.25">
      <c r="C2873" s="55"/>
    </row>
    <row r="2874" spans="3:3" x14ac:dyDescent="0.25">
      <c r="C2874" s="55"/>
    </row>
    <row r="2875" spans="3:3" x14ac:dyDescent="0.25">
      <c r="C2875" s="55"/>
    </row>
    <row r="2876" spans="3:3" x14ac:dyDescent="0.25">
      <c r="C2876" s="55"/>
    </row>
    <row r="2877" spans="3:3" x14ac:dyDescent="0.25">
      <c r="C2877" s="55"/>
    </row>
    <row r="2878" spans="3:3" x14ac:dyDescent="0.25">
      <c r="C2878" s="55"/>
    </row>
    <row r="2879" spans="3:3" x14ac:dyDescent="0.25">
      <c r="C2879" s="55"/>
    </row>
    <row r="2880" spans="3:3" x14ac:dyDescent="0.25">
      <c r="C2880" s="55"/>
    </row>
    <row r="2881" spans="3:3" x14ac:dyDescent="0.25">
      <c r="C2881" s="55"/>
    </row>
    <row r="2882" spans="3:3" x14ac:dyDescent="0.25">
      <c r="C2882" s="55"/>
    </row>
    <row r="2883" spans="3:3" x14ac:dyDescent="0.25">
      <c r="C2883" s="55"/>
    </row>
    <row r="2884" spans="3:3" x14ac:dyDescent="0.25">
      <c r="C2884" s="55"/>
    </row>
    <row r="2885" spans="3:3" x14ac:dyDescent="0.25">
      <c r="C2885" s="55"/>
    </row>
    <row r="2886" spans="3:3" x14ac:dyDescent="0.25">
      <c r="C2886" s="55"/>
    </row>
    <row r="2887" spans="3:3" x14ac:dyDescent="0.25">
      <c r="C2887" s="55"/>
    </row>
    <row r="2888" spans="3:3" x14ac:dyDescent="0.25">
      <c r="C2888" s="55"/>
    </row>
    <row r="2889" spans="3:3" x14ac:dyDescent="0.25">
      <c r="C2889" s="55"/>
    </row>
    <row r="2890" spans="3:3" x14ac:dyDescent="0.25">
      <c r="C2890" s="55"/>
    </row>
    <row r="2891" spans="3:3" x14ac:dyDescent="0.25">
      <c r="C2891" s="55"/>
    </row>
    <row r="2892" spans="3:3" x14ac:dyDescent="0.25">
      <c r="C2892" s="55"/>
    </row>
    <row r="2893" spans="3:3" x14ac:dyDescent="0.25">
      <c r="C2893" s="55"/>
    </row>
    <row r="2894" spans="3:3" x14ac:dyDescent="0.25">
      <c r="C2894" s="55"/>
    </row>
    <row r="3168" spans="3:3" x14ac:dyDescent="0.25">
      <c r="C3168" s="55"/>
    </row>
    <row r="3169" spans="3:3" x14ac:dyDescent="0.25">
      <c r="C3169" s="55"/>
    </row>
    <row r="3170" spans="3:3" x14ac:dyDescent="0.25">
      <c r="C3170" s="55"/>
    </row>
    <row r="3171" spans="3:3" x14ac:dyDescent="0.25">
      <c r="C3171" s="55"/>
    </row>
    <row r="3172" spans="3:3" x14ac:dyDescent="0.25">
      <c r="C3172" s="55"/>
    </row>
    <row r="3173" spans="3:3" x14ac:dyDescent="0.25">
      <c r="C3173" s="55"/>
    </row>
    <row r="3174" spans="3:3" x14ac:dyDescent="0.25">
      <c r="C3174" s="55"/>
    </row>
    <row r="3175" spans="3:3" x14ac:dyDescent="0.25">
      <c r="C3175" s="55"/>
    </row>
    <row r="3176" spans="3:3" x14ac:dyDescent="0.25">
      <c r="C3176" s="55"/>
    </row>
    <row r="3177" spans="3:3" x14ac:dyDescent="0.25">
      <c r="C3177" s="55"/>
    </row>
    <row r="3178" spans="3:3" x14ac:dyDescent="0.25">
      <c r="C3178" s="55"/>
    </row>
    <row r="3179" spans="3:3" x14ac:dyDescent="0.25">
      <c r="C3179" s="55"/>
    </row>
    <row r="3180" spans="3:3" x14ac:dyDescent="0.25">
      <c r="C3180" s="55"/>
    </row>
    <row r="3181" spans="3:3" x14ac:dyDescent="0.25">
      <c r="C3181" s="55"/>
    </row>
    <row r="3182" spans="3:3" x14ac:dyDescent="0.25">
      <c r="C3182" s="55"/>
    </row>
    <row r="3183" spans="3:3" x14ac:dyDescent="0.25">
      <c r="C3183" s="55"/>
    </row>
    <row r="3184" spans="3:3" x14ac:dyDescent="0.25">
      <c r="C3184" s="55"/>
    </row>
    <row r="3185" spans="3:3" x14ac:dyDescent="0.25">
      <c r="C3185" s="55"/>
    </row>
    <row r="3186" spans="3:3" x14ac:dyDescent="0.25">
      <c r="C3186" s="55"/>
    </row>
    <row r="3187" spans="3:3" x14ac:dyDescent="0.25">
      <c r="C3187" s="55"/>
    </row>
    <row r="3188" spans="3:3" x14ac:dyDescent="0.25">
      <c r="C3188" s="55"/>
    </row>
    <row r="3189" spans="3:3" x14ac:dyDescent="0.25">
      <c r="C3189" s="55"/>
    </row>
    <row r="3190" spans="3:3" x14ac:dyDescent="0.25">
      <c r="C3190" s="55"/>
    </row>
    <row r="3191" spans="3:3" x14ac:dyDescent="0.25">
      <c r="C3191" s="55"/>
    </row>
    <row r="3192" spans="3:3" x14ac:dyDescent="0.25">
      <c r="C3192" s="55"/>
    </row>
    <row r="3193" spans="3:3" x14ac:dyDescent="0.25">
      <c r="C3193" s="55"/>
    </row>
    <row r="3194" spans="3:3" x14ac:dyDescent="0.25">
      <c r="C3194" s="55"/>
    </row>
    <row r="3195" spans="3:3" x14ac:dyDescent="0.25">
      <c r="C3195" s="55"/>
    </row>
    <row r="3196" spans="3:3" x14ac:dyDescent="0.25">
      <c r="C3196" s="55"/>
    </row>
    <row r="3197" spans="3:3" x14ac:dyDescent="0.25">
      <c r="C3197" s="55"/>
    </row>
    <row r="3198" spans="3:3" x14ac:dyDescent="0.25">
      <c r="C3198" s="55"/>
    </row>
    <row r="3199" spans="3:3" x14ac:dyDescent="0.25">
      <c r="C3199" s="55"/>
    </row>
    <row r="3200" spans="3:3" x14ac:dyDescent="0.25">
      <c r="C3200" s="55"/>
    </row>
    <row r="3201" spans="3:3" x14ac:dyDescent="0.25">
      <c r="C3201" s="55"/>
    </row>
    <row r="3202" spans="3:3" x14ac:dyDescent="0.25">
      <c r="C3202" s="55"/>
    </row>
    <row r="3203" spans="3:3" x14ac:dyDescent="0.25">
      <c r="C3203" s="55"/>
    </row>
    <row r="3204" spans="3:3" x14ac:dyDescent="0.25">
      <c r="C3204" s="55"/>
    </row>
    <row r="3205" spans="3:3" x14ac:dyDescent="0.25">
      <c r="C3205" s="55"/>
    </row>
    <row r="3206" spans="3:3" x14ac:dyDescent="0.25">
      <c r="C3206" s="55"/>
    </row>
    <row r="3207" spans="3:3" x14ac:dyDescent="0.25">
      <c r="C3207" s="55"/>
    </row>
    <row r="3208" spans="3:3" x14ac:dyDescent="0.25">
      <c r="C3208" s="55"/>
    </row>
    <row r="3209" spans="3:3" x14ac:dyDescent="0.25">
      <c r="C3209" s="55"/>
    </row>
    <row r="3210" spans="3:3" x14ac:dyDescent="0.25">
      <c r="C3210" s="55"/>
    </row>
    <row r="3211" spans="3:3" x14ac:dyDescent="0.25">
      <c r="C3211" s="55"/>
    </row>
    <row r="3212" spans="3:3" x14ac:dyDescent="0.25">
      <c r="C3212" s="55"/>
    </row>
    <row r="3213" spans="3:3" x14ac:dyDescent="0.25">
      <c r="C3213" s="55"/>
    </row>
    <row r="3214" spans="3:3" x14ac:dyDescent="0.25">
      <c r="C3214" s="55"/>
    </row>
    <row r="3215" spans="3:3" x14ac:dyDescent="0.25">
      <c r="C3215" s="55"/>
    </row>
    <row r="3216" spans="3:3" x14ac:dyDescent="0.25">
      <c r="C3216" s="55"/>
    </row>
    <row r="3217" spans="3:3" x14ac:dyDescent="0.25">
      <c r="C3217" s="55"/>
    </row>
    <row r="3218" spans="3:3" x14ac:dyDescent="0.25">
      <c r="C3218" s="55"/>
    </row>
    <row r="3219" spans="3:3" x14ac:dyDescent="0.25">
      <c r="C3219" s="55"/>
    </row>
    <row r="3220" spans="3:3" x14ac:dyDescent="0.25">
      <c r="C3220" s="55"/>
    </row>
    <row r="3221" spans="3:3" x14ac:dyDescent="0.25">
      <c r="C3221" s="55"/>
    </row>
    <row r="3222" spans="3:3" x14ac:dyDescent="0.25">
      <c r="C3222" s="55"/>
    </row>
    <row r="3223" spans="3:3" x14ac:dyDescent="0.25">
      <c r="C3223" s="55"/>
    </row>
    <row r="3224" spans="3:3" x14ac:dyDescent="0.25">
      <c r="C3224" s="55"/>
    </row>
    <row r="3225" spans="3:3" x14ac:dyDescent="0.25">
      <c r="C3225" s="55"/>
    </row>
    <row r="3226" spans="3:3" x14ac:dyDescent="0.25">
      <c r="C3226" s="55"/>
    </row>
    <row r="3227" spans="3:3" x14ac:dyDescent="0.25">
      <c r="C3227" s="55"/>
    </row>
    <row r="3228" spans="3:3" x14ac:dyDescent="0.25">
      <c r="C3228" s="55"/>
    </row>
    <row r="3229" spans="3:3" x14ac:dyDescent="0.25">
      <c r="C3229" s="55"/>
    </row>
    <row r="3230" spans="3:3" x14ac:dyDescent="0.25">
      <c r="C3230" s="55"/>
    </row>
    <row r="3231" spans="3:3" x14ac:dyDescent="0.25">
      <c r="C3231" s="55"/>
    </row>
    <row r="3232" spans="3:3" x14ac:dyDescent="0.25">
      <c r="C3232" s="55"/>
    </row>
    <row r="3233" spans="3:3" x14ac:dyDescent="0.25">
      <c r="C3233" s="55"/>
    </row>
    <row r="3234" spans="3:3" x14ac:dyDescent="0.25">
      <c r="C3234" s="55"/>
    </row>
    <row r="3235" spans="3:3" x14ac:dyDescent="0.25">
      <c r="C3235" s="55"/>
    </row>
    <row r="3236" spans="3:3" x14ac:dyDescent="0.25">
      <c r="C3236" s="55"/>
    </row>
    <row r="3237" spans="3:3" x14ac:dyDescent="0.25">
      <c r="C3237" s="55"/>
    </row>
    <row r="3238" spans="3:3" x14ac:dyDescent="0.25">
      <c r="C3238" s="55"/>
    </row>
    <row r="3239" spans="3:3" x14ac:dyDescent="0.25">
      <c r="C3239" s="55"/>
    </row>
    <row r="3240" spans="3:3" x14ac:dyDescent="0.25">
      <c r="C3240" s="55"/>
    </row>
    <row r="3241" spans="3:3" x14ac:dyDescent="0.25">
      <c r="C3241" s="55"/>
    </row>
    <row r="3242" spans="3:3" x14ac:dyDescent="0.25">
      <c r="C3242" s="55"/>
    </row>
    <row r="3243" spans="3:3" x14ac:dyDescent="0.25">
      <c r="C3243" s="55"/>
    </row>
    <row r="3244" spans="3:3" x14ac:dyDescent="0.25">
      <c r="C3244" s="55"/>
    </row>
    <row r="3245" spans="3:3" x14ac:dyDescent="0.25">
      <c r="C3245" s="55"/>
    </row>
    <row r="3246" spans="3:3" x14ac:dyDescent="0.25">
      <c r="C3246" s="55"/>
    </row>
    <row r="3247" spans="3:3" x14ac:dyDescent="0.25">
      <c r="C3247" s="55"/>
    </row>
    <row r="3248" spans="3:3" x14ac:dyDescent="0.25">
      <c r="C3248" s="55"/>
    </row>
    <row r="3249" spans="3:3" x14ac:dyDescent="0.25">
      <c r="C3249" s="55"/>
    </row>
    <row r="3250" spans="3:3" x14ac:dyDescent="0.25">
      <c r="C3250" s="55"/>
    </row>
    <row r="3251" spans="3:3" x14ac:dyDescent="0.25">
      <c r="C3251" s="55"/>
    </row>
    <row r="3252" spans="3:3" x14ac:dyDescent="0.25">
      <c r="C3252" s="55"/>
    </row>
    <row r="3253" spans="3:3" x14ac:dyDescent="0.25">
      <c r="C3253" s="55"/>
    </row>
    <row r="3254" spans="3:3" x14ac:dyDescent="0.25">
      <c r="C3254" s="55"/>
    </row>
    <row r="3255" spans="3:3" x14ac:dyDescent="0.25">
      <c r="C3255" s="55"/>
    </row>
    <row r="3256" spans="3:3" x14ac:dyDescent="0.25">
      <c r="C3256" s="55"/>
    </row>
    <row r="3257" spans="3:3" x14ac:dyDescent="0.25">
      <c r="C3257" s="55"/>
    </row>
    <row r="3258" spans="3:3" x14ac:dyDescent="0.25">
      <c r="C3258" s="55"/>
    </row>
    <row r="3259" spans="3:3" x14ac:dyDescent="0.25">
      <c r="C3259" s="55"/>
    </row>
    <row r="3260" spans="3:3" x14ac:dyDescent="0.25">
      <c r="C3260" s="55"/>
    </row>
    <row r="3261" spans="3:3" x14ac:dyDescent="0.25">
      <c r="C3261" s="55"/>
    </row>
    <row r="3262" spans="3:3" x14ac:dyDescent="0.25">
      <c r="C3262" s="55"/>
    </row>
    <row r="3263" spans="3:3" x14ac:dyDescent="0.25">
      <c r="C3263" s="55"/>
    </row>
    <row r="3264" spans="3:3" x14ac:dyDescent="0.25">
      <c r="C3264" s="55"/>
    </row>
    <row r="3265" spans="3:3" x14ac:dyDescent="0.25">
      <c r="C3265" s="55"/>
    </row>
    <row r="3266" spans="3:3" x14ac:dyDescent="0.25">
      <c r="C3266" s="55"/>
    </row>
    <row r="3267" spans="3:3" x14ac:dyDescent="0.25">
      <c r="C3267" s="55"/>
    </row>
    <row r="3268" spans="3:3" x14ac:dyDescent="0.25">
      <c r="C3268" s="55"/>
    </row>
    <row r="3269" spans="3:3" x14ac:dyDescent="0.25">
      <c r="C3269" s="55"/>
    </row>
    <row r="3270" spans="3:3" x14ac:dyDescent="0.25">
      <c r="C3270" s="55"/>
    </row>
    <row r="3271" spans="3:3" x14ac:dyDescent="0.25">
      <c r="C3271" s="55"/>
    </row>
    <row r="3272" spans="3:3" x14ac:dyDescent="0.25">
      <c r="C3272" s="55"/>
    </row>
    <row r="3273" spans="3:3" x14ac:dyDescent="0.25">
      <c r="C3273" s="55"/>
    </row>
    <row r="3274" spans="3:3" x14ac:dyDescent="0.25">
      <c r="C3274" s="55"/>
    </row>
    <row r="3275" spans="3:3" x14ac:dyDescent="0.25">
      <c r="C3275" s="55"/>
    </row>
    <row r="3276" spans="3:3" x14ac:dyDescent="0.25">
      <c r="C3276" s="55"/>
    </row>
    <row r="3277" spans="3:3" x14ac:dyDescent="0.25">
      <c r="C3277" s="55"/>
    </row>
    <row r="3278" spans="3:3" x14ac:dyDescent="0.25">
      <c r="C3278" s="55"/>
    </row>
    <row r="3279" spans="3:3" x14ac:dyDescent="0.25">
      <c r="C3279" s="55"/>
    </row>
    <row r="3280" spans="3:3" x14ac:dyDescent="0.25">
      <c r="C3280" s="55"/>
    </row>
    <row r="3281" spans="3:3" x14ac:dyDescent="0.25">
      <c r="C3281" s="55"/>
    </row>
    <row r="3282" spans="3:3" x14ac:dyDescent="0.25">
      <c r="C3282" s="55"/>
    </row>
    <row r="3283" spans="3:3" x14ac:dyDescent="0.25">
      <c r="C3283" s="55"/>
    </row>
    <row r="3284" spans="3:3" x14ac:dyDescent="0.25">
      <c r="C3284" s="55"/>
    </row>
    <row r="3285" spans="3:3" x14ac:dyDescent="0.25">
      <c r="C3285" s="55"/>
    </row>
    <row r="3286" spans="3:3" x14ac:dyDescent="0.25">
      <c r="C3286" s="55"/>
    </row>
    <row r="3287" spans="3:3" x14ac:dyDescent="0.25">
      <c r="C3287" s="55"/>
    </row>
    <row r="3288" spans="3:3" x14ac:dyDescent="0.25">
      <c r="C3288" s="55"/>
    </row>
    <row r="3289" spans="3:3" x14ac:dyDescent="0.25">
      <c r="C3289" s="55"/>
    </row>
    <row r="3290" spans="3:3" x14ac:dyDescent="0.25">
      <c r="C3290" s="55"/>
    </row>
    <row r="3291" spans="3:3" x14ac:dyDescent="0.25">
      <c r="C3291" s="55"/>
    </row>
    <row r="3292" spans="3:3" x14ac:dyDescent="0.25">
      <c r="C3292" s="55"/>
    </row>
    <row r="3293" spans="3:3" x14ac:dyDescent="0.25">
      <c r="C3293" s="55"/>
    </row>
    <row r="3294" spans="3:3" x14ac:dyDescent="0.25">
      <c r="C3294" s="55"/>
    </row>
    <row r="3295" spans="3:3" x14ac:dyDescent="0.25">
      <c r="C3295" s="55"/>
    </row>
    <row r="3296" spans="3:3" x14ac:dyDescent="0.25">
      <c r="C3296" s="55"/>
    </row>
    <row r="3297" spans="3:3" x14ac:dyDescent="0.25">
      <c r="C3297" s="55"/>
    </row>
    <row r="3298" spans="3:3" x14ac:dyDescent="0.25">
      <c r="C3298" s="55"/>
    </row>
    <row r="3299" spans="3:3" x14ac:dyDescent="0.25">
      <c r="C3299" s="55"/>
    </row>
    <row r="3300" spans="3:3" x14ac:dyDescent="0.25">
      <c r="C3300" s="55"/>
    </row>
    <row r="3301" spans="3:3" x14ac:dyDescent="0.25">
      <c r="C3301" s="55"/>
    </row>
    <row r="3302" spans="3:3" x14ac:dyDescent="0.25">
      <c r="C3302" s="55"/>
    </row>
    <row r="3303" spans="3:3" x14ac:dyDescent="0.25">
      <c r="C3303" s="55"/>
    </row>
    <row r="3304" spans="3:3" x14ac:dyDescent="0.25">
      <c r="C3304" s="55"/>
    </row>
    <row r="3305" spans="3:3" x14ac:dyDescent="0.25">
      <c r="C3305" s="55"/>
    </row>
    <row r="3306" spans="3:3" x14ac:dyDescent="0.25">
      <c r="C3306" s="55"/>
    </row>
    <row r="3307" spans="3:3" x14ac:dyDescent="0.25">
      <c r="C3307" s="55"/>
    </row>
    <row r="3308" spans="3:3" x14ac:dyDescent="0.25">
      <c r="C3308" s="55"/>
    </row>
    <row r="3309" spans="3:3" x14ac:dyDescent="0.25">
      <c r="C3309" s="55"/>
    </row>
    <row r="3310" spans="3:3" x14ac:dyDescent="0.25">
      <c r="C3310" s="55"/>
    </row>
    <row r="3311" spans="3:3" x14ac:dyDescent="0.25">
      <c r="C3311" s="55"/>
    </row>
    <row r="3312" spans="3:3" x14ac:dyDescent="0.25">
      <c r="C3312" s="55"/>
    </row>
    <row r="3313" spans="3:3" x14ac:dyDescent="0.25">
      <c r="C3313" s="55"/>
    </row>
    <row r="3314" spans="3:3" x14ac:dyDescent="0.25">
      <c r="C3314" s="55"/>
    </row>
    <row r="3315" spans="3:3" x14ac:dyDescent="0.25">
      <c r="C3315" s="55"/>
    </row>
    <row r="3316" spans="3:3" x14ac:dyDescent="0.25">
      <c r="C3316" s="55"/>
    </row>
    <row r="3317" spans="3:3" x14ac:dyDescent="0.25">
      <c r="C3317" s="55"/>
    </row>
    <row r="3318" spans="3:3" x14ac:dyDescent="0.25">
      <c r="C3318" s="55"/>
    </row>
    <row r="3319" spans="3:3" x14ac:dyDescent="0.25">
      <c r="C3319" s="55"/>
    </row>
    <row r="3320" spans="3:3" x14ac:dyDescent="0.25">
      <c r="C3320" s="55"/>
    </row>
    <row r="3321" spans="3:3" x14ac:dyDescent="0.25">
      <c r="C3321" s="55"/>
    </row>
    <row r="3322" spans="3:3" x14ac:dyDescent="0.25">
      <c r="C3322" s="55"/>
    </row>
    <row r="3323" spans="3:3" x14ac:dyDescent="0.25">
      <c r="C3323" s="55"/>
    </row>
    <row r="3324" spans="3:3" x14ac:dyDescent="0.25">
      <c r="C3324" s="55"/>
    </row>
    <row r="3325" spans="3:3" x14ac:dyDescent="0.25">
      <c r="C3325" s="55"/>
    </row>
    <row r="3326" spans="3:3" x14ac:dyDescent="0.25">
      <c r="C3326" s="55"/>
    </row>
    <row r="3327" spans="3:3" x14ac:dyDescent="0.25">
      <c r="C3327" s="55"/>
    </row>
    <row r="3328" spans="3:3" x14ac:dyDescent="0.25">
      <c r="C3328" s="55"/>
    </row>
    <row r="3329" spans="3:3" x14ac:dyDescent="0.25">
      <c r="C3329" s="55"/>
    </row>
    <row r="3330" spans="3:3" x14ac:dyDescent="0.25">
      <c r="C3330" s="55"/>
    </row>
    <row r="3331" spans="3:3" x14ac:dyDescent="0.25">
      <c r="C3331" s="55"/>
    </row>
    <row r="3332" spans="3:3" x14ac:dyDescent="0.25">
      <c r="C3332" s="55"/>
    </row>
    <row r="3333" spans="3:3" x14ac:dyDescent="0.25">
      <c r="C3333" s="55"/>
    </row>
    <row r="3334" spans="3:3" x14ac:dyDescent="0.25">
      <c r="C3334" s="55"/>
    </row>
    <row r="3335" spans="3:3" x14ac:dyDescent="0.25">
      <c r="C3335" s="55"/>
    </row>
    <row r="3336" spans="3:3" x14ac:dyDescent="0.25">
      <c r="C3336" s="55"/>
    </row>
    <row r="3337" spans="3:3" x14ac:dyDescent="0.25">
      <c r="C3337" s="55"/>
    </row>
    <row r="3338" spans="3:3" x14ac:dyDescent="0.25">
      <c r="C3338" s="55"/>
    </row>
    <row r="3339" spans="3:3" x14ac:dyDescent="0.25">
      <c r="C3339" s="55"/>
    </row>
    <row r="3340" spans="3:3" x14ac:dyDescent="0.25">
      <c r="C3340" s="55"/>
    </row>
    <row r="3341" spans="3:3" x14ac:dyDescent="0.25">
      <c r="C3341" s="55"/>
    </row>
    <row r="3342" spans="3:3" x14ac:dyDescent="0.25">
      <c r="C3342" s="55"/>
    </row>
    <row r="3343" spans="3:3" x14ac:dyDescent="0.25">
      <c r="C3343" s="55"/>
    </row>
    <row r="3344" spans="3:3" x14ac:dyDescent="0.25">
      <c r="C3344" s="55"/>
    </row>
    <row r="3345" spans="3:3" x14ac:dyDescent="0.25">
      <c r="C3345" s="55"/>
    </row>
    <row r="3346" spans="3:3" x14ac:dyDescent="0.25">
      <c r="C3346" s="55"/>
    </row>
    <row r="3347" spans="3:3" x14ac:dyDescent="0.25">
      <c r="C3347" s="55"/>
    </row>
    <row r="3348" spans="3:3" x14ac:dyDescent="0.25">
      <c r="C3348" s="55"/>
    </row>
    <row r="3349" spans="3:3" x14ac:dyDescent="0.25">
      <c r="C3349" s="55"/>
    </row>
    <row r="3350" spans="3:3" x14ac:dyDescent="0.25">
      <c r="C3350" s="55"/>
    </row>
    <row r="3351" spans="3:3" x14ac:dyDescent="0.25">
      <c r="C3351" s="55"/>
    </row>
    <row r="3352" spans="3:3" x14ac:dyDescent="0.25">
      <c r="C3352" s="55"/>
    </row>
    <row r="3353" spans="3:3" x14ac:dyDescent="0.25">
      <c r="C3353" s="55"/>
    </row>
    <row r="3354" spans="3:3" x14ac:dyDescent="0.25">
      <c r="C3354" s="55"/>
    </row>
    <row r="3355" spans="3:3" x14ac:dyDescent="0.25">
      <c r="C3355" s="55"/>
    </row>
    <row r="3356" spans="3:3" x14ac:dyDescent="0.25">
      <c r="C3356" s="55"/>
    </row>
    <row r="3357" spans="3:3" x14ac:dyDescent="0.25">
      <c r="C3357" s="55"/>
    </row>
    <row r="3358" spans="3:3" x14ac:dyDescent="0.25">
      <c r="C3358" s="55"/>
    </row>
    <row r="3359" spans="3:3" x14ac:dyDescent="0.25">
      <c r="C3359" s="55"/>
    </row>
    <row r="3360" spans="3:3" x14ac:dyDescent="0.25">
      <c r="C3360" s="55"/>
    </row>
    <row r="3361" spans="3:3" x14ac:dyDescent="0.25">
      <c r="C3361" s="55"/>
    </row>
    <row r="3362" spans="3:3" x14ac:dyDescent="0.25">
      <c r="C3362" s="55"/>
    </row>
    <row r="3363" spans="3:3" x14ac:dyDescent="0.25">
      <c r="C3363" s="55"/>
    </row>
    <row r="3364" spans="3:3" x14ac:dyDescent="0.25">
      <c r="C3364" s="55"/>
    </row>
    <row r="3365" spans="3:3" x14ac:dyDescent="0.25">
      <c r="C3365" s="55"/>
    </row>
    <row r="3366" spans="3:3" x14ac:dyDescent="0.25">
      <c r="C3366" s="55"/>
    </row>
    <row r="3367" spans="3:3" x14ac:dyDescent="0.25">
      <c r="C3367" s="55"/>
    </row>
    <row r="3368" spans="3:3" x14ac:dyDescent="0.25">
      <c r="C3368" s="55"/>
    </row>
    <row r="3369" spans="3:3" x14ac:dyDescent="0.25">
      <c r="C3369" s="55"/>
    </row>
    <row r="3370" spans="3:3" x14ac:dyDescent="0.25">
      <c r="C3370" s="55"/>
    </row>
    <row r="3371" spans="3:3" x14ac:dyDescent="0.25">
      <c r="C3371" s="55"/>
    </row>
    <row r="3372" spans="3:3" x14ac:dyDescent="0.25">
      <c r="C3372" s="55"/>
    </row>
    <row r="3373" spans="3:3" x14ac:dyDescent="0.25">
      <c r="C3373" s="55"/>
    </row>
    <row r="3374" spans="3:3" x14ac:dyDescent="0.25">
      <c r="C3374" s="55"/>
    </row>
    <row r="3375" spans="3:3" x14ac:dyDescent="0.25">
      <c r="C3375" s="55"/>
    </row>
    <row r="3376" spans="3:3" x14ac:dyDescent="0.25">
      <c r="C3376" s="55"/>
    </row>
    <row r="3377" spans="3:3" x14ac:dyDescent="0.25">
      <c r="C3377" s="55"/>
    </row>
    <row r="3378" spans="3:3" x14ac:dyDescent="0.25">
      <c r="C3378" s="55"/>
    </row>
    <row r="3379" spans="3:3" x14ac:dyDescent="0.25">
      <c r="C3379" s="55"/>
    </row>
    <row r="3380" spans="3:3" x14ac:dyDescent="0.25">
      <c r="C3380" s="55"/>
    </row>
    <row r="3381" spans="3:3" x14ac:dyDescent="0.25">
      <c r="C3381" s="55"/>
    </row>
    <row r="3382" spans="3:3" x14ac:dyDescent="0.25">
      <c r="C3382" s="55"/>
    </row>
    <row r="3383" spans="3:3" x14ac:dyDescent="0.25">
      <c r="C3383" s="55"/>
    </row>
    <row r="3384" spans="3:3" x14ac:dyDescent="0.25">
      <c r="C3384" s="55"/>
    </row>
    <row r="3385" spans="3:3" x14ac:dyDescent="0.25">
      <c r="C3385" s="55"/>
    </row>
    <row r="3386" spans="3:3" x14ac:dyDescent="0.25">
      <c r="C3386" s="55"/>
    </row>
    <row r="3387" spans="3:3" x14ac:dyDescent="0.25">
      <c r="C3387" s="55"/>
    </row>
    <row r="3388" spans="3:3" x14ac:dyDescent="0.25">
      <c r="C3388" s="55"/>
    </row>
    <row r="3389" spans="3:3" x14ac:dyDescent="0.25">
      <c r="C3389" s="55"/>
    </row>
    <row r="3390" spans="3:3" x14ac:dyDescent="0.25">
      <c r="C3390" s="55"/>
    </row>
    <row r="3391" spans="3:3" x14ac:dyDescent="0.25">
      <c r="C3391" s="55"/>
    </row>
    <row r="3392" spans="3:3" x14ac:dyDescent="0.25">
      <c r="C3392" s="55"/>
    </row>
    <row r="3393" spans="3:3" x14ac:dyDescent="0.25">
      <c r="C3393" s="55"/>
    </row>
    <row r="3394" spans="3:3" x14ac:dyDescent="0.25">
      <c r="C3394" s="55"/>
    </row>
    <row r="3395" spans="3:3" x14ac:dyDescent="0.25">
      <c r="C3395" s="55"/>
    </row>
    <row r="3396" spans="3:3" x14ac:dyDescent="0.25">
      <c r="C3396" s="55"/>
    </row>
    <row r="3397" spans="3:3" x14ac:dyDescent="0.25">
      <c r="C3397" s="55"/>
    </row>
    <row r="3398" spans="3:3" x14ac:dyDescent="0.25">
      <c r="C3398" s="55"/>
    </row>
    <row r="3399" spans="3:3" x14ac:dyDescent="0.25">
      <c r="C3399" s="55"/>
    </row>
    <row r="3400" spans="3:3" x14ac:dyDescent="0.25">
      <c r="C3400" s="55"/>
    </row>
    <row r="3401" spans="3:3" x14ac:dyDescent="0.25">
      <c r="C3401" s="55"/>
    </row>
    <row r="3402" spans="3:3" x14ac:dyDescent="0.25">
      <c r="C3402" s="55"/>
    </row>
    <row r="3403" spans="3:3" x14ac:dyDescent="0.25">
      <c r="C3403" s="55"/>
    </row>
    <row r="3404" spans="3:3" x14ac:dyDescent="0.25">
      <c r="C3404" s="55"/>
    </row>
    <row r="3405" spans="3:3" x14ac:dyDescent="0.25">
      <c r="C3405" s="55"/>
    </row>
    <row r="3406" spans="3:3" x14ac:dyDescent="0.25">
      <c r="C3406" s="55"/>
    </row>
    <row r="3407" spans="3:3" x14ac:dyDescent="0.25">
      <c r="C3407" s="55"/>
    </row>
    <row r="3408" spans="3:3" x14ac:dyDescent="0.25">
      <c r="C3408" s="55"/>
    </row>
    <row r="3409" spans="3:3" x14ac:dyDescent="0.25">
      <c r="C3409" s="55"/>
    </row>
    <row r="3410" spans="3:3" x14ac:dyDescent="0.25">
      <c r="C3410" s="55"/>
    </row>
    <row r="3411" spans="3:3" x14ac:dyDescent="0.25">
      <c r="C3411" s="55"/>
    </row>
    <row r="3412" spans="3:3" x14ac:dyDescent="0.25">
      <c r="C3412" s="55"/>
    </row>
    <row r="3413" spans="3:3" x14ac:dyDescent="0.25">
      <c r="C3413" s="55"/>
    </row>
    <row r="3414" spans="3:3" x14ac:dyDescent="0.25">
      <c r="C3414" s="55"/>
    </row>
    <row r="3415" spans="3:3" x14ac:dyDescent="0.25">
      <c r="C3415" s="55"/>
    </row>
    <row r="3416" spans="3:3" x14ac:dyDescent="0.25">
      <c r="C3416" s="55"/>
    </row>
    <row r="3417" spans="3:3" x14ac:dyDescent="0.25">
      <c r="C3417" s="55"/>
    </row>
    <row r="3418" spans="3:3" x14ac:dyDescent="0.25">
      <c r="C3418" s="55"/>
    </row>
    <row r="3419" spans="3:3" x14ac:dyDescent="0.25">
      <c r="C3419" s="55"/>
    </row>
    <row r="3420" spans="3:3" x14ac:dyDescent="0.25">
      <c r="C3420" s="55"/>
    </row>
    <row r="3421" spans="3:3" x14ac:dyDescent="0.25">
      <c r="C3421" s="55"/>
    </row>
    <row r="3422" spans="3:3" x14ac:dyDescent="0.25">
      <c r="C3422" s="55"/>
    </row>
    <row r="3423" spans="3:3" x14ac:dyDescent="0.25">
      <c r="C3423" s="55"/>
    </row>
    <row r="3424" spans="3:3" x14ac:dyDescent="0.25">
      <c r="C3424" s="55"/>
    </row>
    <row r="3425" spans="3:3" x14ac:dyDescent="0.25">
      <c r="C3425" s="55"/>
    </row>
    <row r="3426" spans="3:3" x14ac:dyDescent="0.25">
      <c r="C3426" s="55"/>
    </row>
    <row r="3427" spans="3:3" x14ac:dyDescent="0.25">
      <c r="C3427" s="55"/>
    </row>
    <row r="3428" spans="3:3" x14ac:dyDescent="0.25">
      <c r="C3428" s="55"/>
    </row>
    <row r="3429" spans="3:3" x14ac:dyDescent="0.25">
      <c r="C3429" s="55"/>
    </row>
    <row r="3430" spans="3:3" x14ac:dyDescent="0.25">
      <c r="C3430" s="55"/>
    </row>
    <row r="3431" spans="3:3" x14ac:dyDescent="0.25">
      <c r="C3431" s="55"/>
    </row>
    <row r="3432" spans="3:3" x14ac:dyDescent="0.25">
      <c r="C3432" s="55"/>
    </row>
    <row r="3433" spans="3:3" x14ac:dyDescent="0.25">
      <c r="C3433" s="55"/>
    </row>
    <row r="3434" spans="3:3" x14ac:dyDescent="0.25">
      <c r="C3434" s="55"/>
    </row>
    <row r="3435" spans="3:3" x14ac:dyDescent="0.25">
      <c r="C3435" s="55"/>
    </row>
    <row r="3436" spans="3:3" x14ac:dyDescent="0.25">
      <c r="C3436" s="55"/>
    </row>
    <row r="3437" spans="3:3" x14ac:dyDescent="0.25">
      <c r="C3437" s="55"/>
    </row>
    <row r="3438" spans="3:3" x14ac:dyDescent="0.25">
      <c r="C3438" s="55"/>
    </row>
    <row r="3439" spans="3:3" x14ac:dyDescent="0.25">
      <c r="C3439" s="55"/>
    </row>
    <row r="3440" spans="3:3" x14ac:dyDescent="0.25">
      <c r="C3440" s="55"/>
    </row>
    <row r="3441" spans="3:3" x14ac:dyDescent="0.25">
      <c r="C3441" s="55"/>
    </row>
    <row r="3442" spans="3:3" x14ac:dyDescent="0.25">
      <c r="C3442" s="55"/>
    </row>
    <row r="3443" spans="3:3" x14ac:dyDescent="0.25">
      <c r="C3443" s="55"/>
    </row>
    <row r="3444" spans="3:3" x14ac:dyDescent="0.25">
      <c r="C3444" s="55"/>
    </row>
    <row r="3445" spans="3:3" x14ac:dyDescent="0.25">
      <c r="C3445" s="55"/>
    </row>
    <row r="3446" spans="3:3" x14ac:dyDescent="0.25">
      <c r="C3446" s="55"/>
    </row>
    <row r="3447" spans="3:3" x14ac:dyDescent="0.25">
      <c r="C3447" s="55"/>
    </row>
    <row r="3448" spans="3:3" x14ac:dyDescent="0.25">
      <c r="C3448" s="55"/>
    </row>
    <row r="3449" spans="3:3" x14ac:dyDescent="0.25">
      <c r="C3449" s="55"/>
    </row>
    <row r="3450" spans="3:3" x14ac:dyDescent="0.25">
      <c r="C3450" s="55"/>
    </row>
    <row r="3451" spans="3:3" x14ac:dyDescent="0.25">
      <c r="C3451" s="55"/>
    </row>
    <row r="3452" spans="3:3" x14ac:dyDescent="0.25">
      <c r="C3452" s="55"/>
    </row>
    <row r="3453" spans="3:3" x14ac:dyDescent="0.25">
      <c r="C3453" s="55"/>
    </row>
    <row r="3454" spans="3:3" x14ac:dyDescent="0.25">
      <c r="C3454" s="55"/>
    </row>
    <row r="3455" spans="3:3" x14ac:dyDescent="0.25">
      <c r="C3455" s="55"/>
    </row>
    <row r="3456" spans="3:3" x14ac:dyDescent="0.25">
      <c r="C3456" s="55"/>
    </row>
    <row r="3457" spans="3:3" x14ac:dyDescent="0.25">
      <c r="C3457" s="55"/>
    </row>
    <row r="3458" spans="3:3" x14ac:dyDescent="0.25">
      <c r="C3458" s="55"/>
    </row>
    <row r="3459" spans="3:3" x14ac:dyDescent="0.25">
      <c r="C3459" s="55"/>
    </row>
    <row r="3460" spans="3:3" x14ac:dyDescent="0.25">
      <c r="C3460" s="55"/>
    </row>
    <row r="3461" spans="3:3" x14ac:dyDescent="0.25">
      <c r="C3461" s="55"/>
    </row>
    <row r="3462" spans="3:3" x14ac:dyDescent="0.25">
      <c r="C3462" s="55"/>
    </row>
    <row r="3463" spans="3:3" x14ac:dyDescent="0.25">
      <c r="C3463" s="55"/>
    </row>
    <row r="3464" spans="3:3" x14ac:dyDescent="0.25">
      <c r="C3464" s="55"/>
    </row>
    <row r="3465" spans="3:3" x14ac:dyDescent="0.25">
      <c r="C3465" s="55"/>
    </row>
    <row r="3466" spans="3:3" x14ac:dyDescent="0.25">
      <c r="C3466" s="55"/>
    </row>
    <row r="3467" spans="3:3" x14ac:dyDescent="0.25">
      <c r="C3467" s="55"/>
    </row>
    <row r="3468" spans="3:3" x14ac:dyDescent="0.25">
      <c r="C3468" s="55"/>
    </row>
    <row r="3469" spans="3:3" x14ac:dyDescent="0.25">
      <c r="C3469" s="55"/>
    </row>
    <row r="3470" spans="3:3" x14ac:dyDescent="0.25">
      <c r="C3470" s="55"/>
    </row>
    <row r="3471" spans="3:3" x14ac:dyDescent="0.25">
      <c r="C3471" s="55"/>
    </row>
    <row r="3472" spans="3:3" x14ac:dyDescent="0.25">
      <c r="C3472" s="55"/>
    </row>
    <row r="3473" spans="3:3" x14ac:dyDescent="0.25">
      <c r="C3473" s="55"/>
    </row>
    <row r="3474" spans="3:3" x14ac:dyDescent="0.25">
      <c r="C3474" s="55"/>
    </row>
    <row r="3475" spans="3:3" x14ac:dyDescent="0.25">
      <c r="C3475" s="55"/>
    </row>
    <row r="3476" spans="3:3" x14ac:dyDescent="0.25">
      <c r="C3476" s="55"/>
    </row>
    <row r="3477" spans="3:3" x14ac:dyDescent="0.25">
      <c r="C3477" s="55"/>
    </row>
    <row r="3478" spans="3:3" x14ac:dyDescent="0.25">
      <c r="C3478" s="55"/>
    </row>
    <row r="3479" spans="3:3" x14ac:dyDescent="0.25">
      <c r="C3479" s="55"/>
    </row>
    <row r="3480" spans="3:3" x14ac:dyDescent="0.25">
      <c r="C3480" s="55"/>
    </row>
    <row r="3481" spans="3:3" x14ac:dyDescent="0.25">
      <c r="C3481" s="55"/>
    </row>
    <row r="3482" spans="3:3" x14ac:dyDescent="0.25">
      <c r="C3482" s="55"/>
    </row>
    <row r="3483" spans="3:3" x14ac:dyDescent="0.25">
      <c r="C3483" s="55"/>
    </row>
    <row r="3484" spans="3:3" x14ac:dyDescent="0.25">
      <c r="C3484" s="55"/>
    </row>
    <row r="3485" spans="3:3" x14ac:dyDescent="0.25">
      <c r="C3485" s="55"/>
    </row>
    <row r="3486" spans="3:3" x14ac:dyDescent="0.25">
      <c r="C3486" s="55"/>
    </row>
    <row r="3487" spans="3:3" x14ac:dyDescent="0.25">
      <c r="C3487" s="55"/>
    </row>
    <row r="3488" spans="3:3" x14ac:dyDescent="0.25">
      <c r="C3488" s="55"/>
    </row>
    <row r="3489" spans="3:3" x14ac:dyDescent="0.25">
      <c r="C3489" s="55"/>
    </row>
    <row r="3490" spans="3:3" x14ac:dyDescent="0.25">
      <c r="C3490" s="55"/>
    </row>
    <row r="3491" spans="3:3" x14ac:dyDescent="0.25">
      <c r="C3491" s="55"/>
    </row>
    <row r="3492" spans="3:3" x14ac:dyDescent="0.25">
      <c r="C3492" s="55"/>
    </row>
    <row r="3493" spans="3:3" x14ac:dyDescent="0.25">
      <c r="C3493" s="55"/>
    </row>
    <row r="3494" spans="3:3" x14ac:dyDescent="0.25">
      <c r="C3494" s="55"/>
    </row>
    <row r="3495" spans="3:3" x14ac:dyDescent="0.25">
      <c r="C3495" s="55"/>
    </row>
    <row r="3496" spans="3:3" x14ac:dyDescent="0.25">
      <c r="C3496" s="55"/>
    </row>
    <row r="3497" spans="3:3" x14ac:dyDescent="0.25">
      <c r="C3497" s="55"/>
    </row>
    <row r="3498" spans="3:3" x14ac:dyDescent="0.25">
      <c r="C3498" s="55"/>
    </row>
    <row r="3499" spans="3:3" x14ac:dyDescent="0.25">
      <c r="C3499" s="55"/>
    </row>
    <row r="3500" spans="3:3" x14ac:dyDescent="0.25">
      <c r="C3500" s="55"/>
    </row>
    <row r="3501" spans="3:3" x14ac:dyDescent="0.25">
      <c r="C3501" s="55"/>
    </row>
    <row r="3502" spans="3:3" x14ac:dyDescent="0.25">
      <c r="C3502" s="55"/>
    </row>
    <row r="3503" spans="3:3" x14ac:dyDescent="0.25">
      <c r="C3503" s="55"/>
    </row>
    <row r="3504" spans="3:3" x14ac:dyDescent="0.25">
      <c r="C3504" s="55"/>
    </row>
    <row r="3505" spans="3:3" x14ac:dyDescent="0.25">
      <c r="C3505" s="55"/>
    </row>
    <row r="3506" spans="3:3" x14ac:dyDescent="0.25">
      <c r="C3506" s="55"/>
    </row>
    <row r="3507" spans="3:3" x14ac:dyDescent="0.25">
      <c r="C3507" s="55"/>
    </row>
    <row r="3508" spans="3:3" x14ac:dyDescent="0.25">
      <c r="C3508" s="55"/>
    </row>
    <row r="3509" spans="3:3" x14ac:dyDescent="0.25">
      <c r="C3509" s="55"/>
    </row>
    <row r="3510" spans="3:3" x14ac:dyDescent="0.25">
      <c r="C3510" s="55"/>
    </row>
    <row r="3511" spans="3:3" x14ac:dyDescent="0.25">
      <c r="C3511" s="55"/>
    </row>
    <row r="3512" spans="3:3" x14ac:dyDescent="0.25">
      <c r="C3512" s="55"/>
    </row>
    <row r="3513" spans="3:3" x14ac:dyDescent="0.25">
      <c r="C3513" s="55"/>
    </row>
    <row r="3514" spans="3:3" x14ac:dyDescent="0.25">
      <c r="C3514" s="55"/>
    </row>
    <row r="3515" spans="3:3" x14ac:dyDescent="0.25">
      <c r="C3515" s="55"/>
    </row>
    <row r="3516" spans="3:3" x14ac:dyDescent="0.25">
      <c r="C3516" s="55"/>
    </row>
    <row r="3517" spans="3:3" x14ac:dyDescent="0.25">
      <c r="C3517" s="55"/>
    </row>
    <row r="3791" spans="3:3" x14ac:dyDescent="0.25">
      <c r="C3791" s="55"/>
    </row>
    <row r="3792" spans="3:3" x14ac:dyDescent="0.25">
      <c r="C3792" s="55"/>
    </row>
    <row r="3793" spans="3:3" x14ac:dyDescent="0.25">
      <c r="C3793" s="55"/>
    </row>
    <row r="3794" spans="3:3" x14ac:dyDescent="0.25">
      <c r="C3794" s="55"/>
    </row>
    <row r="3795" spans="3:3" x14ac:dyDescent="0.25">
      <c r="C3795" s="55"/>
    </row>
    <row r="3796" spans="3:3" x14ac:dyDescent="0.25">
      <c r="C3796" s="55"/>
    </row>
    <row r="3797" spans="3:3" x14ac:dyDescent="0.25">
      <c r="C3797" s="55"/>
    </row>
    <row r="3798" spans="3:3" x14ac:dyDescent="0.25">
      <c r="C3798" s="55"/>
    </row>
    <row r="3799" spans="3:3" x14ac:dyDescent="0.25">
      <c r="C3799" s="55"/>
    </row>
    <row r="3800" spans="3:3" x14ac:dyDescent="0.25">
      <c r="C3800" s="55"/>
    </row>
    <row r="3801" spans="3:3" x14ac:dyDescent="0.25">
      <c r="C3801" s="55"/>
    </row>
    <row r="3802" spans="3:3" x14ac:dyDescent="0.25">
      <c r="C3802" s="55"/>
    </row>
    <row r="3803" spans="3:3" x14ac:dyDescent="0.25">
      <c r="C3803" s="55"/>
    </row>
    <row r="3804" spans="3:3" x14ac:dyDescent="0.25">
      <c r="C3804" s="55"/>
    </row>
    <row r="3805" spans="3:3" x14ac:dyDescent="0.25">
      <c r="C3805" s="55"/>
    </row>
    <row r="3806" spans="3:3" x14ac:dyDescent="0.25">
      <c r="C3806" s="55"/>
    </row>
    <row r="3807" spans="3:3" x14ac:dyDescent="0.25">
      <c r="C3807" s="55"/>
    </row>
    <row r="3808" spans="3:3" x14ac:dyDescent="0.25">
      <c r="C3808" s="55"/>
    </row>
    <row r="3809" spans="3:3" x14ac:dyDescent="0.25">
      <c r="C3809" s="55"/>
    </row>
    <row r="3810" spans="3:3" x14ac:dyDescent="0.25">
      <c r="C3810" s="55"/>
    </row>
    <row r="3811" spans="3:3" x14ac:dyDescent="0.25">
      <c r="C3811" s="55"/>
    </row>
    <row r="3812" spans="3:3" x14ac:dyDescent="0.25">
      <c r="C3812" s="55"/>
    </row>
    <row r="3813" spans="3:3" x14ac:dyDescent="0.25">
      <c r="C3813" s="55"/>
    </row>
    <row r="3814" spans="3:3" x14ac:dyDescent="0.25">
      <c r="C3814" s="55"/>
    </row>
    <row r="3815" spans="3:3" x14ac:dyDescent="0.25">
      <c r="C3815" s="55"/>
    </row>
    <row r="3816" spans="3:3" x14ac:dyDescent="0.25">
      <c r="C3816" s="55"/>
    </row>
    <row r="3817" spans="3:3" x14ac:dyDescent="0.25">
      <c r="C3817" s="55"/>
    </row>
    <row r="3818" spans="3:3" x14ac:dyDescent="0.25">
      <c r="C3818" s="55"/>
    </row>
    <row r="3819" spans="3:3" x14ac:dyDescent="0.25">
      <c r="C3819" s="55"/>
    </row>
    <row r="3820" spans="3:3" x14ac:dyDescent="0.25">
      <c r="C3820" s="55"/>
    </row>
    <row r="3821" spans="3:3" x14ac:dyDescent="0.25">
      <c r="C3821" s="55"/>
    </row>
    <row r="3822" spans="3:3" x14ac:dyDescent="0.25">
      <c r="C3822" s="55"/>
    </row>
    <row r="3823" spans="3:3" x14ac:dyDescent="0.25">
      <c r="C3823" s="55"/>
    </row>
    <row r="3824" spans="3:3" x14ac:dyDescent="0.25">
      <c r="C3824" s="55"/>
    </row>
    <row r="3825" spans="3:3" x14ac:dyDescent="0.25">
      <c r="C3825" s="55"/>
    </row>
    <row r="3826" spans="3:3" x14ac:dyDescent="0.25">
      <c r="C3826" s="55"/>
    </row>
    <row r="3827" spans="3:3" x14ac:dyDescent="0.25">
      <c r="C3827" s="55"/>
    </row>
    <row r="3828" spans="3:3" x14ac:dyDescent="0.25">
      <c r="C3828" s="55"/>
    </row>
    <row r="3829" spans="3:3" x14ac:dyDescent="0.25">
      <c r="C3829" s="55"/>
    </row>
    <row r="3830" spans="3:3" x14ac:dyDescent="0.25">
      <c r="C3830" s="55"/>
    </row>
    <row r="3831" spans="3:3" x14ac:dyDescent="0.25">
      <c r="C3831" s="55"/>
    </row>
    <row r="3832" spans="3:3" x14ac:dyDescent="0.25">
      <c r="C3832" s="55"/>
    </row>
    <row r="3833" spans="3:3" x14ac:dyDescent="0.25">
      <c r="C3833" s="55"/>
    </row>
    <row r="3834" spans="3:3" x14ac:dyDescent="0.25">
      <c r="C3834" s="55"/>
    </row>
    <row r="3835" spans="3:3" x14ac:dyDescent="0.25">
      <c r="C3835" s="55"/>
    </row>
    <row r="3836" spans="3:3" x14ac:dyDescent="0.25">
      <c r="C3836" s="55"/>
    </row>
    <row r="3837" spans="3:3" x14ac:dyDescent="0.25">
      <c r="C3837" s="55"/>
    </row>
    <row r="3838" spans="3:3" x14ac:dyDescent="0.25">
      <c r="C3838" s="55"/>
    </row>
    <row r="3839" spans="3:3" x14ac:dyDescent="0.25">
      <c r="C3839" s="55"/>
    </row>
    <row r="3840" spans="3:3" x14ac:dyDescent="0.25">
      <c r="C3840" s="55"/>
    </row>
    <row r="3841" spans="3:3" x14ac:dyDescent="0.25">
      <c r="C3841" s="55"/>
    </row>
    <row r="3842" spans="3:3" x14ac:dyDescent="0.25">
      <c r="C3842" s="55"/>
    </row>
    <row r="3843" spans="3:3" x14ac:dyDescent="0.25">
      <c r="C3843" s="55"/>
    </row>
    <row r="3844" spans="3:3" x14ac:dyDescent="0.25">
      <c r="C3844" s="55"/>
    </row>
    <row r="3845" spans="3:3" x14ac:dyDescent="0.25">
      <c r="C3845" s="55"/>
    </row>
    <row r="3846" spans="3:3" x14ac:dyDescent="0.25">
      <c r="C3846" s="55"/>
    </row>
    <row r="3847" spans="3:3" x14ac:dyDescent="0.25">
      <c r="C3847" s="55"/>
    </row>
    <row r="3848" spans="3:3" x14ac:dyDescent="0.25">
      <c r="C3848" s="55"/>
    </row>
    <row r="3849" spans="3:3" x14ac:dyDescent="0.25">
      <c r="C3849" s="55"/>
    </row>
    <row r="3850" spans="3:3" x14ac:dyDescent="0.25">
      <c r="C3850" s="55"/>
    </row>
    <row r="3851" spans="3:3" x14ac:dyDescent="0.25">
      <c r="C3851" s="55"/>
    </row>
    <row r="3852" spans="3:3" x14ac:dyDescent="0.25">
      <c r="C3852" s="55"/>
    </row>
    <row r="3853" spans="3:3" x14ac:dyDescent="0.25">
      <c r="C3853" s="55"/>
    </row>
    <row r="3854" spans="3:3" x14ac:dyDescent="0.25">
      <c r="C3854" s="55"/>
    </row>
    <row r="3855" spans="3:3" x14ac:dyDescent="0.25">
      <c r="C3855" s="55"/>
    </row>
    <row r="3856" spans="3:3" x14ac:dyDescent="0.25">
      <c r="C3856" s="55"/>
    </row>
    <row r="3857" spans="3:3" x14ac:dyDescent="0.25">
      <c r="C3857" s="55"/>
    </row>
    <row r="3858" spans="3:3" x14ac:dyDescent="0.25">
      <c r="C3858" s="55"/>
    </row>
    <row r="3859" spans="3:3" x14ac:dyDescent="0.25">
      <c r="C3859" s="55"/>
    </row>
    <row r="3860" spans="3:3" x14ac:dyDescent="0.25">
      <c r="C3860" s="55"/>
    </row>
    <row r="3861" spans="3:3" x14ac:dyDescent="0.25">
      <c r="C3861" s="55"/>
    </row>
    <row r="3862" spans="3:3" x14ac:dyDescent="0.25">
      <c r="C3862" s="55"/>
    </row>
    <row r="3863" spans="3:3" x14ac:dyDescent="0.25">
      <c r="C3863" s="55"/>
    </row>
    <row r="3864" spans="3:3" x14ac:dyDescent="0.25">
      <c r="C3864" s="55"/>
    </row>
    <row r="3865" spans="3:3" x14ac:dyDescent="0.25">
      <c r="C3865" s="55"/>
    </row>
    <row r="3866" spans="3:3" x14ac:dyDescent="0.25">
      <c r="C3866" s="55"/>
    </row>
    <row r="3867" spans="3:3" x14ac:dyDescent="0.25">
      <c r="C3867" s="55"/>
    </row>
    <row r="3868" spans="3:3" x14ac:dyDescent="0.25">
      <c r="C3868" s="55"/>
    </row>
    <row r="3869" spans="3:3" x14ac:dyDescent="0.25">
      <c r="C3869" s="55"/>
    </row>
    <row r="3870" spans="3:3" x14ac:dyDescent="0.25">
      <c r="C3870" s="55"/>
    </row>
    <row r="3871" spans="3:3" x14ac:dyDescent="0.25">
      <c r="C3871" s="55"/>
    </row>
    <row r="3872" spans="3:3" x14ac:dyDescent="0.25">
      <c r="C3872" s="55"/>
    </row>
    <row r="3873" spans="3:3" x14ac:dyDescent="0.25">
      <c r="C3873" s="55"/>
    </row>
    <row r="3874" spans="3:3" x14ac:dyDescent="0.25">
      <c r="C3874" s="55"/>
    </row>
    <row r="3875" spans="3:3" x14ac:dyDescent="0.25">
      <c r="C3875" s="55"/>
    </row>
    <row r="3876" spans="3:3" x14ac:dyDescent="0.25">
      <c r="C3876" s="55"/>
    </row>
    <row r="3877" spans="3:3" x14ac:dyDescent="0.25">
      <c r="C3877" s="55"/>
    </row>
    <row r="3878" spans="3:3" x14ac:dyDescent="0.25">
      <c r="C3878" s="55"/>
    </row>
    <row r="3879" spans="3:3" x14ac:dyDescent="0.25">
      <c r="C3879" s="55"/>
    </row>
    <row r="3880" spans="3:3" x14ac:dyDescent="0.25">
      <c r="C3880" s="55"/>
    </row>
    <row r="3881" spans="3:3" x14ac:dyDescent="0.25">
      <c r="C3881" s="55"/>
    </row>
    <row r="3882" spans="3:3" x14ac:dyDescent="0.25">
      <c r="C3882" s="55"/>
    </row>
    <row r="3883" spans="3:3" x14ac:dyDescent="0.25">
      <c r="C3883" s="55"/>
    </row>
    <row r="3884" spans="3:3" x14ac:dyDescent="0.25">
      <c r="C3884" s="55"/>
    </row>
    <row r="3885" spans="3:3" x14ac:dyDescent="0.25">
      <c r="C3885" s="55"/>
    </row>
    <row r="3886" spans="3:3" x14ac:dyDescent="0.25">
      <c r="C3886" s="55"/>
    </row>
    <row r="3887" spans="3:3" x14ac:dyDescent="0.25">
      <c r="C3887" s="55"/>
    </row>
    <row r="3888" spans="3:3" x14ac:dyDescent="0.25">
      <c r="C3888" s="55"/>
    </row>
    <row r="3889" spans="3:3" x14ac:dyDescent="0.25">
      <c r="C3889" s="55"/>
    </row>
    <row r="3890" spans="3:3" x14ac:dyDescent="0.25">
      <c r="C3890" s="55"/>
    </row>
    <row r="3891" spans="3:3" x14ac:dyDescent="0.25">
      <c r="C3891" s="55"/>
    </row>
    <row r="3892" spans="3:3" x14ac:dyDescent="0.25">
      <c r="C3892" s="55"/>
    </row>
    <row r="3893" spans="3:3" x14ac:dyDescent="0.25">
      <c r="C3893" s="55"/>
    </row>
    <row r="3894" spans="3:3" x14ac:dyDescent="0.25">
      <c r="C3894" s="55"/>
    </row>
    <row r="3895" spans="3:3" x14ac:dyDescent="0.25">
      <c r="C3895" s="55"/>
    </row>
    <row r="3896" spans="3:3" x14ac:dyDescent="0.25">
      <c r="C3896" s="55"/>
    </row>
    <row r="3897" spans="3:3" x14ac:dyDescent="0.25">
      <c r="C3897" s="55"/>
    </row>
    <row r="3898" spans="3:3" x14ac:dyDescent="0.25">
      <c r="C3898" s="55"/>
    </row>
    <row r="3899" spans="3:3" x14ac:dyDescent="0.25">
      <c r="C3899" s="55"/>
    </row>
    <row r="3900" spans="3:3" x14ac:dyDescent="0.25">
      <c r="C3900" s="55"/>
    </row>
    <row r="3901" spans="3:3" x14ac:dyDescent="0.25">
      <c r="C3901" s="55"/>
    </row>
    <row r="3902" spans="3:3" x14ac:dyDescent="0.25">
      <c r="C3902" s="55"/>
    </row>
    <row r="3903" spans="3:3" x14ac:dyDescent="0.25">
      <c r="C3903" s="55"/>
    </row>
    <row r="3904" spans="3:3" x14ac:dyDescent="0.25">
      <c r="C3904" s="55"/>
    </row>
    <row r="3905" spans="3:3" x14ac:dyDescent="0.25">
      <c r="C3905" s="55"/>
    </row>
    <row r="3906" spans="3:3" x14ac:dyDescent="0.25">
      <c r="C3906" s="55"/>
    </row>
    <row r="3907" spans="3:3" x14ac:dyDescent="0.25">
      <c r="C3907" s="55"/>
    </row>
    <row r="3908" spans="3:3" x14ac:dyDescent="0.25">
      <c r="C3908" s="55"/>
    </row>
    <row r="3909" spans="3:3" x14ac:dyDescent="0.25">
      <c r="C3909" s="55"/>
    </row>
    <row r="3910" spans="3:3" x14ac:dyDescent="0.25">
      <c r="C3910" s="55"/>
    </row>
    <row r="3911" spans="3:3" x14ac:dyDescent="0.25">
      <c r="C3911" s="55"/>
    </row>
    <row r="3912" spans="3:3" x14ac:dyDescent="0.25">
      <c r="C3912" s="55"/>
    </row>
    <row r="3913" spans="3:3" x14ac:dyDescent="0.25">
      <c r="C3913" s="55"/>
    </row>
    <row r="3914" spans="3:3" x14ac:dyDescent="0.25">
      <c r="C3914" s="55"/>
    </row>
    <row r="3915" spans="3:3" x14ac:dyDescent="0.25">
      <c r="C3915" s="55"/>
    </row>
    <row r="3916" spans="3:3" x14ac:dyDescent="0.25">
      <c r="C3916" s="55"/>
    </row>
    <row r="3917" spans="3:3" x14ac:dyDescent="0.25">
      <c r="C3917" s="55"/>
    </row>
    <row r="3918" spans="3:3" x14ac:dyDescent="0.25">
      <c r="C3918" s="55"/>
    </row>
    <row r="3919" spans="3:3" x14ac:dyDescent="0.25">
      <c r="C3919" s="55"/>
    </row>
    <row r="3920" spans="3:3" x14ac:dyDescent="0.25">
      <c r="C3920" s="55"/>
    </row>
    <row r="3921" spans="3:3" x14ac:dyDescent="0.25">
      <c r="C3921" s="55"/>
    </row>
    <row r="3922" spans="3:3" x14ac:dyDescent="0.25">
      <c r="C3922" s="55"/>
    </row>
    <row r="3923" spans="3:3" x14ac:dyDescent="0.25">
      <c r="C3923" s="55"/>
    </row>
    <row r="3924" spans="3:3" x14ac:dyDescent="0.25">
      <c r="C3924" s="55"/>
    </row>
    <row r="3925" spans="3:3" x14ac:dyDescent="0.25">
      <c r="C3925" s="55"/>
    </row>
    <row r="3926" spans="3:3" x14ac:dyDescent="0.25">
      <c r="C3926" s="55"/>
    </row>
    <row r="3927" spans="3:3" x14ac:dyDescent="0.25">
      <c r="C3927" s="55"/>
    </row>
    <row r="3928" spans="3:3" x14ac:dyDescent="0.25">
      <c r="C3928" s="55"/>
    </row>
    <row r="3929" spans="3:3" x14ac:dyDescent="0.25">
      <c r="C3929" s="55"/>
    </row>
    <row r="3930" spans="3:3" x14ac:dyDescent="0.25">
      <c r="C3930" s="55"/>
    </row>
    <row r="3931" spans="3:3" x14ac:dyDescent="0.25">
      <c r="C3931" s="55"/>
    </row>
    <row r="3932" spans="3:3" x14ac:dyDescent="0.25">
      <c r="C3932" s="55"/>
    </row>
    <row r="3933" spans="3:3" x14ac:dyDescent="0.25">
      <c r="C3933" s="55"/>
    </row>
    <row r="3934" spans="3:3" x14ac:dyDescent="0.25">
      <c r="C3934" s="55"/>
    </row>
    <row r="3935" spans="3:3" x14ac:dyDescent="0.25">
      <c r="C3935" s="55"/>
    </row>
    <row r="3936" spans="3:3" x14ac:dyDescent="0.25">
      <c r="C3936" s="55"/>
    </row>
    <row r="3937" spans="3:3" x14ac:dyDescent="0.25">
      <c r="C3937" s="55"/>
    </row>
    <row r="3938" spans="3:3" x14ac:dyDescent="0.25">
      <c r="C3938" s="55"/>
    </row>
    <row r="3939" spans="3:3" x14ac:dyDescent="0.25">
      <c r="C3939" s="55"/>
    </row>
    <row r="3940" spans="3:3" x14ac:dyDescent="0.25">
      <c r="C3940" s="55"/>
    </row>
    <row r="3941" spans="3:3" x14ac:dyDescent="0.25">
      <c r="C3941" s="55"/>
    </row>
    <row r="3942" spans="3:3" x14ac:dyDescent="0.25">
      <c r="C3942" s="55"/>
    </row>
    <row r="3943" spans="3:3" x14ac:dyDescent="0.25">
      <c r="C3943" s="55"/>
    </row>
    <row r="3944" spans="3:3" x14ac:dyDescent="0.25">
      <c r="C3944" s="55"/>
    </row>
    <row r="3945" spans="3:3" x14ac:dyDescent="0.25">
      <c r="C3945" s="55"/>
    </row>
    <row r="3946" spans="3:3" x14ac:dyDescent="0.25">
      <c r="C3946" s="55"/>
    </row>
    <row r="3947" spans="3:3" x14ac:dyDescent="0.25">
      <c r="C3947" s="55"/>
    </row>
    <row r="3948" spans="3:3" x14ac:dyDescent="0.25">
      <c r="C3948" s="55"/>
    </row>
    <row r="3949" spans="3:3" x14ac:dyDescent="0.25">
      <c r="C3949" s="55"/>
    </row>
    <row r="3950" spans="3:3" x14ac:dyDescent="0.25">
      <c r="C3950" s="55"/>
    </row>
    <row r="3951" spans="3:3" x14ac:dyDescent="0.25">
      <c r="C3951" s="55"/>
    </row>
    <row r="3952" spans="3:3" x14ac:dyDescent="0.25">
      <c r="C3952" s="55"/>
    </row>
    <row r="3953" spans="3:3" x14ac:dyDescent="0.25">
      <c r="C3953" s="55"/>
    </row>
    <row r="3954" spans="3:3" x14ac:dyDescent="0.25">
      <c r="C3954" s="55"/>
    </row>
    <row r="3955" spans="3:3" x14ac:dyDescent="0.25">
      <c r="C3955" s="55"/>
    </row>
    <row r="3956" spans="3:3" x14ac:dyDescent="0.25">
      <c r="C3956" s="55"/>
    </row>
    <row r="3957" spans="3:3" x14ac:dyDescent="0.25">
      <c r="C3957" s="55"/>
    </row>
    <row r="3958" spans="3:3" x14ac:dyDescent="0.25">
      <c r="C3958" s="55"/>
    </row>
    <row r="3959" spans="3:3" x14ac:dyDescent="0.25">
      <c r="C3959" s="55"/>
    </row>
    <row r="3960" spans="3:3" x14ac:dyDescent="0.25">
      <c r="C3960" s="55"/>
    </row>
    <row r="3961" spans="3:3" x14ac:dyDescent="0.25">
      <c r="C3961" s="55"/>
    </row>
    <row r="3962" spans="3:3" x14ac:dyDescent="0.25">
      <c r="C3962" s="55"/>
    </row>
    <row r="3963" spans="3:3" x14ac:dyDescent="0.25">
      <c r="C3963" s="55"/>
    </row>
    <row r="3964" spans="3:3" x14ac:dyDescent="0.25">
      <c r="C3964" s="55"/>
    </row>
    <row r="3965" spans="3:3" x14ac:dyDescent="0.25">
      <c r="C3965" s="55"/>
    </row>
    <row r="3966" spans="3:3" x14ac:dyDescent="0.25">
      <c r="C3966" s="55"/>
    </row>
    <row r="3967" spans="3:3" x14ac:dyDescent="0.25">
      <c r="C3967" s="55"/>
    </row>
    <row r="3968" spans="3:3" x14ac:dyDescent="0.25">
      <c r="C3968" s="55"/>
    </row>
    <row r="3969" spans="3:3" x14ac:dyDescent="0.25">
      <c r="C3969" s="55"/>
    </row>
    <row r="3970" spans="3:3" x14ac:dyDescent="0.25">
      <c r="C3970" s="55"/>
    </row>
    <row r="3971" spans="3:3" x14ac:dyDescent="0.25">
      <c r="C3971" s="55"/>
    </row>
    <row r="3972" spans="3:3" x14ac:dyDescent="0.25">
      <c r="C3972" s="55"/>
    </row>
    <row r="3973" spans="3:3" x14ac:dyDescent="0.25">
      <c r="C3973" s="55"/>
    </row>
    <row r="3974" spans="3:3" x14ac:dyDescent="0.25">
      <c r="C3974" s="55"/>
    </row>
    <row r="3975" spans="3:3" x14ac:dyDescent="0.25">
      <c r="C3975" s="55"/>
    </row>
    <row r="3976" spans="3:3" x14ac:dyDescent="0.25">
      <c r="C3976" s="55"/>
    </row>
    <row r="3977" spans="3:3" x14ac:dyDescent="0.25">
      <c r="C3977" s="55"/>
    </row>
    <row r="3978" spans="3:3" x14ac:dyDescent="0.25">
      <c r="C3978" s="55"/>
    </row>
    <row r="3979" spans="3:3" x14ac:dyDescent="0.25">
      <c r="C3979" s="55"/>
    </row>
    <row r="3980" spans="3:3" x14ac:dyDescent="0.25">
      <c r="C3980" s="55"/>
    </row>
    <row r="3981" spans="3:3" x14ac:dyDescent="0.25">
      <c r="C3981" s="55"/>
    </row>
    <row r="3982" spans="3:3" x14ac:dyDescent="0.25">
      <c r="C3982" s="55"/>
    </row>
    <row r="3983" spans="3:3" x14ac:dyDescent="0.25">
      <c r="C3983" s="55"/>
    </row>
    <row r="3984" spans="3:3" x14ac:dyDescent="0.25">
      <c r="C3984" s="55"/>
    </row>
    <row r="3985" spans="3:3" x14ac:dyDescent="0.25">
      <c r="C3985" s="55"/>
    </row>
    <row r="3986" spans="3:3" x14ac:dyDescent="0.25">
      <c r="C3986" s="55"/>
    </row>
    <row r="3987" spans="3:3" x14ac:dyDescent="0.25">
      <c r="C3987" s="55"/>
    </row>
    <row r="3988" spans="3:3" x14ac:dyDescent="0.25">
      <c r="C3988" s="55"/>
    </row>
    <row r="3989" spans="3:3" x14ac:dyDescent="0.25">
      <c r="C3989" s="55"/>
    </row>
    <row r="3990" spans="3:3" x14ac:dyDescent="0.25">
      <c r="C3990" s="55"/>
    </row>
    <row r="3991" spans="3:3" x14ac:dyDescent="0.25">
      <c r="C3991" s="55"/>
    </row>
    <row r="3992" spans="3:3" x14ac:dyDescent="0.25">
      <c r="C3992" s="55"/>
    </row>
    <row r="3993" spans="3:3" x14ac:dyDescent="0.25">
      <c r="C3993" s="55"/>
    </row>
    <row r="3994" spans="3:3" x14ac:dyDescent="0.25">
      <c r="C3994" s="55"/>
    </row>
    <row r="3995" spans="3:3" x14ac:dyDescent="0.25">
      <c r="C3995" s="55"/>
    </row>
    <row r="3996" spans="3:3" x14ac:dyDescent="0.25">
      <c r="C3996" s="55"/>
    </row>
    <row r="3997" spans="3:3" x14ac:dyDescent="0.25">
      <c r="C3997" s="55"/>
    </row>
    <row r="3998" spans="3:3" x14ac:dyDescent="0.25">
      <c r="C3998" s="55"/>
    </row>
    <row r="3999" spans="3:3" x14ac:dyDescent="0.25">
      <c r="C3999" s="55"/>
    </row>
    <row r="4000" spans="3:3" x14ac:dyDescent="0.25">
      <c r="C4000" s="55"/>
    </row>
    <row r="4001" spans="3:3" x14ac:dyDescent="0.25">
      <c r="C4001" s="55"/>
    </row>
    <row r="4002" spans="3:3" x14ac:dyDescent="0.25">
      <c r="C4002" s="55"/>
    </row>
    <row r="4003" spans="3:3" x14ac:dyDescent="0.25">
      <c r="C4003" s="55"/>
    </row>
    <row r="4004" spans="3:3" x14ac:dyDescent="0.25">
      <c r="C4004" s="55"/>
    </row>
    <row r="4005" spans="3:3" x14ac:dyDescent="0.25">
      <c r="C4005" s="55"/>
    </row>
    <row r="4006" spans="3:3" x14ac:dyDescent="0.25">
      <c r="C4006" s="55"/>
    </row>
    <row r="4007" spans="3:3" x14ac:dyDescent="0.25">
      <c r="C4007" s="55"/>
    </row>
    <row r="4008" spans="3:3" x14ac:dyDescent="0.25">
      <c r="C4008" s="55"/>
    </row>
    <row r="4009" spans="3:3" x14ac:dyDescent="0.25">
      <c r="C4009" s="55"/>
    </row>
    <row r="4010" spans="3:3" x14ac:dyDescent="0.25">
      <c r="C4010" s="55"/>
    </row>
    <row r="4011" spans="3:3" x14ac:dyDescent="0.25">
      <c r="C4011" s="55"/>
    </row>
    <row r="4012" spans="3:3" x14ac:dyDescent="0.25">
      <c r="C4012" s="55"/>
    </row>
    <row r="4013" spans="3:3" x14ac:dyDescent="0.25">
      <c r="C4013" s="55"/>
    </row>
    <row r="4014" spans="3:3" x14ac:dyDescent="0.25">
      <c r="C4014" s="55"/>
    </row>
    <row r="4015" spans="3:3" x14ac:dyDescent="0.25">
      <c r="C4015" s="55"/>
    </row>
    <row r="4016" spans="3:3" x14ac:dyDescent="0.25">
      <c r="C4016" s="55"/>
    </row>
    <row r="4017" spans="3:3" x14ac:dyDescent="0.25">
      <c r="C4017" s="55"/>
    </row>
    <row r="4018" spans="3:3" x14ac:dyDescent="0.25">
      <c r="C4018" s="55"/>
    </row>
    <row r="4019" spans="3:3" x14ac:dyDescent="0.25">
      <c r="C4019" s="55"/>
    </row>
    <row r="4020" spans="3:3" x14ac:dyDescent="0.25">
      <c r="C4020" s="55"/>
    </row>
    <row r="4021" spans="3:3" x14ac:dyDescent="0.25">
      <c r="C4021" s="55"/>
    </row>
    <row r="4022" spans="3:3" x14ac:dyDescent="0.25">
      <c r="C4022" s="55"/>
    </row>
    <row r="4023" spans="3:3" x14ac:dyDescent="0.25">
      <c r="C4023" s="55"/>
    </row>
    <row r="4024" spans="3:3" x14ac:dyDescent="0.25">
      <c r="C4024" s="55"/>
    </row>
    <row r="4025" spans="3:3" x14ac:dyDescent="0.25">
      <c r="C4025" s="55"/>
    </row>
    <row r="4026" spans="3:3" x14ac:dyDescent="0.25">
      <c r="C4026" s="55"/>
    </row>
    <row r="4027" spans="3:3" x14ac:dyDescent="0.25">
      <c r="C4027" s="55"/>
    </row>
    <row r="4028" spans="3:3" x14ac:dyDescent="0.25">
      <c r="C4028" s="55"/>
    </row>
    <row r="4029" spans="3:3" x14ac:dyDescent="0.25">
      <c r="C4029" s="55"/>
    </row>
    <row r="4030" spans="3:3" x14ac:dyDescent="0.25">
      <c r="C4030" s="55"/>
    </row>
    <row r="4031" spans="3:3" x14ac:dyDescent="0.25">
      <c r="C4031" s="55"/>
    </row>
    <row r="4032" spans="3:3" x14ac:dyDescent="0.25">
      <c r="C4032" s="55"/>
    </row>
    <row r="4033" spans="3:3" x14ac:dyDescent="0.25">
      <c r="C4033" s="55"/>
    </row>
    <row r="4034" spans="3:3" x14ac:dyDescent="0.25">
      <c r="C4034" s="55"/>
    </row>
    <row r="4035" spans="3:3" x14ac:dyDescent="0.25">
      <c r="C4035" s="55"/>
    </row>
    <row r="4036" spans="3:3" x14ac:dyDescent="0.25">
      <c r="C4036" s="55"/>
    </row>
    <row r="4037" spans="3:3" x14ac:dyDescent="0.25">
      <c r="C4037" s="55"/>
    </row>
    <row r="4038" spans="3:3" x14ac:dyDescent="0.25">
      <c r="C4038" s="55"/>
    </row>
    <row r="4039" spans="3:3" x14ac:dyDescent="0.25">
      <c r="C4039" s="55"/>
    </row>
    <row r="4040" spans="3:3" x14ac:dyDescent="0.25">
      <c r="C4040" s="55"/>
    </row>
    <row r="4041" spans="3:3" x14ac:dyDescent="0.25">
      <c r="C4041" s="55"/>
    </row>
    <row r="4042" spans="3:3" x14ac:dyDescent="0.25">
      <c r="C4042" s="55"/>
    </row>
    <row r="4043" spans="3:3" x14ac:dyDescent="0.25">
      <c r="C4043" s="55"/>
    </row>
    <row r="4044" spans="3:3" x14ac:dyDescent="0.25">
      <c r="C4044" s="55"/>
    </row>
    <row r="4045" spans="3:3" x14ac:dyDescent="0.25">
      <c r="C4045" s="55"/>
    </row>
    <row r="4046" spans="3:3" x14ac:dyDescent="0.25">
      <c r="C4046" s="55"/>
    </row>
    <row r="4047" spans="3:3" x14ac:dyDescent="0.25">
      <c r="C4047" s="55"/>
    </row>
    <row r="4048" spans="3:3" x14ac:dyDescent="0.25">
      <c r="C4048" s="55"/>
    </row>
    <row r="4049" spans="3:3" x14ac:dyDescent="0.25">
      <c r="C4049" s="55"/>
    </row>
    <row r="4050" spans="3:3" x14ac:dyDescent="0.25">
      <c r="C4050" s="55"/>
    </row>
    <row r="4051" spans="3:3" x14ac:dyDescent="0.25">
      <c r="C4051" s="55"/>
    </row>
    <row r="4052" spans="3:3" x14ac:dyDescent="0.25">
      <c r="C4052" s="55"/>
    </row>
    <row r="4053" spans="3:3" x14ac:dyDescent="0.25">
      <c r="C4053" s="55"/>
    </row>
    <row r="4054" spans="3:3" x14ac:dyDescent="0.25">
      <c r="C4054" s="55"/>
    </row>
    <row r="4055" spans="3:3" x14ac:dyDescent="0.25">
      <c r="C4055" s="55"/>
    </row>
    <row r="4056" spans="3:3" x14ac:dyDescent="0.25">
      <c r="C4056" s="55"/>
    </row>
    <row r="4057" spans="3:3" x14ac:dyDescent="0.25">
      <c r="C4057" s="55"/>
    </row>
    <row r="4058" spans="3:3" x14ac:dyDescent="0.25">
      <c r="C4058" s="55"/>
    </row>
    <row r="4059" spans="3:3" x14ac:dyDescent="0.25">
      <c r="C4059" s="55"/>
    </row>
    <row r="4060" spans="3:3" x14ac:dyDescent="0.25">
      <c r="C4060" s="55"/>
    </row>
    <row r="4061" spans="3:3" x14ac:dyDescent="0.25">
      <c r="C4061" s="55"/>
    </row>
    <row r="4062" spans="3:3" x14ac:dyDescent="0.25">
      <c r="C4062" s="55"/>
    </row>
    <row r="4063" spans="3:3" x14ac:dyDescent="0.25">
      <c r="C4063" s="55"/>
    </row>
    <row r="4064" spans="3:3" x14ac:dyDescent="0.25">
      <c r="C4064" s="55"/>
    </row>
    <row r="4065" spans="3:3" x14ac:dyDescent="0.25">
      <c r="C4065" s="55"/>
    </row>
    <row r="4066" spans="3:3" x14ac:dyDescent="0.25">
      <c r="C4066" s="55"/>
    </row>
    <row r="4067" spans="3:3" x14ac:dyDescent="0.25">
      <c r="C4067" s="55"/>
    </row>
    <row r="4068" spans="3:3" x14ac:dyDescent="0.25">
      <c r="C4068" s="55"/>
    </row>
    <row r="4069" spans="3:3" x14ac:dyDescent="0.25">
      <c r="C4069" s="55"/>
    </row>
    <row r="4070" spans="3:3" x14ac:dyDescent="0.25">
      <c r="C4070" s="55"/>
    </row>
    <row r="4071" spans="3:3" x14ac:dyDescent="0.25">
      <c r="C4071" s="55"/>
    </row>
    <row r="4072" spans="3:3" x14ac:dyDescent="0.25">
      <c r="C4072" s="55"/>
    </row>
    <row r="4073" spans="3:3" x14ac:dyDescent="0.25">
      <c r="C4073" s="55"/>
    </row>
    <row r="4074" spans="3:3" x14ac:dyDescent="0.25">
      <c r="C4074" s="55"/>
    </row>
    <row r="4075" spans="3:3" x14ac:dyDescent="0.25">
      <c r="C4075" s="55"/>
    </row>
    <row r="4076" spans="3:3" x14ac:dyDescent="0.25">
      <c r="C4076" s="55"/>
    </row>
    <row r="4077" spans="3:3" x14ac:dyDescent="0.25">
      <c r="C4077" s="55"/>
    </row>
    <row r="4078" spans="3:3" x14ac:dyDescent="0.25">
      <c r="C4078" s="55"/>
    </row>
    <row r="4079" spans="3:3" x14ac:dyDescent="0.25">
      <c r="C4079" s="55"/>
    </row>
    <row r="4080" spans="3:3" x14ac:dyDescent="0.25">
      <c r="C4080" s="55"/>
    </row>
    <row r="4081" spans="3:3" x14ac:dyDescent="0.25">
      <c r="C4081" s="55"/>
    </row>
    <row r="4082" spans="3:3" x14ac:dyDescent="0.25">
      <c r="C4082" s="55"/>
    </row>
    <row r="4083" spans="3:3" x14ac:dyDescent="0.25">
      <c r="C4083" s="55"/>
    </row>
    <row r="4084" spans="3:3" x14ac:dyDescent="0.25">
      <c r="C4084" s="55"/>
    </row>
    <row r="4085" spans="3:3" x14ac:dyDescent="0.25">
      <c r="C4085" s="55"/>
    </row>
    <row r="4086" spans="3:3" x14ac:dyDescent="0.25">
      <c r="C4086" s="55"/>
    </row>
    <row r="4087" spans="3:3" x14ac:dyDescent="0.25">
      <c r="C4087" s="55"/>
    </row>
    <row r="4088" spans="3:3" x14ac:dyDescent="0.25">
      <c r="C4088" s="55"/>
    </row>
    <row r="4089" spans="3:3" x14ac:dyDescent="0.25">
      <c r="C4089" s="55"/>
    </row>
    <row r="4090" spans="3:3" x14ac:dyDescent="0.25">
      <c r="C4090" s="55"/>
    </row>
    <row r="4091" spans="3:3" x14ac:dyDescent="0.25">
      <c r="C4091" s="55"/>
    </row>
    <row r="4092" spans="3:3" x14ac:dyDescent="0.25">
      <c r="C4092" s="55"/>
    </row>
    <row r="4093" spans="3:3" x14ac:dyDescent="0.25">
      <c r="C4093" s="55"/>
    </row>
    <row r="4094" spans="3:3" x14ac:dyDescent="0.25">
      <c r="C4094" s="55"/>
    </row>
    <row r="4095" spans="3:3" x14ac:dyDescent="0.25">
      <c r="C4095" s="55"/>
    </row>
    <row r="4096" spans="3:3" x14ac:dyDescent="0.25">
      <c r="C4096" s="55"/>
    </row>
    <row r="4097" spans="3:3" x14ac:dyDescent="0.25">
      <c r="C4097" s="55"/>
    </row>
    <row r="4098" spans="3:3" x14ac:dyDescent="0.25">
      <c r="C4098" s="55"/>
    </row>
    <row r="4099" spans="3:3" x14ac:dyDescent="0.25">
      <c r="C4099" s="55"/>
    </row>
    <row r="4100" spans="3:3" x14ac:dyDescent="0.25">
      <c r="C4100" s="55"/>
    </row>
    <row r="4101" spans="3:3" x14ac:dyDescent="0.25">
      <c r="C4101" s="55"/>
    </row>
    <row r="4102" spans="3:3" x14ac:dyDescent="0.25">
      <c r="C4102" s="55"/>
    </row>
    <row r="4103" spans="3:3" x14ac:dyDescent="0.25">
      <c r="C4103" s="55"/>
    </row>
    <row r="4104" spans="3:3" x14ac:dyDescent="0.25">
      <c r="C4104" s="55"/>
    </row>
    <row r="4105" spans="3:3" x14ac:dyDescent="0.25">
      <c r="C4105" s="55"/>
    </row>
    <row r="4106" spans="3:3" x14ac:dyDescent="0.25">
      <c r="C4106" s="55"/>
    </row>
    <row r="4107" spans="3:3" x14ac:dyDescent="0.25">
      <c r="C4107" s="55"/>
    </row>
    <row r="4108" spans="3:3" x14ac:dyDescent="0.25">
      <c r="C4108" s="55"/>
    </row>
    <row r="4109" spans="3:3" x14ac:dyDescent="0.25">
      <c r="C4109" s="55"/>
    </row>
    <row r="4110" spans="3:3" x14ac:dyDescent="0.25">
      <c r="C4110" s="55"/>
    </row>
    <row r="4111" spans="3:3" x14ac:dyDescent="0.25">
      <c r="C4111" s="55"/>
    </row>
    <row r="4112" spans="3:3" x14ac:dyDescent="0.25">
      <c r="C4112" s="55"/>
    </row>
    <row r="4113" spans="3:3" x14ac:dyDescent="0.25">
      <c r="C4113" s="55"/>
    </row>
    <row r="4114" spans="3:3" x14ac:dyDescent="0.25">
      <c r="C4114" s="55"/>
    </row>
    <row r="4115" spans="3:3" x14ac:dyDescent="0.25">
      <c r="C4115" s="55"/>
    </row>
    <row r="4116" spans="3:3" x14ac:dyDescent="0.25">
      <c r="C4116" s="55"/>
    </row>
    <row r="4117" spans="3:3" x14ac:dyDescent="0.25">
      <c r="C4117" s="55"/>
    </row>
    <row r="4118" spans="3:3" x14ac:dyDescent="0.25">
      <c r="C4118" s="55"/>
    </row>
    <row r="4119" spans="3:3" x14ac:dyDescent="0.25">
      <c r="C4119" s="55"/>
    </row>
    <row r="4120" spans="3:3" x14ac:dyDescent="0.25">
      <c r="C4120" s="55"/>
    </row>
    <row r="4121" spans="3:3" x14ac:dyDescent="0.25">
      <c r="C4121" s="55"/>
    </row>
    <row r="4122" spans="3:3" x14ac:dyDescent="0.25">
      <c r="C4122" s="55"/>
    </row>
    <row r="4123" spans="3:3" x14ac:dyDescent="0.25">
      <c r="C4123" s="55"/>
    </row>
    <row r="4124" spans="3:3" x14ac:dyDescent="0.25">
      <c r="C4124" s="55"/>
    </row>
    <row r="4125" spans="3:3" x14ac:dyDescent="0.25">
      <c r="C4125" s="55"/>
    </row>
    <row r="4126" spans="3:3" x14ac:dyDescent="0.25">
      <c r="C4126" s="55"/>
    </row>
    <row r="4127" spans="3:3" x14ac:dyDescent="0.25">
      <c r="C4127" s="55"/>
    </row>
    <row r="4128" spans="3:3" x14ac:dyDescent="0.25">
      <c r="C4128" s="55"/>
    </row>
    <row r="4129" spans="3:3" x14ac:dyDescent="0.25">
      <c r="C4129" s="55"/>
    </row>
    <row r="4130" spans="3:3" x14ac:dyDescent="0.25">
      <c r="C4130" s="55"/>
    </row>
    <row r="4131" spans="3:3" x14ac:dyDescent="0.25">
      <c r="C4131" s="55"/>
    </row>
    <row r="4132" spans="3:3" x14ac:dyDescent="0.25">
      <c r="C4132" s="55"/>
    </row>
    <row r="4133" spans="3:3" x14ac:dyDescent="0.25">
      <c r="C4133" s="55"/>
    </row>
    <row r="4134" spans="3:3" x14ac:dyDescent="0.25">
      <c r="C4134" s="55"/>
    </row>
    <row r="4135" spans="3:3" x14ac:dyDescent="0.25">
      <c r="C4135" s="55"/>
    </row>
    <row r="4136" spans="3:3" x14ac:dyDescent="0.25">
      <c r="C4136" s="55"/>
    </row>
    <row r="4137" spans="3:3" x14ac:dyDescent="0.25">
      <c r="C4137" s="55"/>
    </row>
    <row r="4138" spans="3:3" x14ac:dyDescent="0.25">
      <c r="C4138" s="55"/>
    </row>
    <row r="4139" spans="3:3" x14ac:dyDescent="0.25">
      <c r="C4139" s="55"/>
    </row>
    <row r="4140" spans="3:3" x14ac:dyDescent="0.25">
      <c r="C4140" s="55"/>
    </row>
    <row r="4414" spans="3:3" x14ac:dyDescent="0.25">
      <c r="C4414" s="55"/>
    </row>
    <row r="4415" spans="3:3" x14ac:dyDescent="0.25">
      <c r="C4415" s="55"/>
    </row>
    <row r="4416" spans="3:3" x14ac:dyDescent="0.25">
      <c r="C4416" s="55"/>
    </row>
    <row r="4417" spans="3:3" x14ac:dyDescent="0.25">
      <c r="C4417" s="55"/>
    </row>
    <row r="4418" spans="3:3" x14ac:dyDescent="0.25">
      <c r="C4418" s="55"/>
    </row>
    <row r="4419" spans="3:3" x14ac:dyDescent="0.25">
      <c r="C4419" s="55"/>
    </row>
    <row r="4420" spans="3:3" x14ac:dyDescent="0.25">
      <c r="C4420" s="55"/>
    </row>
    <row r="4421" spans="3:3" x14ac:dyDescent="0.25">
      <c r="C4421" s="55"/>
    </row>
    <row r="4422" spans="3:3" x14ac:dyDescent="0.25">
      <c r="C4422" s="55"/>
    </row>
    <row r="4423" spans="3:3" x14ac:dyDescent="0.25">
      <c r="C4423" s="55"/>
    </row>
    <row r="4424" spans="3:3" x14ac:dyDescent="0.25">
      <c r="C4424" s="55"/>
    </row>
    <row r="4425" spans="3:3" x14ac:dyDescent="0.25">
      <c r="C4425" s="55"/>
    </row>
    <row r="4426" spans="3:3" x14ac:dyDescent="0.25">
      <c r="C4426" s="55"/>
    </row>
    <row r="4427" spans="3:3" x14ac:dyDescent="0.25">
      <c r="C4427" s="55"/>
    </row>
    <row r="4428" spans="3:3" x14ac:dyDescent="0.25">
      <c r="C4428" s="55"/>
    </row>
    <row r="4429" spans="3:3" x14ac:dyDescent="0.25">
      <c r="C4429" s="55"/>
    </row>
    <row r="4430" spans="3:3" x14ac:dyDescent="0.25">
      <c r="C4430" s="55"/>
    </row>
    <row r="4431" spans="3:3" x14ac:dyDescent="0.25">
      <c r="C4431" s="55"/>
    </row>
    <row r="4432" spans="3:3" x14ac:dyDescent="0.25">
      <c r="C4432" s="55"/>
    </row>
    <row r="4433" spans="3:3" x14ac:dyDescent="0.25">
      <c r="C4433" s="55"/>
    </row>
    <row r="4434" spans="3:3" x14ac:dyDescent="0.25">
      <c r="C4434" s="55"/>
    </row>
    <row r="4435" spans="3:3" x14ac:dyDescent="0.25">
      <c r="C4435" s="55"/>
    </row>
    <row r="4436" spans="3:3" x14ac:dyDescent="0.25">
      <c r="C4436" s="55"/>
    </row>
    <row r="4437" spans="3:3" x14ac:dyDescent="0.25">
      <c r="C4437" s="55"/>
    </row>
    <row r="4438" spans="3:3" x14ac:dyDescent="0.25">
      <c r="C4438" s="55"/>
    </row>
    <row r="4439" spans="3:3" x14ac:dyDescent="0.25">
      <c r="C4439" s="55"/>
    </row>
    <row r="4440" spans="3:3" x14ac:dyDescent="0.25">
      <c r="C4440" s="55"/>
    </row>
    <row r="4441" spans="3:3" x14ac:dyDescent="0.25">
      <c r="C4441" s="55"/>
    </row>
    <row r="4442" spans="3:3" x14ac:dyDescent="0.25">
      <c r="C4442" s="55"/>
    </row>
    <row r="4443" spans="3:3" x14ac:dyDescent="0.25">
      <c r="C4443" s="55"/>
    </row>
    <row r="4444" spans="3:3" x14ac:dyDescent="0.25">
      <c r="C4444" s="55"/>
    </row>
    <row r="4445" spans="3:3" x14ac:dyDescent="0.25">
      <c r="C4445" s="55"/>
    </row>
    <row r="4446" spans="3:3" x14ac:dyDescent="0.25">
      <c r="C4446" s="55"/>
    </row>
    <row r="4447" spans="3:3" x14ac:dyDescent="0.25">
      <c r="C4447" s="55"/>
    </row>
    <row r="4448" spans="3:3" x14ac:dyDescent="0.25">
      <c r="C4448" s="55"/>
    </row>
    <row r="4449" spans="3:3" x14ac:dyDescent="0.25">
      <c r="C4449" s="55"/>
    </row>
    <row r="4450" spans="3:3" x14ac:dyDescent="0.25">
      <c r="C4450" s="55"/>
    </row>
    <row r="4451" spans="3:3" x14ac:dyDescent="0.25">
      <c r="C4451" s="55"/>
    </row>
    <row r="4452" spans="3:3" x14ac:dyDescent="0.25">
      <c r="C4452" s="55"/>
    </row>
    <row r="4453" spans="3:3" x14ac:dyDescent="0.25">
      <c r="C4453" s="55"/>
    </row>
    <row r="4454" spans="3:3" x14ac:dyDescent="0.25">
      <c r="C4454" s="55"/>
    </row>
    <row r="4455" spans="3:3" x14ac:dyDescent="0.25">
      <c r="C4455" s="55"/>
    </row>
    <row r="4456" spans="3:3" x14ac:dyDescent="0.25">
      <c r="C4456" s="55"/>
    </row>
    <row r="4457" spans="3:3" x14ac:dyDescent="0.25">
      <c r="C4457" s="55"/>
    </row>
    <row r="4458" spans="3:3" x14ac:dyDescent="0.25">
      <c r="C4458" s="55"/>
    </row>
    <row r="4459" spans="3:3" x14ac:dyDescent="0.25">
      <c r="C4459" s="55"/>
    </row>
    <row r="4460" spans="3:3" x14ac:dyDescent="0.25">
      <c r="C4460" s="55"/>
    </row>
    <row r="4461" spans="3:3" x14ac:dyDescent="0.25">
      <c r="C4461" s="55"/>
    </row>
    <row r="4462" spans="3:3" x14ac:dyDescent="0.25">
      <c r="C4462" s="55"/>
    </row>
    <row r="4463" spans="3:3" x14ac:dyDescent="0.25">
      <c r="C4463" s="55"/>
    </row>
    <row r="4464" spans="3:3" x14ac:dyDescent="0.25">
      <c r="C4464" s="55"/>
    </row>
    <row r="4465" spans="3:3" x14ac:dyDescent="0.25">
      <c r="C4465" s="55"/>
    </row>
    <row r="4466" spans="3:3" x14ac:dyDescent="0.25">
      <c r="C4466" s="55"/>
    </row>
    <row r="4467" spans="3:3" x14ac:dyDescent="0.25">
      <c r="C4467" s="55"/>
    </row>
    <row r="4468" spans="3:3" x14ac:dyDescent="0.25">
      <c r="C4468" s="55"/>
    </row>
    <row r="4469" spans="3:3" x14ac:dyDescent="0.25">
      <c r="C4469" s="55"/>
    </row>
    <row r="4470" spans="3:3" x14ac:dyDescent="0.25">
      <c r="C4470" s="55"/>
    </row>
    <row r="4471" spans="3:3" x14ac:dyDescent="0.25">
      <c r="C4471" s="55"/>
    </row>
    <row r="4472" spans="3:3" x14ac:dyDescent="0.25">
      <c r="C4472" s="55"/>
    </row>
    <row r="4473" spans="3:3" x14ac:dyDescent="0.25">
      <c r="C4473" s="55"/>
    </row>
    <row r="4474" spans="3:3" x14ac:dyDescent="0.25">
      <c r="C4474" s="55"/>
    </row>
    <row r="4475" spans="3:3" x14ac:dyDescent="0.25">
      <c r="C4475" s="55"/>
    </row>
    <row r="4476" spans="3:3" x14ac:dyDescent="0.25">
      <c r="C4476" s="55"/>
    </row>
    <row r="4477" spans="3:3" x14ac:dyDescent="0.25">
      <c r="C4477" s="55"/>
    </row>
    <row r="4478" spans="3:3" x14ac:dyDescent="0.25">
      <c r="C4478" s="55"/>
    </row>
    <row r="4479" spans="3:3" x14ac:dyDescent="0.25">
      <c r="C4479" s="55"/>
    </row>
    <row r="4480" spans="3:3" x14ac:dyDescent="0.25">
      <c r="C4480" s="55"/>
    </row>
    <row r="4481" spans="3:3" x14ac:dyDescent="0.25">
      <c r="C4481" s="55"/>
    </row>
    <row r="4482" spans="3:3" x14ac:dyDescent="0.25">
      <c r="C4482" s="55"/>
    </row>
    <row r="4483" spans="3:3" x14ac:dyDescent="0.25">
      <c r="C4483" s="55"/>
    </row>
    <row r="4484" spans="3:3" x14ac:dyDescent="0.25">
      <c r="C4484" s="55"/>
    </row>
    <row r="4485" spans="3:3" x14ac:dyDescent="0.25">
      <c r="C4485" s="55"/>
    </row>
    <row r="4486" spans="3:3" x14ac:dyDescent="0.25">
      <c r="C4486" s="55"/>
    </row>
    <row r="4487" spans="3:3" x14ac:dyDescent="0.25">
      <c r="C4487" s="55"/>
    </row>
    <row r="4488" spans="3:3" x14ac:dyDescent="0.25">
      <c r="C4488" s="55"/>
    </row>
    <row r="4489" spans="3:3" x14ac:dyDescent="0.25">
      <c r="C4489" s="55"/>
    </row>
    <row r="4490" spans="3:3" x14ac:dyDescent="0.25">
      <c r="C4490" s="55"/>
    </row>
    <row r="4491" spans="3:3" x14ac:dyDescent="0.25">
      <c r="C4491" s="55"/>
    </row>
    <row r="4492" spans="3:3" x14ac:dyDescent="0.25">
      <c r="C4492" s="55"/>
    </row>
    <row r="4493" spans="3:3" x14ac:dyDescent="0.25">
      <c r="C4493" s="55"/>
    </row>
    <row r="4494" spans="3:3" x14ac:dyDescent="0.25">
      <c r="C4494" s="55"/>
    </row>
    <row r="4495" spans="3:3" x14ac:dyDescent="0.25">
      <c r="C4495" s="55"/>
    </row>
    <row r="4496" spans="3:3" x14ac:dyDescent="0.25">
      <c r="C4496" s="55"/>
    </row>
    <row r="4497" spans="3:3" x14ac:dyDescent="0.25">
      <c r="C4497" s="55"/>
    </row>
    <row r="4498" spans="3:3" x14ac:dyDescent="0.25">
      <c r="C4498" s="55"/>
    </row>
    <row r="4499" spans="3:3" x14ac:dyDescent="0.25">
      <c r="C4499" s="55"/>
    </row>
    <row r="4500" spans="3:3" x14ac:dyDescent="0.25">
      <c r="C4500" s="55"/>
    </row>
    <row r="4501" spans="3:3" x14ac:dyDescent="0.25">
      <c r="C4501" s="55"/>
    </row>
    <row r="4502" spans="3:3" x14ac:dyDescent="0.25">
      <c r="C4502" s="55"/>
    </row>
    <row r="4503" spans="3:3" x14ac:dyDescent="0.25">
      <c r="C4503" s="55"/>
    </row>
    <row r="4504" spans="3:3" x14ac:dyDescent="0.25">
      <c r="C4504" s="55"/>
    </row>
    <row r="4505" spans="3:3" x14ac:dyDescent="0.25">
      <c r="C4505" s="55"/>
    </row>
    <row r="4506" spans="3:3" x14ac:dyDescent="0.25">
      <c r="C4506" s="55"/>
    </row>
    <row r="4507" spans="3:3" x14ac:dyDescent="0.25">
      <c r="C4507" s="55"/>
    </row>
    <row r="4508" spans="3:3" x14ac:dyDescent="0.25">
      <c r="C4508" s="55"/>
    </row>
    <row r="4509" spans="3:3" x14ac:dyDescent="0.25">
      <c r="C4509" s="55"/>
    </row>
    <row r="4510" spans="3:3" x14ac:dyDescent="0.25">
      <c r="C4510" s="55"/>
    </row>
    <row r="4511" spans="3:3" x14ac:dyDescent="0.25">
      <c r="C4511" s="55"/>
    </row>
    <row r="4512" spans="3:3" x14ac:dyDescent="0.25">
      <c r="C4512" s="55"/>
    </row>
    <row r="4513" spans="3:3" x14ac:dyDescent="0.25">
      <c r="C4513" s="55"/>
    </row>
    <row r="4514" spans="3:3" x14ac:dyDescent="0.25">
      <c r="C4514" s="55"/>
    </row>
    <row r="4515" spans="3:3" x14ac:dyDescent="0.25">
      <c r="C4515" s="55"/>
    </row>
    <row r="4516" spans="3:3" x14ac:dyDescent="0.25">
      <c r="C4516" s="55"/>
    </row>
    <row r="4517" spans="3:3" x14ac:dyDescent="0.25">
      <c r="C4517" s="55"/>
    </row>
    <row r="4518" spans="3:3" x14ac:dyDescent="0.25">
      <c r="C4518" s="55"/>
    </row>
    <row r="4519" spans="3:3" x14ac:dyDescent="0.25">
      <c r="C4519" s="55"/>
    </row>
    <row r="4520" spans="3:3" x14ac:dyDescent="0.25">
      <c r="C4520" s="55"/>
    </row>
    <row r="4521" spans="3:3" x14ac:dyDescent="0.25">
      <c r="C4521" s="55"/>
    </row>
    <row r="4522" spans="3:3" x14ac:dyDescent="0.25">
      <c r="C4522" s="55"/>
    </row>
    <row r="4523" spans="3:3" x14ac:dyDescent="0.25">
      <c r="C4523" s="55"/>
    </row>
    <row r="4524" spans="3:3" x14ac:dyDescent="0.25">
      <c r="C4524" s="55"/>
    </row>
    <row r="4525" spans="3:3" x14ac:dyDescent="0.25">
      <c r="C4525" s="55"/>
    </row>
    <row r="4526" spans="3:3" x14ac:dyDescent="0.25">
      <c r="C4526" s="55"/>
    </row>
    <row r="4527" spans="3:3" x14ac:dyDescent="0.25">
      <c r="C4527" s="55"/>
    </row>
    <row r="4528" spans="3:3" x14ac:dyDescent="0.25">
      <c r="C4528" s="55"/>
    </row>
    <row r="4529" spans="3:3" x14ac:dyDescent="0.25">
      <c r="C4529" s="55"/>
    </row>
    <row r="4530" spans="3:3" x14ac:dyDescent="0.25">
      <c r="C4530" s="55"/>
    </row>
    <row r="4531" spans="3:3" x14ac:dyDescent="0.25">
      <c r="C4531" s="55"/>
    </row>
    <row r="4532" spans="3:3" x14ac:dyDescent="0.25">
      <c r="C4532" s="55"/>
    </row>
    <row r="4533" spans="3:3" x14ac:dyDescent="0.25">
      <c r="C4533" s="55"/>
    </row>
    <row r="4534" spans="3:3" x14ac:dyDescent="0.25">
      <c r="C4534" s="55"/>
    </row>
    <row r="4535" spans="3:3" x14ac:dyDescent="0.25">
      <c r="C4535" s="55"/>
    </row>
    <row r="4536" spans="3:3" x14ac:dyDescent="0.25">
      <c r="C4536" s="55"/>
    </row>
    <row r="4537" spans="3:3" x14ac:dyDescent="0.25">
      <c r="C4537" s="55"/>
    </row>
    <row r="4538" spans="3:3" x14ac:dyDescent="0.25">
      <c r="C4538" s="55"/>
    </row>
    <row r="4539" spans="3:3" x14ac:dyDescent="0.25">
      <c r="C4539" s="55"/>
    </row>
    <row r="4540" spans="3:3" x14ac:dyDescent="0.25">
      <c r="C4540" s="55"/>
    </row>
    <row r="4541" spans="3:3" x14ac:dyDescent="0.25">
      <c r="C4541" s="55"/>
    </row>
    <row r="4542" spans="3:3" x14ac:dyDescent="0.25">
      <c r="C4542" s="55"/>
    </row>
    <row r="4543" spans="3:3" x14ac:dyDescent="0.25">
      <c r="C4543" s="55"/>
    </row>
    <row r="4544" spans="3:3" x14ac:dyDescent="0.25">
      <c r="C4544" s="55"/>
    </row>
    <row r="4545" spans="3:3" x14ac:dyDescent="0.25">
      <c r="C4545" s="55"/>
    </row>
    <row r="4546" spans="3:3" x14ac:dyDescent="0.25">
      <c r="C4546" s="55"/>
    </row>
    <row r="4547" spans="3:3" x14ac:dyDescent="0.25">
      <c r="C4547" s="55"/>
    </row>
    <row r="4548" spans="3:3" x14ac:dyDescent="0.25">
      <c r="C4548" s="55"/>
    </row>
    <row r="4549" spans="3:3" x14ac:dyDescent="0.25">
      <c r="C4549" s="55"/>
    </row>
    <row r="4550" spans="3:3" x14ac:dyDescent="0.25">
      <c r="C4550" s="55"/>
    </row>
    <row r="4551" spans="3:3" x14ac:dyDescent="0.25">
      <c r="C4551" s="55"/>
    </row>
    <row r="4552" spans="3:3" x14ac:dyDescent="0.25">
      <c r="C4552" s="55"/>
    </row>
    <row r="4553" spans="3:3" x14ac:dyDescent="0.25">
      <c r="C4553" s="55"/>
    </row>
    <row r="4554" spans="3:3" x14ac:dyDescent="0.25">
      <c r="C4554" s="55"/>
    </row>
    <row r="4555" spans="3:3" x14ac:dyDescent="0.25">
      <c r="C4555" s="55"/>
    </row>
    <row r="4556" spans="3:3" x14ac:dyDescent="0.25">
      <c r="C4556" s="55"/>
    </row>
    <row r="4557" spans="3:3" x14ac:dyDescent="0.25">
      <c r="C4557" s="55"/>
    </row>
    <row r="4558" spans="3:3" x14ac:dyDescent="0.25">
      <c r="C4558" s="55"/>
    </row>
    <row r="4559" spans="3:3" x14ac:dyDescent="0.25">
      <c r="C4559" s="55"/>
    </row>
    <row r="4560" spans="3:3" x14ac:dyDescent="0.25">
      <c r="C4560" s="55"/>
    </row>
    <row r="4561" spans="3:3" x14ac:dyDescent="0.25">
      <c r="C4561" s="55"/>
    </row>
    <row r="4562" spans="3:3" x14ac:dyDescent="0.25">
      <c r="C4562" s="55"/>
    </row>
    <row r="4563" spans="3:3" x14ac:dyDescent="0.25">
      <c r="C4563" s="55"/>
    </row>
    <row r="4564" spans="3:3" x14ac:dyDescent="0.25">
      <c r="C4564" s="55"/>
    </row>
    <row r="4565" spans="3:3" x14ac:dyDescent="0.25">
      <c r="C4565" s="55"/>
    </row>
    <row r="4566" spans="3:3" x14ac:dyDescent="0.25">
      <c r="C4566" s="55"/>
    </row>
    <row r="4567" spans="3:3" x14ac:dyDescent="0.25">
      <c r="C4567" s="55"/>
    </row>
    <row r="4568" spans="3:3" x14ac:dyDescent="0.25">
      <c r="C4568" s="55"/>
    </row>
    <row r="4569" spans="3:3" x14ac:dyDescent="0.25">
      <c r="C4569" s="55"/>
    </row>
    <row r="4570" spans="3:3" x14ac:dyDescent="0.25">
      <c r="C4570" s="55"/>
    </row>
    <row r="4571" spans="3:3" x14ac:dyDescent="0.25">
      <c r="C4571" s="55"/>
    </row>
    <row r="4572" spans="3:3" x14ac:dyDescent="0.25">
      <c r="C4572" s="55"/>
    </row>
    <row r="4573" spans="3:3" x14ac:dyDescent="0.25">
      <c r="C4573" s="55"/>
    </row>
    <row r="4574" spans="3:3" x14ac:dyDescent="0.25">
      <c r="C4574" s="55"/>
    </row>
    <row r="4575" spans="3:3" x14ac:dyDescent="0.25">
      <c r="C4575" s="55"/>
    </row>
    <row r="4576" spans="3:3" x14ac:dyDescent="0.25">
      <c r="C4576" s="55"/>
    </row>
    <row r="4577" spans="3:3" x14ac:dyDescent="0.25">
      <c r="C4577" s="55"/>
    </row>
    <row r="4578" spans="3:3" x14ac:dyDescent="0.25">
      <c r="C4578" s="55"/>
    </row>
    <row r="4579" spans="3:3" x14ac:dyDescent="0.25">
      <c r="C4579" s="55"/>
    </row>
    <row r="4580" spans="3:3" x14ac:dyDescent="0.25">
      <c r="C4580" s="55"/>
    </row>
    <row r="4581" spans="3:3" x14ac:dyDescent="0.25">
      <c r="C4581" s="55"/>
    </row>
    <row r="4582" spans="3:3" x14ac:dyDescent="0.25">
      <c r="C4582" s="55"/>
    </row>
    <row r="4583" spans="3:3" x14ac:dyDescent="0.25">
      <c r="C4583" s="55"/>
    </row>
    <row r="4584" spans="3:3" x14ac:dyDescent="0.25">
      <c r="C4584" s="55"/>
    </row>
    <row r="4585" spans="3:3" x14ac:dyDescent="0.25">
      <c r="C4585" s="55"/>
    </row>
    <row r="4586" spans="3:3" x14ac:dyDescent="0.25">
      <c r="C4586" s="55"/>
    </row>
    <row r="4587" spans="3:3" x14ac:dyDescent="0.25">
      <c r="C4587" s="55"/>
    </row>
    <row r="4588" spans="3:3" x14ac:dyDescent="0.25">
      <c r="C4588" s="55"/>
    </row>
    <row r="4589" spans="3:3" x14ac:dyDescent="0.25">
      <c r="C4589" s="55"/>
    </row>
    <row r="4590" spans="3:3" x14ac:dyDescent="0.25">
      <c r="C4590" s="55"/>
    </row>
    <row r="4591" spans="3:3" x14ac:dyDescent="0.25">
      <c r="C4591" s="55"/>
    </row>
    <row r="4592" spans="3:3" x14ac:dyDescent="0.25">
      <c r="C4592" s="55"/>
    </row>
    <row r="4593" spans="3:3" x14ac:dyDescent="0.25">
      <c r="C4593" s="55"/>
    </row>
    <row r="4594" spans="3:3" x14ac:dyDescent="0.25">
      <c r="C4594" s="55"/>
    </row>
    <row r="4595" spans="3:3" x14ac:dyDescent="0.25">
      <c r="C4595" s="55"/>
    </row>
    <row r="4596" spans="3:3" x14ac:dyDescent="0.25">
      <c r="C4596" s="55"/>
    </row>
    <row r="4597" spans="3:3" x14ac:dyDescent="0.25">
      <c r="C4597" s="55"/>
    </row>
    <row r="4598" spans="3:3" x14ac:dyDescent="0.25">
      <c r="C4598" s="55"/>
    </row>
    <row r="4599" spans="3:3" x14ac:dyDescent="0.25">
      <c r="C4599" s="55"/>
    </row>
    <row r="4600" spans="3:3" x14ac:dyDescent="0.25">
      <c r="C4600" s="55"/>
    </row>
    <row r="4601" spans="3:3" x14ac:dyDescent="0.25">
      <c r="C4601" s="55"/>
    </row>
    <row r="4602" spans="3:3" x14ac:dyDescent="0.25">
      <c r="C4602" s="55"/>
    </row>
    <row r="4603" spans="3:3" x14ac:dyDescent="0.25">
      <c r="C4603" s="55"/>
    </row>
    <row r="4604" spans="3:3" x14ac:dyDescent="0.25">
      <c r="C4604" s="55"/>
    </row>
    <row r="4605" spans="3:3" x14ac:dyDescent="0.25">
      <c r="C4605" s="55"/>
    </row>
    <row r="4606" spans="3:3" x14ac:dyDescent="0.25">
      <c r="C4606" s="55"/>
    </row>
    <row r="4607" spans="3:3" x14ac:dyDescent="0.25">
      <c r="C4607" s="55"/>
    </row>
    <row r="4608" spans="3:3" x14ac:dyDescent="0.25">
      <c r="C4608" s="55"/>
    </row>
    <row r="4609" spans="3:3" x14ac:dyDescent="0.25">
      <c r="C4609" s="55"/>
    </row>
    <row r="4610" spans="3:3" x14ac:dyDescent="0.25">
      <c r="C4610" s="55"/>
    </row>
    <row r="4611" spans="3:3" x14ac:dyDescent="0.25">
      <c r="C4611" s="55"/>
    </row>
    <row r="4612" spans="3:3" x14ac:dyDescent="0.25">
      <c r="C4612" s="55"/>
    </row>
    <row r="4613" spans="3:3" x14ac:dyDescent="0.25">
      <c r="C4613" s="55"/>
    </row>
    <row r="4614" spans="3:3" x14ac:dyDescent="0.25">
      <c r="C4614" s="55"/>
    </row>
    <row r="4615" spans="3:3" x14ac:dyDescent="0.25">
      <c r="C4615" s="55"/>
    </row>
    <row r="4616" spans="3:3" x14ac:dyDescent="0.25">
      <c r="C4616" s="55"/>
    </row>
    <row r="4617" spans="3:3" x14ac:dyDescent="0.25">
      <c r="C4617" s="55"/>
    </row>
    <row r="4618" spans="3:3" x14ac:dyDescent="0.25">
      <c r="C4618" s="55"/>
    </row>
    <row r="4619" spans="3:3" x14ac:dyDescent="0.25">
      <c r="C4619" s="55"/>
    </row>
    <row r="4620" spans="3:3" x14ac:dyDescent="0.25">
      <c r="C4620" s="55"/>
    </row>
    <row r="4621" spans="3:3" x14ac:dyDescent="0.25">
      <c r="C4621" s="55"/>
    </row>
    <row r="4622" spans="3:3" x14ac:dyDescent="0.25">
      <c r="C4622" s="55"/>
    </row>
    <row r="4623" spans="3:3" x14ac:dyDescent="0.25">
      <c r="C4623" s="55"/>
    </row>
    <row r="4624" spans="3:3" x14ac:dyDescent="0.25">
      <c r="C4624" s="55"/>
    </row>
    <row r="4625" spans="3:3" x14ac:dyDescent="0.25">
      <c r="C4625" s="55"/>
    </row>
    <row r="4626" spans="3:3" x14ac:dyDescent="0.25">
      <c r="C4626" s="55"/>
    </row>
    <row r="4627" spans="3:3" x14ac:dyDescent="0.25">
      <c r="C4627" s="55"/>
    </row>
    <row r="4628" spans="3:3" x14ac:dyDescent="0.25">
      <c r="C4628" s="55"/>
    </row>
    <row r="4629" spans="3:3" x14ac:dyDescent="0.25">
      <c r="C4629" s="55"/>
    </row>
    <row r="4630" spans="3:3" x14ac:dyDescent="0.25">
      <c r="C4630" s="55"/>
    </row>
    <row r="4631" spans="3:3" x14ac:dyDescent="0.25">
      <c r="C4631" s="55"/>
    </row>
    <row r="4632" spans="3:3" x14ac:dyDescent="0.25">
      <c r="C4632" s="55"/>
    </row>
    <row r="4633" spans="3:3" x14ac:dyDescent="0.25">
      <c r="C4633" s="55"/>
    </row>
    <row r="4634" spans="3:3" x14ac:dyDescent="0.25">
      <c r="C4634" s="55"/>
    </row>
    <row r="4635" spans="3:3" x14ac:dyDescent="0.25">
      <c r="C4635" s="55"/>
    </row>
    <row r="4636" spans="3:3" x14ac:dyDescent="0.25">
      <c r="C4636" s="55"/>
    </row>
    <row r="4637" spans="3:3" x14ac:dyDescent="0.25">
      <c r="C4637" s="55"/>
    </row>
    <row r="4638" spans="3:3" x14ac:dyDescent="0.25">
      <c r="C4638" s="55"/>
    </row>
    <row r="4639" spans="3:3" x14ac:dyDescent="0.25">
      <c r="C4639" s="55"/>
    </row>
    <row r="4640" spans="3:3" x14ac:dyDescent="0.25">
      <c r="C4640" s="55"/>
    </row>
    <row r="4641" spans="3:3" x14ac:dyDescent="0.25">
      <c r="C4641" s="55"/>
    </row>
    <row r="4642" spans="3:3" x14ac:dyDescent="0.25">
      <c r="C4642" s="55"/>
    </row>
    <row r="4643" spans="3:3" x14ac:dyDescent="0.25">
      <c r="C4643" s="55"/>
    </row>
    <row r="4644" spans="3:3" x14ac:dyDescent="0.25">
      <c r="C4644" s="55"/>
    </row>
    <row r="4645" spans="3:3" x14ac:dyDescent="0.25">
      <c r="C4645" s="55"/>
    </row>
    <row r="4646" spans="3:3" x14ac:dyDescent="0.25">
      <c r="C4646" s="55"/>
    </row>
    <row r="4647" spans="3:3" x14ac:dyDescent="0.25">
      <c r="C4647" s="55"/>
    </row>
    <row r="4648" spans="3:3" x14ac:dyDescent="0.25">
      <c r="C4648" s="55"/>
    </row>
    <row r="4649" spans="3:3" x14ac:dyDescent="0.25">
      <c r="C4649" s="55"/>
    </row>
    <row r="4650" spans="3:3" x14ac:dyDescent="0.25">
      <c r="C4650" s="55"/>
    </row>
    <row r="4651" spans="3:3" x14ac:dyDescent="0.25">
      <c r="C4651" s="55"/>
    </row>
    <row r="4652" spans="3:3" x14ac:dyDescent="0.25">
      <c r="C4652" s="55"/>
    </row>
    <row r="4653" spans="3:3" x14ac:dyDescent="0.25">
      <c r="C4653" s="55"/>
    </row>
    <row r="4654" spans="3:3" x14ac:dyDescent="0.25">
      <c r="C4654" s="55"/>
    </row>
    <row r="4655" spans="3:3" x14ac:dyDescent="0.25">
      <c r="C4655" s="55"/>
    </row>
    <row r="4656" spans="3:3" x14ac:dyDescent="0.25">
      <c r="C4656" s="55"/>
    </row>
    <row r="4657" spans="3:3" x14ac:dyDescent="0.25">
      <c r="C4657" s="55"/>
    </row>
    <row r="4658" spans="3:3" x14ac:dyDescent="0.25">
      <c r="C4658" s="55"/>
    </row>
    <row r="4659" spans="3:3" x14ac:dyDescent="0.25">
      <c r="C4659" s="55"/>
    </row>
    <row r="4660" spans="3:3" x14ac:dyDescent="0.25">
      <c r="C4660" s="55"/>
    </row>
    <row r="4661" spans="3:3" x14ac:dyDescent="0.25">
      <c r="C4661" s="55"/>
    </row>
    <row r="4662" spans="3:3" x14ac:dyDescent="0.25">
      <c r="C4662" s="55"/>
    </row>
    <row r="4663" spans="3:3" x14ac:dyDescent="0.25">
      <c r="C4663" s="55"/>
    </row>
    <row r="4664" spans="3:3" x14ac:dyDescent="0.25">
      <c r="C4664" s="55"/>
    </row>
    <row r="4665" spans="3:3" x14ac:dyDescent="0.25">
      <c r="C4665" s="55"/>
    </row>
    <row r="4666" spans="3:3" x14ac:dyDescent="0.25">
      <c r="C4666" s="55"/>
    </row>
    <row r="4667" spans="3:3" x14ac:dyDescent="0.25">
      <c r="C4667" s="55"/>
    </row>
    <row r="4668" spans="3:3" x14ac:dyDescent="0.25">
      <c r="C4668" s="55"/>
    </row>
    <row r="4669" spans="3:3" x14ac:dyDescent="0.25">
      <c r="C4669" s="55"/>
    </row>
    <row r="4670" spans="3:3" x14ac:dyDescent="0.25">
      <c r="C4670" s="55"/>
    </row>
    <row r="4671" spans="3:3" x14ac:dyDescent="0.25">
      <c r="C4671" s="55"/>
    </row>
    <row r="4672" spans="3:3" x14ac:dyDescent="0.25">
      <c r="C4672" s="55"/>
    </row>
    <row r="4673" spans="3:3" x14ac:dyDescent="0.25">
      <c r="C4673" s="55"/>
    </row>
    <row r="4674" spans="3:3" x14ac:dyDescent="0.25">
      <c r="C4674" s="55"/>
    </row>
    <row r="4675" spans="3:3" x14ac:dyDescent="0.25">
      <c r="C4675" s="55"/>
    </row>
    <row r="4676" spans="3:3" x14ac:dyDescent="0.25">
      <c r="C4676" s="55"/>
    </row>
    <row r="4677" spans="3:3" x14ac:dyDescent="0.25">
      <c r="C4677" s="55"/>
    </row>
    <row r="4678" spans="3:3" x14ac:dyDescent="0.25">
      <c r="C4678" s="55"/>
    </row>
    <row r="4679" spans="3:3" x14ac:dyDescent="0.25">
      <c r="C4679" s="55"/>
    </row>
    <row r="4680" spans="3:3" x14ac:dyDescent="0.25">
      <c r="C4680" s="55"/>
    </row>
    <row r="4681" spans="3:3" x14ac:dyDescent="0.25">
      <c r="C4681" s="55"/>
    </row>
    <row r="4682" spans="3:3" x14ac:dyDescent="0.25">
      <c r="C4682" s="55"/>
    </row>
    <row r="4683" spans="3:3" x14ac:dyDescent="0.25">
      <c r="C4683" s="55"/>
    </row>
    <row r="4684" spans="3:3" x14ac:dyDescent="0.25">
      <c r="C4684" s="55"/>
    </row>
    <row r="4685" spans="3:3" x14ac:dyDescent="0.25">
      <c r="C4685" s="55"/>
    </row>
    <row r="4686" spans="3:3" x14ac:dyDescent="0.25">
      <c r="C4686" s="55"/>
    </row>
    <row r="4687" spans="3:3" x14ac:dyDescent="0.25">
      <c r="C4687" s="55"/>
    </row>
    <row r="4688" spans="3:3" x14ac:dyDescent="0.25">
      <c r="C4688" s="55"/>
    </row>
    <row r="4689" spans="3:3" x14ac:dyDescent="0.25">
      <c r="C4689" s="55"/>
    </row>
    <row r="4690" spans="3:3" x14ac:dyDescent="0.25">
      <c r="C4690" s="55"/>
    </row>
    <row r="4691" spans="3:3" x14ac:dyDescent="0.25">
      <c r="C4691" s="55"/>
    </row>
    <row r="4692" spans="3:3" x14ac:dyDescent="0.25">
      <c r="C4692" s="55"/>
    </row>
    <row r="4693" spans="3:3" x14ac:dyDescent="0.25">
      <c r="C4693" s="55"/>
    </row>
    <row r="4694" spans="3:3" x14ac:dyDescent="0.25">
      <c r="C4694" s="55"/>
    </row>
    <row r="4695" spans="3:3" x14ac:dyDescent="0.25">
      <c r="C4695" s="55"/>
    </row>
    <row r="4696" spans="3:3" x14ac:dyDescent="0.25">
      <c r="C4696" s="55"/>
    </row>
    <row r="4697" spans="3:3" x14ac:dyDescent="0.25">
      <c r="C4697" s="55"/>
    </row>
    <row r="4698" spans="3:3" x14ac:dyDescent="0.25">
      <c r="C4698" s="55"/>
    </row>
    <row r="4699" spans="3:3" x14ac:dyDescent="0.25">
      <c r="C4699" s="55"/>
    </row>
    <row r="4700" spans="3:3" x14ac:dyDescent="0.25">
      <c r="C4700" s="55"/>
    </row>
    <row r="4701" spans="3:3" x14ac:dyDescent="0.25">
      <c r="C4701" s="55"/>
    </row>
    <row r="4702" spans="3:3" x14ac:dyDescent="0.25">
      <c r="C4702" s="55"/>
    </row>
    <row r="4703" spans="3:3" x14ac:dyDescent="0.25">
      <c r="C4703" s="55"/>
    </row>
    <row r="4704" spans="3:3" x14ac:dyDescent="0.25">
      <c r="C4704" s="55"/>
    </row>
    <row r="4705" spans="3:3" x14ac:dyDescent="0.25">
      <c r="C4705" s="55"/>
    </row>
    <row r="4706" spans="3:3" x14ac:dyDescent="0.25">
      <c r="C4706" s="55"/>
    </row>
    <row r="4707" spans="3:3" x14ac:dyDescent="0.25">
      <c r="C4707" s="55"/>
    </row>
    <row r="4708" spans="3:3" x14ac:dyDescent="0.25">
      <c r="C4708" s="55"/>
    </row>
    <row r="4709" spans="3:3" x14ac:dyDescent="0.25">
      <c r="C4709" s="55"/>
    </row>
    <row r="4710" spans="3:3" x14ac:dyDescent="0.25">
      <c r="C4710" s="55"/>
    </row>
    <row r="4711" spans="3:3" x14ac:dyDescent="0.25">
      <c r="C4711" s="55"/>
    </row>
    <row r="4712" spans="3:3" x14ac:dyDescent="0.25">
      <c r="C4712" s="55"/>
    </row>
    <row r="4713" spans="3:3" x14ac:dyDescent="0.25">
      <c r="C4713" s="55"/>
    </row>
    <row r="4714" spans="3:3" x14ac:dyDescent="0.25">
      <c r="C4714" s="55"/>
    </row>
    <row r="4715" spans="3:3" x14ac:dyDescent="0.25">
      <c r="C4715" s="55"/>
    </row>
    <row r="4716" spans="3:3" x14ac:dyDescent="0.25">
      <c r="C4716" s="55"/>
    </row>
    <row r="4717" spans="3:3" x14ac:dyDescent="0.25">
      <c r="C4717" s="55"/>
    </row>
    <row r="4718" spans="3:3" x14ac:dyDescent="0.25">
      <c r="C4718" s="55"/>
    </row>
    <row r="4719" spans="3:3" x14ac:dyDescent="0.25">
      <c r="C4719" s="55"/>
    </row>
    <row r="4720" spans="3:3" x14ac:dyDescent="0.25">
      <c r="C4720" s="55"/>
    </row>
    <row r="4721" spans="3:3" x14ac:dyDescent="0.25">
      <c r="C4721" s="55"/>
    </row>
    <row r="4722" spans="3:3" x14ac:dyDescent="0.25">
      <c r="C4722" s="55"/>
    </row>
    <row r="4723" spans="3:3" x14ac:dyDescent="0.25">
      <c r="C4723" s="55"/>
    </row>
    <row r="4724" spans="3:3" x14ac:dyDescent="0.25">
      <c r="C4724" s="55"/>
    </row>
    <row r="4725" spans="3:3" x14ac:dyDescent="0.25">
      <c r="C4725" s="55"/>
    </row>
    <row r="4726" spans="3:3" x14ac:dyDescent="0.25">
      <c r="C4726" s="55"/>
    </row>
    <row r="4727" spans="3:3" x14ac:dyDescent="0.25">
      <c r="C4727" s="55"/>
    </row>
    <row r="4728" spans="3:3" x14ac:dyDescent="0.25">
      <c r="C4728" s="55"/>
    </row>
    <row r="4729" spans="3:3" x14ac:dyDescent="0.25">
      <c r="C4729" s="55"/>
    </row>
    <row r="4730" spans="3:3" x14ac:dyDescent="0.25">
      <c r="C4730" s="55"/>
    </row>
    <row r="4731" spans="3:3" x14ac:dyDescent="0.25">
      <c r="C4731" s="55"/>
    </row>
    <row r="4732" spans="3:3" x14ac:dyDescent="0.25">
      <c r="C4732" s="55"/>
    </row>
    <row r="4733" spans="3:3" x14ac:dyDescent="0.25">
      <c r="C4733" s="55"/>
    </row>
    <row r="4734" spans="3:3" x14ac:dyDescent="0.25">
      <c r="C4734" s="55"/>
    </row>
    <row r="4735" spans="3:3" x14ac:dyDescent="0.25">
      <c r="C4735" s="55"/>
    </row>
    <row r="4736" spans="3:3" x14ac:dyDescent="0.25">
      <c r="C4736" s="55"/>
    </row>
    <row r="4737" spans="3:3" x14ac:dyDescent="0.25">
      <c r="C4737" s="55"/>
    </row>
    <row r="4738" spans="3:3" x14ac:dyDescent="0.25">
      <c r="C4738" s="55"/>
    </row>
    <row r="4739" spans="3:3" x14ac:dyDescent="0.25">
      <c r="C4739" s="55"/>
    </row>
    <row r="4740" spans="3:3" x14ac:dyDescent="0.25">
      <c r="C4740" s="55"/>
    </row>
    <row r="4741" spans="3:3" x14ac:dyDescent="0.25">
      <c r="C4741" s="55"/>
    </row>
    <row r="4742" spans="3:3" x14ac:dyDescent="0.25">
      <c r="C4742" s="55"/>
    </row>
    <row r="4743" spans="3:3" x14ac:dyDescent="0.25">
      <c r="C4743" s="55"/>
    </row>
    <row r="4744" spans="3:3" x14ac:dyDescent="0.25">
      <c r="C4744" s="55"/>
    </row>
    <row r="4745" spans="3:3" x14ac:dyDescent="0.25">
      <c r="C4745" s="55"/>
    </row>
    <row r="4746" spans="3:3" x14ac:dyDescent="0.25">
      <c r="C4746" s="55"/>
    </row>
    <row r="4747" spans="3:3" x14ac:dyDescent="0.25">
      <c r="C4747" s="55"/>
    </row>
    <row r="4748" spans="3:3" x14ac:dyDescent="0.25">
      <c r="C4748" s="55"/>
    </row>
    <row r="4749" spans="3:3" x14ac:dyDescent="0.25">
      <c r="C4749" s="55"/>
    </row>
    <row r="4750" spans="3:3" x14ac:dyDescent="0.25">
      <c r="C4750" s="55"/>
    </row>
    <row r="4751" spans="3:3" x14ac:dyDescent="0.25">
      <c r="C4751" s="55"/>
    </row>
    <row r="4752" spans="3:3" x14ac:dyDescent="0.25">
      <c r="C4752" s="55"/>
    </row>
    <row r="4753" spans="3:3" x14ac:dyDescent="0.25">
      <c r="C4753" s="55"/>
    </row>
    <row r="4754" spans="3:3" x14ac:dyDescent="0.25">
      <c r="C4754" s="55"/>
    </row>
    <row r="4755" spans="3:3" x14ac:dyDescent="0.25">
      <c r="C4755" s="55"/>
    </row>
    <row r="4756" spans="3:3" x14ac:dyDescent="0.25">
      <c r="C4756" s="55"/>
    </row>
    <row r="4757" spans="3:3" x14ac:dyDescent="0.25">
      <c r="C4757" s="55"/>
    </row>
    <row r="4758" spans="3:3" x14ac:dyDescent="0.25">
      <c r="C4758" s="55"/>
    </row>
    <row r="4759" spans="3:3" x14ac:dyDescent="0.25">
      <c r="C4759" s="55"/>
    </row>
    <row r="4760" spans="3:3" x14ac:dyDescent="0.25">
      <c r="C4760" s="55"/>
    </row>
    <row r="4761" spans="3:3" x14ac:dyDescent="0.25">
      <c r="C4761" s="55"/>
    </row>
    <row r="4762" spans="3:3" x14ac:dyDescent="0.25">
      <c r="C4762" s="55"/>
    </row>
    <row r="4763" spans="3:3" x14ac:dyDescent="0.25">
      <c r="C4763" s="55"/>
    </row>
    <row r="5037" spans="3:3" x14ac:dyDescent="0.25">
      <c r="C5037" s="55"/>
    </row>
    <row r="5038" spans="3:3" x14ac:dyDescent="0.25">
      <c r="C5038" s="55"/>
    </row>
    <row r="5039" spans="3:3" x14ac:dyDescent="0.25">
      <c r="C5039" s="55"/>
    </row>
    <row r="5040" spans="3:3" x14ac:dyDescent="0.25">
      <c r="C5040" s="55"/>
    </row>
    <row r="5041" spans="3:3" x14ac:dyDescent="0.25">
      <c r="C5041" s="55"/>
    </row>
    <row r="5042" spans="3:3" x14ac:dyDescent="0.25">
      <c r="C5042" s="55"/>
    </row>
    <row r="5043" spans="3:3" x14ac:dyDescent="0.25">
      <c r="C5043" s="55"/>
    </row>
    <row r="5044" spans="3:3" x14ac:dyDescent="0.25">
      <c r="C5044" s="55"/>
    </row>
    <row r="5045" spans="3:3" x14ac:dyDescent="0.25">
      <c r="C5045" s="55"/>
    </row>
    <row r="5046" spans="3:3" x14ac:dyDescent="0.25">
      <c r="C5046" s="55"/>
    </row>
    <row r="5047" spans="3:3" x14ac:dyDescent="0.25">
      <c r="C5047" s="55"/>
    </row>
    <row r="5048" spans="3:3" x14ac:dyDescent="0.25">
      <c r="C5048" s="55"/>
    </row>
    <row r="5049" spans="3:3" x14ac:dyDescent="0.25">
      <c r="C5049" s="55"/>
    </row>
    <row r="5050" spans="3:3" x14ac:dyDescent="0.25">
      <c r="C5050" s="55"/>
    </row>
    <row r="5051" spans="3:3" x14ac:dyDescent="0.25">
      <c r="C5051" s="55"/>
    </row>
    <row r="5052" spans="3:3" x14ac:dyDescent="0.25">
      <c r="C5052" s="55"/>
    </row>
    <row r="5053" spans="3:3" x14ac:dyDescent="0.25">
      <c r="C5053" s="55"/>
    </row>
    <row r="5054" spans="3:3" x14ac:dyDescent="0.25">
      <c r="C5054" s="55"/>
    </row>
    <row r="5055" spans="3:3" x14ac:dyDescent="0.25">
      <c r="C5055" s="55"/>
    </row>
    <row r="5056" spans="3:3" x14ac:dyDescent="0.25">
      <c r="C5056" s="55"/>
    </row>
    <row r="5057" spans="3:3" x14ac:dyDescent="0.25">
      <c r="C5057" s="55"/>
    </row>
    <row r="5058" spans="3:3" x14ac:dyDescent="0.25">
      <c r="C5058" s="55"/>
    </row>
    <row r="5059" spans="3:3" x14ac:dyDescent="0.25">
      <c r="C5059" s="55"/>
    </row>
    <row r="5060" spans="3:3" x14ac:dyDescent="0.25">
      <c r="C5060" s="55"/>
    </row>
    <row r="5061" spans="3:3" x14ac:dyDescent="0.25">
      <c r="C5061" s="55"/>
    </row>
    <row r="5062" spans="3:3" x14ac:dyDescent="0.25">
      <c r="C5062" s="55"/>
    </row>
    <row r="5063" spans="3:3" x14ac:dyDescent="0.25">
      <c r="C5063" s="55"/>
    </row>
    <row r="5064" spans="3:3" x14ac:dyDescent="0.25">
      <c r="C5064" s="55"/>
    </row>
    <row r="5065" spans="3:3" x14ac:dyDescent="0.25">
      <c r="C5065" s="55"/>
    </row>
    <row r="5066" spans="3:3" x14ac:dyDescent="0.25">
      <c r="C5066" s="55"/>
    </row>
    <row r="5067" spans="3:3" x14ac:dyDescent="0.25">
      <c r="C5067" s="55"/>
    </row>
    <row r="5068" spans="3:3" x14ac:dyDescent="0.25">
      <c r="C5068" s="55"/>
    </row>
    <row r="5069" spans="3:3" x14ac:dyDescent="0.25">
      <c r="C5069" s="55"/>
    </row>
    <row r="5070" spans="3:3" x14ac:dyDescent="0.25">
      <c r="C5070" s="55"/>
    </row>
    <row r="5071" spans="3:3" x14ac:dyDescent="0.25">
      <c r="C5071" s="55"/>
    </row>
    <row r="5072" spans="3:3" x14ac:dyDescent="0.25">
      <c r="C5072" s="55"/>
    </row>
    <row r="5073" spans="3:3" x14ac:dyDescent="0.25">
      <c r="C5073" s="55"/>
    </row>
    <row r="5074" spans="3:3" x14ac:dyDescent="0.25">
      <c r="C5074" s="55"/>
    </row>
    <row r="5075" spans="3:3" x14ac:dyDescent="0.25">
      <c r="C5075" s="55"/>
    </row>
    <row r="5076" spans="3:3" x14ac:dyDescent="0.25">
      <c r="C5076" s="55"/>
    </row>
    <row r="5077" spans="3:3" x14ac:dyDescent="0.25">
      <c r="C5077" s="55"/>
    </row>
    <row r="5078" spans="3:3" x14ac:dyDescent="0.25">
      <c r="C5078" s="55"/>
    </row>
    <row r="5079" spans="3:3" x14ac:dyDescent="0.25">
      <c r="C5079" s="55"/>
    </row>
    <row r="5080" spans="3:3" x14ac:dyDescent="0.25">
      <c r="C5080" s="55"/>
    </row>
    <row r="5081" spans="3:3" x14ac:dyDescent="0.25">
      <c r="C5081" s="55"/>
    </row>
    <row r="5082" spans="3:3" x14ac:dyDescent="0.25">
      <c r="C5082" s="55"/>
    </row>
    <row r="5083" spans="3:3" x14ac:dyDescent="0.25">
      <c r="C5083" s="55"/>
    </row>
    <row r="5084" spans="3:3" x14ac:dyDescent="0.25">
      <c r="C5084" s="55"/>
    </row>
    <row r="5085" spans="3:3" x14ac:dyDescent="0.25">
      <c r="C5085" s="55"/>
    </row>
    <row r="5086" spans="3:3" x14ac:dyDescent="0.25">
      <c r="C5086" s="55"/>
    </row>
    <row r="5087" spans="3:3" x14ac:dyDescent="0.25">
      <c r="C5087" s="55"/>
    </row>
    <row r="5088" spans="3:3" x14ac:dyDescent="0.25">
      <c r="C5088" s="55"/>
    </row>
    <row r="5089" spans="3:3" x14ac:dyDescent="0.25">
      <c r="C5089" s="55"/>
    </row>
    <row r="5090" spans="3:3" x14ac:dyDescent="0.25">
      <c r="C5090" s="55"/>
    </row>
    <row r="5091" spans="3:3" x14ac:dyDescent="0.25">
      <c r="C5091" s="55"/>
    </row>
    <row r="5092" spans="3:3" x14ac:dyDescent="0.25">
      <c r="C5092" s="55"/>
    </row>
    <row r="5093" spans="3:3" x14ac:dyDescent="0.25">
      <c r="C5093" s="55"/>
    </row>
    <row r="5094" spans="3:3" x14ac:dyDescent="0.25">
      <c r="C5094" s="55"/>
    </row>
    <row r="5095" spans="3:3" x14ac:dyDescent="0.25">
      <c r="C5095" s="55"/>
    </row>
    <row r="5096" spans="3:3" x14ac:dyDescent="0.25">
      <c r="C5096" s="55"/>
    </row>
    <row r="5097" spans="3:3" x14ac:dyDescent="0.25">
      <c r="C5097" s="55"/>
    </row>
    <row r="5098" spans="3:3" x14ac:dyDescent="0.25">
      <c r="C5098" s="55"/>
    </row>
    <row r="5099" spans="3:3" x14ac:dyDescent="0.25">
      <c r="C5099" s="55"/>
    </row>
    <row r="5100" spans="3:3" x14ac:dyDescent="0.25">
      <c r="C5100" s="55"/>
    </row>
    <row r="5101" spans="3:3" x14ac:dyDescent="0.25">
      <c r="C5101" s="55"/>
    </row>
    <row r="5102" spans="3:3" x14ac:dyDescent="0.25">
      <c r="C5102" s="55"/>
    </row>
    <row r="5103" spans="3:3" x14ac:dyDescent="0.25">
      <c r="C5103" s="55"/>
    </row>
    <row r="5104" spans="3:3" x14ac:dyDescent="0.25">
      <c r="C5104" s="55"/>
    </row>
    <row r="5105" spans="3:3" x14ac:dyDescent="0.25">
      <c r="C5105" s="55"/>
    </row>
    <row r="5106" spans="3:3" x14ac:dyDescent="0.25">
      <c r="C5106" s="55"/>
    </row>
    <row r="5107" spans="3:3" x14ac:dyDescent="0.25">
      <c r="C5107" s="55"/>
    </row>
    <row r="5108" spans="3:3" x14ac:dyDescent="0.25">
      <c r="C5108" s="55"/>
    </row>
    <row r="5109" spans="3:3" x14ac:dyDescent="0.25">
      <c r="C5109" s="55"/>
    </row>
    <row r="5110" spans="3:3" x14ac:dyDescent="0.25">
      <c r="C5110" s="55"/>
    </row>
    <row r="5111" spans="3:3" x14ac:dyDescent="0.25">
      <c r="C5111" s="55"/>
    </row>
    <row r="5112" spans="3:3" x14ac:dyDescent="0.25">
      <c r="C5112" s="55"/>
    </row>
    <row r="5113" spans="3:3" x14ac:dyDescent="0.25">
      <c r="C5113" s="55"/>
    </row>
    <row r="5114" spans="3:3" x14ac:dyDescent="0.25">
      <c r="C5114" s="55"/>
    </row>
    <row r="5115" spans="3:3" x14ac:dyDescent="0.25">
      <c r="C5115" s="55"/>
    </row>
    <row r="5116" spans="3:3" x14ac:dyDescent="0.25">
      <c r="C5116" s="55"/>
    </row>
    <row r="5117" spans="3:3" x14ac:dyDescent="0.25">
      <c r="C5117" s="55"/>
    </row>
    <row r="5118" spans="3:3" x14ac:dyDescent="0.25">
      <c r="C5118" s="55"/>
    </row>
    <row r="5119" spans="3:3" x14ac:dyDescent="0.25">
      <c r="C5119" s="55"/>
    </row>
    <row r="5120" spans="3:3" x14ac:dyDescent="0.25">
      <c r="C5120" s="55"/>
    </row>
    <row r="5121" spans="3:3" x14ac:dyDescent="0.25">
      <c r="C5121" s="55"/>
    </row>
    <row r="5122" spans="3:3" x14ac:dyDescent="0.25">
      <c r="C5122" s="55"/>
    </row>
    <row r="5123" spans="3:3" x14ac:dyDescent="0.25">
      <c r="C5123" s="55"/>
    </row>
    <row r="5124" spans="3:3" x14ac:dyDescent="0.25">
      <c r="C5124" s="55"/>
    </row>
    <row r="5125" spans="3:3" x14ac:dyDescent="0.25">
      <c r="C5125" s="55"/>
    </row>
    <row r="5126" spans="3:3" x14ac:dyDescent="0.25">
      <c r="C5126" s="55"/>
    </row>
    <row r="5127" spans="3:3" x14ac:dyDescent="0.25">
      <c r="C5127" s="55"/>
    </row>
    <row r="5128" spans="3:3" x14ac:dyDescent="0.25">
      <c r="C5128" s="55"/>
    </row>
    <row r="5129" spans="3:3" x14ac:dyDescent="0.25">
      <c r="C5129" s="55"/>
    </row>
    <row r="5130" spans="3:3" x14ac:dyDescent="0.25">
      <c r="C5130" s="55"/>
    </row>
    <row r="5131" spans="3:3" x14ac:dyDescent="0.25">
      <c r="C5131" s="55"/>
    </row>
    <row r="5132" spans="3:3" x14ac:dyDescent="0.25">
      <c r="C5132" s="55"/>
    </row>
    <row r="5133" spans="3:3" x14ac:dyDescent="0.25">
      <c r="C5133" s="55"/>
    </row>
    <row r="5134" spans="3:3" x14ac:dyDescent="0.25">
      <c r="C5134" s="55"/>
    </row>
    <row r="5135" spans="3:3" x14ac:dyDescent="0.25">
      <c r="C5135" s="55"/>
    </row>
    <row r="5136" spans="3:3" x14ac:dyDescent="0.25">
      <c r="C5136" s="55"/>
    </row>
    <row r="5137" spans="3:3" x14ac:dyDescent="0.25">
      <c r="C5137" s="55"/>
    </row>
    <row r="5138" spans="3:3" x14ac:dyDescent="0.25">
      <c r="C5138" s="55"/>
    </row>
    <row r="5139" spans="3:3" x14ac:dyDescent="0.25">
      <c r="C5139" s="55"/>
    </row>
    <row r="5140" spans="3:3" x14ac:dyDescent="0.25">
      <c r="C5140" s="55"/>
    </row>
    <row r="5141" spans="3:3" x14ac:dyDescent="0.25">
      <c r="C5141" s="55"/>
    </row>
    <row r="5142" spans="3:3" x14ac:dyDescent="0.25">
      <c r="C5142" s="55"/>
    </row>
    <row r="5143" spans="3:3" x14ac:dyDescent="0.25">
      <c r="C5143" s="55"/>
    </row>
    <row r="5144" spans="3:3" x14ac:dyDescent="0.25">
      <c r="C5144" s="55"/>
    </row>
    <row r="5145" spans="3:3" x14ac:dyDescent="0.25">
      <c r="C5145" s="55"/>
    </row>
    <row r="5146" spans="3:3" x14ac:dyDescent="0.25">
      <c r="C5146" s="55"/>
    </row>
    <row r="5147" spans="3:3" x14ac:dyDescent="0.25">
      <c r="C5147" s="55"/>
    </row>
    <row r="5148" spans="3:3" x14ac:dyDescent="0.25">
      <c r="C5148" s="55"/>
    </row>
    <row r="5149" spans="3:3" x14ac:dyDescent="0.25">
      <c r="C5149" s="55"/>
    </row>
    <row r="5150" spans="3:3" x14ac:dyDescent="0.25">
      <c r="C5150" s="55"/>
    </row>
    <row r="5151" spans="3:3" x14ac:dyDescent="0.25">
      <c r="C5151" s="55"/>
    </row>
    <row r="5152" spans="3:3" x14ac:dyDescent="0.25">
      <c r="C5152" s="55"/>
    </row>
    <row r="5153" spans="3:3" x14ac:dyDescent="0.25">
      <c r="C5153" s="55"/>
    </row>
    <row r="5154" spans="3:3" x14ac:dyDescent="0.25">
      <c r="C5154" s="55"/>
    </row>
    <row r="5155" spans="3:3" x14ac:dyDescent="0.25">
      <c r="C5155" s="55"/>
    </row>
    <row r="5156" spans="3:3" x14ac:dyDescent="0.25">
      <c r="C5156" s="55"/>
    </row>
    <row r="5157" spans="3:3" x14ac:dyDescent="0.25">
      <c r="C5157" s="55"/>
    </row>
    <row r="5158" spans="3:3" x14ac:dyDescent="0.25">
      <c r="C5158" s="55"/>
    </row>
    <row r="5159" spans="3:3" x14ac:dyDescent="0.25">
      <c r="C5159" s="55"/>
    </row>
    <row r="5160" spans="3:3" x14ac:dyDescent="0.25">
      <c r="C5160" s="55"/>
    </row>
    <row r="5161" spans="3:3" x14ac:dyDescent="0.25">
      <c r="C5161" s="55"/>
    </row>
    <row r="5162" spans="3:3" x14ac:dyDescent="0.25">
      <c r="C5162" s="55"/>
    </row>
    <row r="5163" spans="3:3" x14ac:dyDescent="0.25">
      <c r="C5163" s="55"/>
    </row>
    <row r="5164" spans="3:3" x14ac:dyDescent="0.25">
      <c r="C5164" s="55"/>
    </row>
    <row r="5165" spans="3:3" x14ac:dyDescent="0.25">
      <c r="C5165" s="55"/>
    </row>
    <row r="5166" spans="3:3" x14ac:dyDescent="0.25">
      <c r="C5166" s="55"/>
    </row>
    <row r="5167" spans="3:3" x14ac:dyDescent="0.25">
      <c r="C5167" s="55"/>
    </row>
    <row r="5168" spans="3:3" x14ac:dyDescent="0.25">
      <c r="C5168" s="55"/>
    </row>
    <row r="5169" spans="3:3" x14ac:dyDescent="0.25">
      <c r="C5169" s="55"/>
    </row>
    <row r="5170" spans="3:3" x14ac:dyDescent="0.25">
      <c r="C5170" s="55"/>
    </row>
    <row r="5171" spans="3:3" x14ac:dyDescent="0.25">
      <c r="C5171" s="55"/>
    </row>
    <row r="5172" spans="3:3" x14ac:dyDescent="0.25">
      <c r="C5172" s="55"/>
    </row>
    <row r="5173" spans="3:3" x14ac:dyDescent="0.25">
      <c r="C5173" s="55"/>
    </row>
    <row r="5174" spans="3:3" x14ac:dyDescent="0.25">
      <c r="C5174" s="55"/>
    </row>
    <row r="5175" spans="3:3" x14ac:dyDescent="0.25">
      <c r="C5175" s="55"/>
    </row>
    <row r="5176" spans="3:3" x14ac:dyDescent="0.25">
      <c r="C5176" s="55"/>
    </row>
    <row r="5177" spans="3:3" x14ac:dyDescent="0.25">
      <c r="C5177" s="55"/>
    </row>
    <row r="5178" spans="3:3" x14ac:dyDescent="0.25">
      <c r="C5178" s="55"/>
    </row>
    <row r="5179" spans="3:3" x14ac:dyDescent="0.25">
      <c r="C5179" s="55"/>
    </row>
    <row r="5180" spans="3:3" x14ac:dyDescent="0.25">
      <c r="C5180" s="55"/>
    </row>
    <row r="5181" spans="3:3" x14ac:dyDescent="0.25">
      <c r="C5181" s="55"/>
    </row>
    <row r="5182" spans="3:3" x14ac:dyDescent="0.25">
      <c r="C5182" s="55"/>
    </row>
    <row r="5183" spans="3:3" x14ac:dyDescent="0.25">
      <c r="C5183" s="55"/>
    </row>
    <row r="5184" spans="3:3" x14ac:dyDescent="0.25">
      <c r="C5184" s="55"/>
    </row>
    <row r="5185" spans="3:3" x14ac:dyDescent="0.25">
      <c r="C5185" s="55"/>
    </row>
    <row r="5186" spans="3:3" x14ac:dyDescent="0.25">
      <c r="C5186" s="55"/>
    </row>
    <row r="5187" spans="3:3" x14ac:dyDescent="0.25">
      <c r="C5187" s="55"/>
    </row>
    <row r="5188" spans="3:3" x14ac:dyDescent="0.25">
      <c r="C5188" s="55"/>
    </row>
    <row r="5189" spans="3:3" x14ac:dyDescent="0.25">
      <c r="C5189" s="55"/>
    </row>
    <row r="5190" spans="3:3" x14ac:dyDescent="0.25">
      <c r="C5190" s="55"/>
    </row>
    <row r="5191" spans="3:3" x14ac:dyDescent="0.25">
      <c r="C5191" s="55"/>
    </row>
    <row r="5192" spans="3:3" x14ac:dyDescent="0.25">
      <c r="C5192" s="55"/>
    </row>
    <row r="5193" spans="3:3" x14ac:dyDescent="0.25">
      <c r="C5193" s="55"/>
    </row>
    <row r="5194" spans="3:3" x14ac:dyDescent="0.25">
      <c r="C5194" s="55"/>
    </row>
    <row r="5195" spans="3:3" x14ac:dyDescent="0.25">
      <c r="C5195" s="55"/>
    </row>
    <row r="5196" spans="3:3" x14ac:dyDescent="0.25">
      <c r="C5196" s="55"/>
    </row>
    <row r="5197" spans="3:3" x14ac:dyDescent="0.25">
      <c r="C5197" s="55"/>
    </row>
    <row r="5198" spans="3:3" x14ac:dyDescent="0.25">
      <c r="C5198" s="55"/>
    </row>
    <row r="5199" spans="3:3" x14ac:dyDescent="0.25">
      <c r="C5199" s="55"/>
    </row>
    <row r="5200" spans="3:3" x14ac:dyDescent="0.25">
      <c r="C5200" s="55"/>
    </row>
    <row r="5201" spans="3:3" x14ac:dyDescent="0.25">
      <c r="C5201" s="55"/>
    </row>
    <row r="5202" spans="3:3" x14ac:dyDescent="0.25">
      <c r="C5202" s="55"/>
    </row>
    <row r="5203" spans="3:3" x14ac:dyDescent="0.25">
      <c r="C5203" s="55"/>
    </row>
    <row r="5204" spans="3:3" x14ac:dyDescent="0.25">
      <c r="C5204" s="55"/>
    </row>
    <row r="5205" spans="3:3" x14ac:dyDescent="0.25">
      <c r="C5205" s="55"/>
    </row>
    <row r="5206" spans="3:3" x14ac:dyDescent="0.25">
      <c r="C5206" s="55"/>
    </row>
    <row r="5207" spans="3:3" x14ac:dyDescent="0.25">
      <c r="C5207" s="55"/>
    </row>
    <row r="5208" spans="3:3" x14ac:dyDescent="0.25">
      <c r="C5208" s="55"/>
    </row>
    <row r="5209" spans="3:3" x14ac:dyDescent="0.25">
      <c r="C5209" s="55"/>
    </row>
    <row r="5210" spans="3:3" x14ac:dyDescent="0.25">
      <c r="C5210" s="55"/>
    </row>
    <row r="5211" spans="3:3" x14ac:dyDescent="0.25">
      <c r="C5211" s="55"/>
    </row>
    <row r="5212" spans="3:3" x14ac:dyDescent="0.25">
      <c r="C5212" s="55"/>
    </row>
    <row r="5213" spans="3:3" x14ac:dyDescent="0.25">
      <c r="C5213" s="55"/>
    </row>
    <row r="5214" spans="3:3" x14ac:dyDescent="0.25">
      <c r="C5214" s="55"/>
    </row>
    <row r="5215" spans="3:3" x14ac:dyDescent="0.25">
      <c r="C5215" s="55"/>
    </row>
    <row r="5216" spans="3:3" x14ac:dyDescent="0.25">
      <c r="C5216" s="55"/>
    </row>
    <row r="5217" spans="3:3" x14ac:dyDescent="0.25">
      <c r="C5217" s="55"/>
    </row>
    <row r="5218" spans="3:3" x14ac:dyDescent="0.25">
      <c r="C5218" s="55"/>
    </row>
    <row r="5219" spans="3:3" x14ac:dyDescent="0.25">
      <c r="C5219" s="55"/>
    </row>
    <row r="5220" spans="3:3" x14ac:dyDescent="0.25">
      <c r="C5220" s="55"/>
    </row>
    <row r="5221" spans="3:3" x14ac:dyDescent="0.25">
      <c r="C5221" s="55"/>
    </row>
    <row r="5222" spans="3:3" x14ac:dyDescent="0.25">
      <c r="C5222" s="55"/>
    </row>
    <row r="5223" spans="3:3" x14ac:dyDescent="0.25">
      <c r="C5223" s="55"/>
    </row>
    <row r="5224" spans="3:3" x14ac:dyDescent="0.25">
      <c r="C5224" s="55"/>
    </row>
    <row r="5225" spans="3:3" x14ac:dyDescent="0.25">
      <c r="C5225" s="55"/>
    </row>
    <row r="5226" spans="3:3" x14ac:dyDescent="0.25">
      <c r="C5226" s="55"/>
    </row>
    <row r="5227" spans="3:3" x14ac:dyDescent="0.25">
      <c r="C5227" s="55"/>
    </row>
    <row r="5228" spans="3:3" x14ac:dyDescent="0.25">
      <c r="C5228" s="55"/>
    </row>
    <row r="5229" spans="3:3" x14ac:dyDescent="0.25">
      <c r="C5229" s="55"/>
    </row>
    <row r="5230" spans="3:3" x14ac:dyDescent="0.25">
      <c r="C5230" s="55"/>
    </row>
    <row r="5231" spans="3:3" x14ac:dyDescent="0.25">
      <c r="C5231" s="55"/>
    </row>
    <row r="5232" spans="3:3" x14ac:dyDescent="0.25">
      <c r="C5232" s="55"/>
    </row>
    <row r="5233" spans="3:3" x14ac:dyDescent="0.25">
      <c r="C5233" s="55"/>
    </row>
    <row r="5234" spans="3:3" x14ac:dyDescent="0.25">
      <c r="C5234" s="55"/>
    </row>
    <row r="5235" spans="3:3" x14ac:dyDescent="0.25">
      <c r="C5235" s="55"/>
    </row>
    <row r="5236" spans="3:3" x14ac:dyDescent="0.25">
      <c r="C5236" s="55"/>
    </row>
    <row r="5237" spans="3:3" x14ac:dyDescent="0.25">
      <c r="C5237" s="55"/>
    </row>
    <row r="5238" spans="3:3" x14ac:dyDescent="0.25">
      <c r="C5238" s="55"/>
    </row>
    <row r="5239" spans="3:3" x14ac:dyDescent="0.25">
      <c r="C5239" s="55"/>
    </row>
    <row r="5240" spans="3:3" x14ac:dyDescent="0.25">
      <c r="C5240" s="55"/>
    </row>
    <row r="5241" spans="3:3" x14ac:dyDescent="0.25">
      <c r="C5241" s="55"/>
    </row>
    <row r="5242" spans="3:3" x14ac:dyDescent="0.25">
      <c r="C5242" s="55"/>
    </row>
    <row r="5243" spans="3:3" x14ac:dyDescent="0.25">
      <c r="C5243" s="55"/>
    </row>
    <row r="5244" spans="3:3" x14ac:dyDescent="0.25">
      <c r="C5244" s="55"/>
    </row>
    <row r="5245" spans="3:3" x14ac:dyDescent="0.25">
      <c r="C5245" s="55"/>
    </row>
    <row r="5246" spans="3:3" x14ac:dyDescent="0.25">
      <c r="C5246" s="55"/>
    </row>
    <row r="5247" spans="3:3" x14ac:dyDescent="0.25">
      <c r="C5247" s="55"/>
    </row>
    <row r="5248" spans="3:3" x14ac:dyDescent="0.25">
      <c r="C5248" s="55"/>
    </row>
    <row r="5249" spans="3:3" x14ac:dyDescent="0.25">
      <c r="C5249" s="55"/>
    </row>
    <row r="5250" spans="3:3" x14ac:dyDescent="0.25">
      <c r="C5250" s="55"/>
    </row>
    <row r="5251" spans="3:3" x14ac:dyDescent="0.25">
      <c r="C5251" s="55"/>
    </row>
    <row r="5252" spans="3:3" x14ac:dyDescent="0.25">
      <c r="C5252" s="55"/>
    </row>
    <row r="5253" spans="3:3" x14ac:dyDescent="0.25">
      <c r="C5253" s="55"/>
    </row>
    <row r="5254" spans="3:3" x14ac:dyDescent="0.25">
      <c r="C5254" s="55"/>
    </row>
    <row r="5255" spans="3:3" x14ac:dyDescent="0.25">
      <c r="C5255" s="55"/>
    </row>
    <row r="5256" spans="3:3" x14ac:dyDescent="0.25">
      <c r="C5256" s="55"/>
    </row>
    <row r="5257" spans="3:3" x14ac:dyDescent="0.25">
      <c r="C5257" s="55"/>
    </row>
    <row r="5258" spans="3:3" x14ac:dyDescent="0.25">
      <c r="C5258" s="55"/>
    </row>
    <row r="5259" spans="3:3" x14ac:dyDescent="0.25">
      <c r="C5259" s="55"/>
    </row>
    <row r="5260" spans="3:3" x14ac:dyDescent="0.25">
      <c r="C5260" s="55"/>
    </row>
    <row r="5261" spans="3:3" x14ac:dyDescent="0.25">
      <c r="C5261" s="55"/>
    </row>
    <row r="5262" spans="3:3" x14ac:dyDescent="0.25">
      <c r="C5262" s="55"/>
    </row>
    <row r="5263" spans="3:3" x14ac:dyDescent="0.25">
      <c r="C5263" s="55"/>
    </row>
    <row r="5264" spans="3:3" x14ac:dyDescent="0.25">
      <c r="C5264" s="55"/>
    </row>
    <row r="5265" spans="3:3" x14ac:dyDescent="0.25">
      <c r="C5265" s="55"/>
    </row>
    <row r="5266" spans="3:3" x14ac:dyDescent="0.25">
      <c r="C5266" s="55"/>
    </row>
    <row r="5267" spans="3:3" x14ac:dyDescent="0.25">
      <c r="C5267" s="55"/>
    </row>
    <row r="5268" spans="3:3" x14ac:dyDescent="0.25">
      <c r="C5268" s="55"/>
    </row>
    <row r="5269" spans="3:3" x14ac:dyDescent="0.25">
      <c r="C5269" s="55"/>
    </row>
    <row r="5270" spans="3:3" x14ac:dyDescent="0.25">
      <c r="C5270" s="55"/>
    </row>
    <row r="5271" spans="3:3" x14ac:dyDescent="0.25">
      <c r="C5271" s="55"/>
    </row>
    <row r="5272" spans="3:3" x14ac:dyDescent="0.25">
      <c r="C5272" s="55"/>
    </row>
    <row r="5273" spans="3:3" x14ac:dyDescent="0.25">
      <c r="C5273" s="55"/>
    </row>
    <row r="5274" spans="3:3" x14ac:dyDescent="0.25">
      <c r="C5274" s="55"/>
    </row>
    <row r="5275" spans="3:3" x14ac:dyDescent="0.25">
      <c r="C5275" s="55"/>
    </row>
    <row r="5276" spans="3:3" x14ac:dyDescent="0.25">
      <c r="C5276" s="55"/>
    </row>
    <row r="5277" spans="3:3" x14ac:dyDescent="0.25">
      <c r="C5277" s="55"/>
    </row>
    <row r="5278" spans="3:3" x14ac:dyDescent="0.25">
      <c r="C5278" s="55"/>
    </row>
    <row r="5279" spans="3:3" x14ac:dyDescent="0.25">
      <c r="C5279" s="55"/>
    </row>
    <row r="5280" spans="3:3" x14ac:dyDescent="0.25">
      <c r="C5280" s="55"/>
    </row>
    <row r="5281" spans="3:3" x14ac:dyDescent="0.25">
      <c r="C5281" s="55"/>
    </row>
    <row r="5282" spans="3:3" x14ac:dyDescent="0.25">
      <c r="C5282" s="55"/>
    </row>
    <row r="5283" spans="3:3" x14ac:dyDescent="0.25">
      <c r="C5283" s="55"/>
    </row>
    <row r="5284" spans="3:3" x14ac:dyDescent="0.25">
      <c r="C5284" s="55"/>
    </row>
    <row r="5285" spans="3:3" x14ac:dyDescent="0.25">
      <c r="C5285" s="55"/>
    </row>
    <row r="5286" spans="3:3" x14ac:dyDescent="0.25">
      <c r="C5286" s="55"/>
    </row>
    <row r="5287" spans="3:3" x14ac:dyDescent="0.25">
      <c r="C5287" s="55"/>
    </row>
    <row r="5288" spans="3:3" x14ac:dyDescent="0.25">
      <c r="C5288" s="55"/>
    </row>
    <row r="5289" spans="3:3" x14ac:dyDescent="0.25">
      <c r="C5289" s="55"/>
    </row>
    <row r="5290" spans="3:3" x14ac:dyDescent="0.25">
      <c r="C5290" s="55"/>
    </row>
    <row r="5291" spans="3:3" x14ac:dyDescent="0.25">
      <c r="C5291" s="55"/>
    </row>
    <row r="5292" spans="3:3" x14ac:dyDescent="0.25">
      <c r="C5292" s="55"/>
    </row>
    <row r="5293" spans="3:3" x14ac:dyDescent="0.25">
      <c r="C5293" s="55"/>
    </row>
    <row r="5294" spans="3:3" x14ac:dyDescent="0.25">
      <c r="C5294" s="55"/>
    </row>
    <row r="5295" spans="3:3" x14ac:dyDescent="0.25">
      <c r="C5295" s="55"/>
    </row>
    <row r="5296" spans="3:3" x14ac:dyDescent="0.25">
      <c r="C5296" s="55"/>
    </row>
    <row r="5297" spans="3:3" x14ac:dyDescent="0.25">
      <c r="C5297" s="55"/>
    </row>
    <row r="5298" spans="3:3" x14ac:dyDescent="0.25">
      <c r="C5298" s="55"/>
    </row>
    <row r="5299" spans="3:3" x14ac:dyDescent="0.25">
      <c r="C5299" s="55"/>
    </row>
    <row r="5300" spans="3:3" x14ac:dyDescent="0.25">
      <c r="C5300" s="55"/>
    </row>
    <row r="5301" spans="3:3" x14ac:dyDescent="0.25">
      <c r="C5301" s="55"/>
    </row>
    <row r="5302" spans="3:3" x14ac:dyDescent="0.25">
      <c r="C5302" s="55"/>
    </row>
    <row r="5303" spans="3:3" x14ac:dyDescent="0.25">
      <c r="C5303" s="55"/>
    </row>
    <row r="5304" spans="3:3" x14ac:dyDescent="0.25">
      <c r="C5304" s="55"/>
    </row>
    <row r="5305" spans="3:3" x14ac:dyDescent="0.25">
      <c r="C5305" s="55"/>
    </row>
    <row r="5306" spans="3:3" x14ac:dyDescent="0.25">
      <c r="C5306" s="55"/>
    </row>
    <row r="5307" spans="3:3" x14ac:dyDescent="0.25">
      <c r="C5307" s="55"/>
    </row>
    <row r="5308" spans="3:3" x14ac:dyDescent="0.25">
      <c r="C5308" s="55"/>
    </row>
    <row r="5309" spans="3:3" x14ac:dyDescent="0.25">
      <c r="C5309" s="55"/>
    </row>
    <row r="5310" spans="3:3" x14ac:dyDescent="0.25">
      <c r="C5310" s="55"/>
    </row>
    <row r="5311" spans="3:3" x14ac:dyDescent="0.25">
      <c r="C5311" s="55"/>
    </row>
    <row r="5312" spans="3:3" x14ac:dyDescent="0.25">
      <c r="C5312" s="55"/>
    </row>
    <row r="5313" spans="3:3" x14ac:dyDescent="0.25">
      <c r="C5313" s="55"/>
    </row>
    <row r="5314" spans="3:3" x14ac:dyDescent="0.25">
      <c r="C5314" s="55"/>
    </row>
    <row r="5315" spans="3:3" x14ac:dyDescent="0.25">
      <c r="C5315" s="55"/>
    </row>
    <row r="5316" spans="3:3" x14ac:dyDescent="0.25">
      <c r="C5316" s="55"/>
    </row>
    <row r="5317" spans="3:3" x14ac:dyDescent="0.25">
      <c r="C5317" s="55"/>
    </row>
    <row r="5318" spans="3:3" x14ac:dyDescent="0.25">
      <c r="C5318" s="55"/>
    </row>
    <row r="5319" spans="3:3" x14ac:dyDescent="0.25">
      <c r="C5319" s="55"/>
    </row>
    <row r="5320" spans="3:3" x14ac:dyDescent="0.25">
      <c r="C5320" s="55"/>
    </row>
    <row r="5321" spans="3:3" x14ac:dyDescent="0.25">
      <c r="C5321" s="55"/>
    </row>
    <row r="5322" spans="3:3" x14ac:dyDescent="0.25">
      <c r="C5322" s="55"/>
    </row>
    <row r="5323" spans="3:3" x14ac:dyDescent="0.25">
      <c r="C5323" s="55"/>
    </row>
    <row r="5324" spans="3:3" x14ac:dyDescent="0.25">
      <c r="C5324" s="55"/>
    </row>
    <row r="5325" spans="3:3" x14ac:dyDescent="0.25">
      <c r="C5325" s="55"/>
    </row>
    <row r="5326" spans="3:3" x14ac:dyDescent="0.25">
      <c r="C5326" s="55"/>
    </row>
    <row r="5327" spans="3:3" x14ac:dyDescent="0.25">
      <c r="C5327" s="55"/>
    </row>
    <row r="5328" spans="3:3" x14ac:dyDescent="0.25">
      <c r="C5328" s="55"/>
    </row>
    <row r="5329" spans="3:3" x14ac:dyDescent="0.25">
      <c r="C5329" s="55"/>
    </row>
    <row r="5330" spans="3:3" x14ac:dyDescent="0.25">
      <c r="C5330" s="55"/>
    </row>
    <row r="5331" spans="3:3" x14ac:dyDescent="0.25">
      <c r="C5331" s="55"/>
    </row>
    <row r="5332" spans="3:3" x14ac:dyDescent="0.25">
      <c r="C5332" s="55"/>
    </row>
    <row r="5333" spans="3:3" x14ac:dyDescent="0.25">
      <c r="C5333" s="55"/>
    </row>
    <row r="5334" spans="3:3" x14ac:dyDescent="0.25">
      <c r="C5334" s="55"/>
    </row>
    <row r="5335" spans="3:3" x14ac:dyDescent="0.25">
      <c r="C5335" s="55"/>
    </row>
    <row r="5336" spans="3:3" x14ac:dyDescent="0.25">
      <c r="C5336" s="55"/>
    </row>
    <row r="5337" spans="3:3" x14ac:dyDescent="0.25">
      <c r="C5337" s="55"/>
    </row>
    <row r="5338" spans="3:3" x14ac:dyDescent="0.25">
      <c r="C5338" s="55"/>
    </row>
    <row r="5339" spans="3:3" x14ac:dyDescent="0.25">
      <c r="C5339" s="55"/>
    </row>
    <row r="5340" spans="3:3" x14ac:dyDescent="0.25">
      <c r="C5340" s="55"/>
    </row>
    <row r="5341" spans="3:3" x14ac:dyDescent="0.25">
      <c r="C5341" s="55"/>
    </row>
    <row r="5342" spans="3:3" x14ac:dyDescent="0.25">
      <c r="C5342" s="55"/>
    </row>
    <row r="5343" spans="3:3" x14ac:dyDescent="0.25">
      <c r="C5343" s="55"/>
    </row>
    <row r="5344" spans="3:3" x14ac:dyDescent="0.25">
      <c r="C5344" s="55"/>
    </row>
    <row r="5345" spans="3:3" x14ac:dyDescent="0.25">
      <c r="C5345" s="55"/>
    </row>
    <row r="5346" spans="3:3" x14ac:dyDescent="0.25">
      <c r="C5346" s="55"/>
    </row>
    <row r="5347" spans="3:3" x14ac:dyDescent="0.25">
      <c r="C5347" s="55"/>
    </row>
    <row r="5348" spans="3:3" x14ac:dyDescent="0.25">
      <c r="C5348" s="55"/>
    </row>
    <row r="5349" spans="3:3" x14ac:dyDescent="0.25">
      <c r="C5349" s="55"/>
    </row>
    <row r="5350" spans="3:3" x14ac:dyDescent="0.25">
      <c r="C5350" s="55"/>
    </row>
    <row r="5351" spans="3:3" x14ac:dyDescent="0.25">
      <c r="C5351" s="55"/>
    </row>
    <row r="5352" spans="3:3" x14ac:dyDescent="0.25">
      <c r="C5352" s="55"/>
    </row>
    <row r="5353" spans="3:3" x14ac:dyDescent="0.25">
      <c r="C5353" s="55"/>
    </row>
    <row r="5354" spans="3:3" x14ac:dyDescent="0.25">
      <c r="C5354" s="55"/>
    </row>
    <row r="5355" spans="3:3" x14ac:dyDescent="0.25">
      <c r="C5355" s="55"/>
    </row>
    <row r="5356" spans="3:3" x14ac:dyDescent="0.25">
      <c r="C5356" s="55"/>
    </row>
    <row r="5357" spans="3:3" x14ac:dyDescent="0.25">
      <c r="C5357" s="55"/>
    </row>
    <row r="5358" spans="3:3" x14ac:dyDescent="0.25">
      <c r="C5358" s="55"/>
    </row>
    <row r="5359" spans="3:3" x14ac:dyDescent="0.25">
      <c r="C5359" s="55"/>
    </row>
    <row r="5360" spans="3:3" x14ac:dyDescent="0.25">
      <c r="C5360" s="55"/>
    </row>
    <row r="5361" spans="3:3" x14ac:dyDescent="0.25">
      <c r="C5361" s="55"/>
    </row>
    <row r="5362" spans="3:3" x14ac:dyDescent="0.25">
      <c r="C5362" s="55"/>
    </row>
    <row r="5363" spans="3:3" x14ac:dyDescent="0.25">
      <c r="C5363" s="55"/>
    </row>
    <row r="5364" spans="3:3" x14ac:dyDescent="0.25">
      <c r="C5364" s="55"/>
    </row>
    <row r="5365" spans="3:3" x14ac:dyDescent="0.25">
      <c r="C5365" s="55"/>
    </row>
    <row r="5366" spans="3:3" x14ac:dyDescent="0.25">
      <c r="C5366" s="55"/>
    </row>
    <row r="5367" spans="3:3" x14ac:dyDescent="0.25">
      <c r="C5367" s="55"/>
    </row>
    <row r="5368" spans="3:3" x14ac:dyDescent="0.25">
      <c r="C5368" s="55"/>
    </row>
    <row r="5369" spans="3:3" x14ac:dyDescent="0.25">
      <c r="C5369" s="55"/>
    </row>
    <row r="5370" spans="3:3" x14ac:dyDescent="0.25">
      <c r="C5370" s="55"/>
    </row>
    <row r="5371" spans="3:3" x14ac:dyDescent="0.25">
      <c r="C5371" s="55"/>
    </row>
    <row r="5372" spans="3:3" x14ac:dyDescent="0.25">
      <c r="C5372" s="55"/>
    </row>
    <row r="5373" spans="3:3" x14ac:dyDescent="0.25">
      <c r="C5373" s="55"/>
    </row>
    <row r="5374" spans="3:3" x14ac:dyDescent="0.25">
      <c r="C5374" s="55"/>
    </row>
    <row r="5375" spans="3:3" x14ac:dyDescent="0.25">
      <c r="C5375" s="55"/>
    </row>
    <row r="5376" spans="3:3" x14ac:dyDescent="0.25">
      <c r="C5376" s="55"/>
    </row>
    <row r="5377" spans="3:3" x14ac:dyDescent="0.25">
      <c r="C5377" s="55"/>
    </row>
    <row r="5378" spans="3:3" x14ac:dyDescent="0.25">
      <c r="C5378" s="55"/>
    </row>
    <row r="5379" spans="3:3" x14ac:dyDescent="0.25">
      <c r="C5379" s="55"/>
    </row>
    <row r="5380" spans="3:3" x14ac:dyDescent="0.25">
      <c r="C5380" s="55"/>
    </row>
    <row r="5381" spans="3:3" x14ac:dyDescent="0.25">
      <c r="C5381" s="55"/>
    </row>
    <row r="5382" spans="3:3" x14ac:dyDescent="0.25">
      <c r="C5382" s="55"/>
    </row>
    <row r="5383" spans="3:3" x14ac:dyDescent="0.25">
      <c r="C5383" s="55"/>
    </row>
    <row r="5384" spans="3:3" x14ac:dyDescent="0.25">
      <c r="C5384" s="55"/>
    </row>
    <row r="5385" spans="3:3" x14ac:dyDescent="0.25">
      <c r="C5385" s="55"/>
    </row>
    <row r="5386" spans="3:3" x14ac:dyDescent="0.25">
      <c r="C5386" s="55"/>
    </row>
    <row r="5660" spans="3:3" x14ac:dyDescent="0.25">
      <c r="C5660" s="55"/>
    </row>
    <row r="5661" spans="3:3" x14ac:dyDescent="0.25">
      <c r="C5661" s="55"/>
    </row>
    <row r="5662" spans="3:3" x14ac:dyDescent="0.25">
      <c r="C5662" s="55"/>
    </row>
    <row r="5663" spans="3:3" x14ac:dyDescent="0.25">
      <c r="C5663" s="55"/>
    </row>
    <row r="5664" spans="3:3" x14ac:dyDescent="0.25">
      <c r="C5664" s="55"/>
    </row>
    <row r="5665" spans="3:3" x14ac:dyDescent="0.25">
      <c r="C5665" s="55"/>
    </row>
    <row r="5666" spans="3:3" x14ac:dyDescent="0.25">
      <c r="C5666" s="55"/>
    </row>
    <row r="5667" spans="3:3" x14ac:dyDescent="0.25">
      <c r="C5667" s="55"/>
    </row>
    <row r="5668" spans="3:3" x14ac:dyDescent="0.25">
      <c r="C5668" s="55"/>
    </row>
    <row r="5669" spans="3:3" x14ac:dyDescent="0.25">
      <c r="C5669" s="55"/>
    </row>
    <row r="5670" spans="3:3" x14ac:dyDescent="0.25">
      <c r="C5670" s="55"/>
    </row>
    <row r="5671" spans="3:3" x14ac:dyDescent="0.25">
      <c r="C5671" s="55"/>
    </row>
    <row r="5672" spans="3:3" x14ac:dyDescent="0.25">
      <c r="C5672" s="55"/>
    </row>
    <row r="5673" spans="3:3" x14ac:dyDescent="0.25">
      <c r="C5673" s="55"/>
    </row>
    <row r="5674" spans="3:3" x14ac:dyDescent="0.25">
      <c r="C5674" s="55"/>
    </row>
    <row r="5675" spans="3:3" x14ac:dyDescent="0.25">
      <c r="C5675" s="55"/>
    </row>
    <row r="5676" spans="3:3" x14ac:dyDescent="0.25">
      <c r="C5676" s="55"/>
    </row>
    <row r="5677" spans="3:3" x14ac:dyDescent="0.25">
      <c r="C5677" s="55"/>
    </row>
    <row r="5678" spans="3:3" x14ac:dyDescent="0.25">
      <c r="C5678" s="55"/>
    </row>
    <row r="5679" spans="3:3" x14ac:dyDescent="0.25">
      <c r="C5679" s="55"/>
    </row>
    <row r="5680" spans="3:3" x14ac:dyDescent="0.25">
      <c r="C5680" s="55"/>
    </row>
    <row r="5681" spans="3:3" x14ac:dyDescent="0.25">
      <c r="C5681" s="55"/>
    </row>
    <row r="5682" spans="3:3" x14ac:dyDescent="0.25">
      <c r="C5682" s="55"/>
    </row>
    <row r="5683" spans="3:3" x14ac:dyDescent="0.25">
      <c r="C5683" s="55"/>
    </row>
    <row r="5684" spans="3:3" x14ac:dyDescent="0.25">
      <c r="C5684" s="55"/>
    </row>
    <row r="5685" spans="3:3" x14ac:dyDescent="0.25">
      <c r="C5685" s="55"/>
    </row>
    <row r="5686" spans="3:3" x14ac:dyDescent="0.25">
      <c r="C5686" s="55"/>
    </row>
    <row r="5687" spans="3:3" x14ac:dyDescent="0.25">
      <c r="C5687" s="55"/>
    </row>
    <row r="5688" spans="3:3" x14ac:dyDescent="0.25">
      <c r="C5688" s="55"/>
    </row>
    <row r="5689" spans="3:3" x14ac:dyDescent="0.25">
      <c r="C5689" s="55"/>
    </row>
    <row r="5690" spans="3:3" x14ac:dyDescent="0.25">
      <c r="C5690" s="55"/>
    </row>
    <row r="5691" spans="3:3" x14ac:dyDescent="0.25">
      <c r="C5691" s="55"/>
    </row>
    <row r="5692" spans="3:3" x14ac:dyDescent="0.25">
      <c r="C5692" s="55"/>
    </row>
    <row r="5693" spans="3:3" x14ac:dyDescent="0.25">
      <c r="C5693" s="55"/>
    </row>
    <row r="5694" spans="3:3" x14ac:dyDescent="0.25">
      <c r="C5694" s="55"/>
    </row>
    <row r="5695" spans="3:3" x14ac:dyDescent="0.25">
      <c r="C5695" s="55"/>
    </row>
    <row r="5696" spans="3:3" x14ac:dyDescent="0.25">
      <c r="C5696" s="55"/>
    </row>
    <row r="5697" spans="3:3" x14ac:dyDescent="0.25">
      <c r="C5697" s="55"/>
    </row>
    <row r="5698" spans="3:3" x14ac:dyDescent="0.25">
      <c r="C5698" s="55"/>
    </row>
    <row r="5699" spans="3:3" x14ac:dyDescent="0.25">
      <c r="C5699" s="55"/>
    </row>
    <row r="5700" spans="3:3" x14ac:dyDescent="0.25">
      <c r="C5700" s="55"/>
    </row>
    <row r="5701" spans="3:3" x14ac:dyDescent="0.25">
      <c r="C5701" s="55"/>
    </row>
    <row r="5702" spans="3:3" x14ac:dyDescent="0.25">
      <c r="C5702" s="55"/>
    </row>
    <row r="5703" spans="3:3" x14ac:dyDescent="0.25">
      <c r="C5703" s="55"/>
    </row>
    <row r="5704" spans="3:3" x14ac:dyDescent="0.25">
      <c r="C5704" s="55"/>
    </row>
    <row r="5705" spans="3:3" x14ac:dyDescent="0.25">
      <c r="C5705" s="55"/>
    </row>
    <row r="5706" spans="3:3" x14ac:dyDescent="0.25">
      <c r="C5706" s="55"/>
    </row>
    <row r="5707" spans="3:3" x14ac:dyDescent="0.25">
      <c r="C5707" s="55"/>
    </row>
    <row r="5708" spans="3:3" x14ac:dyDescent="0.25">
      <c r="C5708" s="55"/>
    </row>
    <row r="5709" spans="3:3" x14ac:dyDescent="0.25">
      <c r="C5709" s="55"/>
    </row>
    <row r="5710" spans="3:3" x14ac:dyDescent="0.25">
      <c r="C5710" s="55"/>
    </row>
    <row r="5711" spans="3:3" x14ac:dyDescent="0.25">
      <c r="C5711" s="55"/>
    </row>
    <row r="5712" spans="3:3" x14ac:dyDescent="0.25">
      <c r="C5712" s="55"/>
    </row>
    <row r="5713" spans="3:3" x14ac:dyDescent="0.25">
      <c r="C5713" s="55"/>
    </row>
    <row r="5714" spans="3:3" x14ac:dyDescent="0.25">
      <c r="C5714" s="55"/>
    </row>
    <row r="5715" spans="3:3" x14ac:dyDescent="0.25">
      <c r="C5715" s="55"/>
    </row>
    <row r="5716" spans="3:3" x14ac:dyDescent="0.25">
      <c r="C5716" s="55"/>
    </row>
    <row r="5717" spans="3:3" x14ac:dyDescent="0.25">
      <c r="C5717" s="55"/>
    </row>
    <row r="5718" spans="3:3" x14ac:dyDescent="0.25">
      <c r="C5718" s="55"/>
    </row>
    <row r="5719" spans="3:3" x14ac:dyDescent="0.25">
      <c r="C5719" s="55"/>
    </row>
    <row r="5720" spans="3:3" x14ac:dyDescent="0.25">
      <c r="C5720" s="55"/>
    </row>
    <row r="5721" spans="3:3" x14ac:dyDescent="0.25">
      <c r="C5721" s="55"/>
    </row>
    <row r="5722" spans="3:3" x14ac:dyDescent="0.25">
      <c r="C5722" s="55"/>
    </row>
    <row r="5723" spans="3:3" x14ac:dyDescent="0.25">
      <c r="C5723" s="55"/>
    </row>
    <row r="5724" spans="3:3" x14ac:dyDescent="0.25">
      <c r="C5724" s="55"/>
    </row>
    <row r="5725" spans="3:3" x14ac:dyDescent="0.25">
      <c r="C5725" s="55"/>
    </row>
    <row r="5726" spans="3:3" x14ac:dyDescent="0.25">
      <c r="C5726" s="55"/>
    </row>
    <row r="5727" spans="3:3" x14ac:dyDescent="0.25">
      <c r="C5727" s="55"/>
    </row>
    <row r="5728" spans="3:3" x14ac:dyDescent="0.25">
      <c r="C5728" s="55"/>
    </row>
    <row r="5729" spans="3:3" x14ac:dyDescent="0.25">
      <c r="C5729" s="55"/>
    </row>
    <row r="5730" spans="3:3" x14ac:dyDescent="0.25">
      <c r="C5730" s="55"/>
    </row>
    <row r="5731" spans="3:3" x14ac:dyDescent="0.25">
      <c r="C5731" s="55"/>
    </row>
    <row r="5732" spans="3:3" x14ac:dyDescent="0.25">
      <c r="C5732" s="55"/>
    </row>
    <row r="5733" spans="3:3" x14ac:dyDescent="0.25">
      <c r="C5733" s="55"/>
    </row>
    <row r="5734" spans="3:3" x14ac:dyDescent="0.25">
      <c r="C5734" s="55"/>
    </row>
    <row r="5735" spans="3:3" x14ac:dyDescent="0.25">
      <c r="C5735" s="55"/>
    </row>
    <row r="5736" spans="3:3" x14ac:dyDescent="0.25">
      <c r="C5736" s="55"/>
    </row>
    <row r="5737" spans="3:3" x14ac:dyDescent="0.25">
      <c r="C5737" s="55"/>
    </row>
    <row r="5738" spans="3:3" x14ac:dyDescent="0.25">
      <c r="C5738" s="55"/>
    </row>
    <row r="5739" spans="3:3" x14ac:dyDescent="0.25">
      <c r="C5739" s="55"/>
    </row>
    <row r="5740" spans="3:3" x14ac:dyDescent="0.25">
      <c r="C5740" s="55"/>
    </row>
    <row r="5741" spans="3:3" x14ac:dyDescent="0.25">
      <c r="C5741" s="55"/>
    </row>
    <row r="5742" spans="3:3" x14ac:dyDescent="0.25">
      <c r="C5742" s="55"/>
    </row>
    <row r="5743" spans="3:3" x14ac:dyDescent="0.25">
      <c r="C5743" s="55"/>
    </row>
    <row r="5744" spans="3:3" x14ac:dyDescent="0.25">
      <c r="C5744" s="55"/>
    </row>
    <row r="5745" spans="3:3" x14ac:dyDescent="0.25">
      <c r="C5745" s="55"/>
    </row>
    <row r="5746" spans="3:3" x14ac:dyDescent="0.25">
      <c r="C5746" s="55"/>
    </row>
    <row r="5747" spans="3:3" x14ac:dyDescent="0.25">
      <c r="C5747" s="55"/>
    </row>
    <row r="5748" spans="3:3" x14ac:dyDescent="0.25">
      <c r="C5748" s="55"/>
    </row>
    <row r="5749" spans="3:3" x14ac:dyDescent="0.25">
      <c r="C5749" s="55"/>
    </row>
    <row r="5750" spans="3:3" x14ac:dyDescent="0.25">
      <c r="C5750" s="55"/>
    </row>
    <row r="5751" spans="3:3" x14ac:dyDescent="0.25">
      <c r="C5751" s="55"/>
    </row>
    <row r="5752" spans="3:3" x14ac:dyDescent="0.25">
      <c r="C5752" s="55"/>
    </row>
    <row r="5753" spans="3:3" x14ac:dyDescent="0.25">
      <c r="C5753" s="55"/>
    </row>
    <row r="5754" spans="3:3" x14ac:dyDescent="0.25">
      <c r="C5754" s="55"/>
    </row>
    <row r="5755" spans="3:3" x14ac:dyDescent="0.25">
      <c r="C5755" s="55"/>
    </row>
    <row r="5756" spans="3:3" x14ac:dyDescent="0.25">
      <c r="C5756" s="55"/>
    </row>
    <row r="5757" spans="3:3" x14ac:dyDescent="0.25">
      <c r="C5757" s="55"/>
    </row>
    <row r="5758" spans="3:3" x14ac:dyDescent="0.25">
      <c r="C5758" s="55"/>
    </row>
    <row r="5759" spans="3:3" x14ac:dyDescent="0.25">
      <c r="C5759" s="55"/>
    </row>
    <row r="5760" spans="3:3" x14ac:dyDescent="0.25">
      <c r="C5760" s="55"/>
    </row>
    <row r="5761" spans="3:3" x14ac:dyDescent="0.25">
      <c r="C5761" s="55"/>
    </row>
    <row r="5762" spans="3:3" x14ac:dyDescent="0.25">
      <c r="C5762" s="55"/>
    </row>
    <row r="5763" spans="3:3" x14ac:dyDescent="0.25">
      <c r="C5763" s="55"/>
    </row>
    <row r="5764" spans="3:3" x14ac:dyDescent="0.25">
      <c r="C5764" s="55"/>
    </row>
    <row r="5765" spans="3:3" x14ac:dyDescent="0.25">
      <c r="C5765" s="55"/>
    </row>
    <row r="5766" spans="3:3" x14ac:dyDescent="0.25">
      <c r="C5766" s="55"/>
    </row>
    <row r="5767" spans="3:3" x14ac:dyDescent="0.25">
      <c r="C5767" s="55"/>
    </row>
    <row r="5768" spans="3:3" x14ac:dyDescent="0.25">
      <c r="C5768" s="55"/>
    </row>
    <row r="5769" spans="3:3" x14ac:dyDescent="0.25">
      <c r="C5769" s="55"/>
    </row>
    <row r="5770" spans="3:3" x14ac:dyDescent="0.25">
      <c r="C5770" s="55"/>
    </row>
    <row r="5771" spans="3:3" x14ac:dyDescent="0.25">
      <c r="C5771" s="55"/>
    </row>
    <row r="5772" spans="3:3" x14ac:dyDescent="0.25">
      <c r="C5772" s="55"/>
    </row>
    <row r="5773" spans="3:3" x14ac:dyDescent="0.25">
      <c r="C5773" s="55"/>
    </row>
    <row r="5774" spans="3:3" x14ac:dyDescent="0.25">
      <c r="C5774" s="55"/>
    </row>
    <row r="5775" spans="3:3" x14ac:dyDescent="0.25">
      <c r="C5775" s="55"/>
    </row>
    <row r="5776" spans="3:3" x14ac:dyDescent="0.25">
      <c r="C5776" s="55"/>
    </row>
    <row r="5777" spans="3:3" x14ac:dyDescent="0.25">
      <c r="C5777" s="55"/>
    </row>
    <row r="5778" spans="3:3" x14ac:dyDescent="0.25">
      <c r="C5778" s="55"/>
    </row>
    <row r="5779" spans="3:3" x14ac:dyDescent="0.25">
      <c r="C5779" s="55"/>
    </row>
    <row r="5780" spans="3:3" x14ac:dyDescent="0.25">
      <c r="C5780" s="55"/>
    </row>
    <row r="5781" spans="3:3" x14ac:dyDescent="0.25">
      <c r="C5781" s="55"/>
    </row>
    <row r="5782" spans="3:3" x14ac:dyDescent="0.25">
      <c r="C5782" s="55"/>
    </row>
    <row r="5783" spans="3:3" x14ac:dyDescent="0.25">
      <c r="C5783" s="55"/>
    </row>
    <row r="5784" spans="3:3" x14ac:dyDescent="0.25">
      <c r="C5784" s="55"/>
    </row>
    <row r="5785" spans="3:3" x14ac:dyDescent="0.25">
      <c r="C5785" s="55"/>
    </row>
    <row r="5786" spans="3:3" x14ac:dyDescent="0.25">
      <c r="C5786" s="55"/>
    </row>
    <row r="5787" spans="3:3" x14ac:dyDescent="0.25">
      <c r="C5787" s="55"/>
    </row>
    <row r="5788" spans="3:3" x14ac:dyDescent="0.25">
      <c r="C5788" s="55"/>
    </row>
    <row r="5789" spans="3:3" x14ac:dyDescent="0.25">
      <c r="C5789" s="55"/>
    </row>
    <row r="5790" spans="3:3" x14ac:dyDescent="0.25">
      <c r="C5790" s="55"/>
    </row>
    <row r="5791" spans="3:3" x14ac:dyDescent="0.25">
      <c r="C5791" s="55"/>
    </row>
    <row r="5792" spans="3:3" x14ac:dyDescent="0.25">
      <c r="C5792" s="55"/>
    </row>
    <row r="5793" spans="3:3" x14ac:dyDescent="0.25">
      <c r="C5793" s="55"/>
    </row>
    <row r="5794" spans="3:3" x14ac:dyDescent="0.25">
      <c r="C5794" s="55"/>
    </row>
    <row r="5795" spans="3:3" x14ac:dyDescent="0.25">
      <c r="C5795" s="55"/>
    </row>
    <row r="5796" spans="3:3" x14ac:dyDescent="0.25">
      <c r="C5796" s="55"/>
    </row>
    <row r="5797" spans="3:3" x14ac:dyDescent="0.25">
      <c r="C5797" s="55"/>
    </row>
    <row r="5798" spans="3:3" x14ac:dyDescent="0.25">
      <c r="C5798" s="55"/>
    </row>
    <row r="5799" spans="3:3" x14ac:dyDescent="0.25">
      <c r="C5799" s="55"/>
    </row>
    <row r="5800" spans="3:3" x14ac:dyDescent="0.25">
      <c r="C5800" s="55"/>
    </row>
    <row r="5801" spans="3:3" x14ac:dyDescent="0.25">
      <c r="C5801" s="55"/>
    </row>
    <row r="5802" spans="3:3" x14ac:dyDescent="0.25">
      <c r="C5802" s="55"/>
    </row>
    <row r="5803" spans="3:3" x14ac:dyDescent="0.25">
      <c r="C5803" s="55"/>
    </row>
    <row r="5804" spans="3:3" x14ac:dyDescent="0.25">
      <c r="C5804" s="55"/>
    </row>
    <row r="5805" spans="3:3" x14ac:dyDescent="0.25">
      <c r="C5805" s="55"/>
    </row>
    <row r="5806" spans="3:3" x14ac:dyDescent="0.25">
      <c r="C5806" s="55"/>
    </row>
    <row r="5807" spans="3:3" x14ac:dyDescent="0.25">
      <c r="C5807" s="55"/>
    </row>
    <row r="5808" spans="3:3" x14ac:dyDescent="0.25">
      <c r="C5808" s="55"/>
    </row>
    <row r="5809" spans="3:3" x14ac:dyDescent="0.25">
      <c r="C5809" s="55"/>
    </row>
    <row r="5810" spans="3:3" x14ac:dyDescent="0.25">
      <c r="C5810" s="55"/>
    </row>
    <row r="5811" spans="3:3" x14ac:dyDescent="0.25">
      <c r="C5811" s="55"/>
    </row>
    <row r="5812" spans="3:3" x14ac:dyDescent="0.25">
      <c r="C5812" s="55"/>
    </row>
    <row r="5813" spans="3:3" x14ac:dyDescent="0.25">
      <c r="C5813" s="55"/>
    </row>
    <row r="5814" spans="3:3" x14ac:dyDescent="0.25">
      <c r="C5814" s="55"/>
    </row>
    <row r="5815" spans="3:3" x14ac:dyDescent="0.25">
      <c r="C5815" s="55"/>
    </row>
    <row r="5816" spans="3:3" x14ac:dyDescent="0.25">
      <c r="C5816" s="55"/>
    </row>
    <row r="5817" spans="3:3" x14ac:dyDescent="0.25">
      <c r="C5817" s="55"/>
    </row>
    <row r="5818" spans="3:3" x14ac:dyDescent="0.25">
      <c r="C5818" s="55"/>
    </row>
    <row r="5819" spans="3:3" x14ac:dyDescent="0.25">
      <c r="C5819" s="55"/>
    </row>
    <row r="5820" spans="3:3" x14ac:dyDescent="0.25">
      <c r="C5820" s="55"/>
    </row>
    <row r="5821" spans="3:3" x14ac:dyDescent="0.25">
      <c r="C5821" s="55"/>
    </row>
    <row r="5822" spans="3:3" x14ac:dyDescent="0.25">
      <c r="C5822" s="55"/>
    </row>
    <row r="5823" spans="3:3" x14ac:dyDescent="0.25">
      <c r="C5823" s="55"/>
    </row>
    <row r="5824" spans="3:3" x14ac:dyDescent="0.25">
      <c r="C5824" s="55"/>
    </row>
    <row r="5825" spans="3:3" x14ac:dyDescent="0.25">
      <c r="C5825" s="55"/>
    </row>
    <row r="5826" spans="3:3" x14ac:dyDescent="0.25">
      <c r="C5826" s="55"/>
    </row>
    <row r="5827" spans="3:3" x14ac:dyDescent="0.25">
      <c r="C5827" s="55"/>
    </row>
    <row r="5828" spans="3:3" x14ac:dyDescent="0.25">
      <c r="C5828" s="55"/>
    </row>
    <row r="5829" spans="3:3" x14ac:dyDescent="0.25">
      <c r="C5829" s="55"/>
    </row>
    <row r="5830" spans="3:3" x14ac:dyDescent="0.25">
      <c r="C5830" s="55"/>
    </row>
    <row r="5831" spans="3:3" x14ac:dyDescent="0.25">
      <c r="C5831" s="55"/>
    </row>
    <row r="5832" spans="3:3" x14ac:dyDescent="0.25">
      <c r="C5832" s="55"/>
    </row>
    <row r="5833" spans="3:3" x14ac:dyDescent="0.25">
      <c r="C5833" s="55"/>
    </row>
    <row r="5834" spans="3:3" x14ac:dyDescent="0.25">
      <c r="C5834" s="55"/>
    </row>
    <row r="5835" spans="3:3" x14ac:dyDescent="0.25">
      <c r="C5835" s="55"/>
    </row>
    <row r="5836" spans="3:3" x14ac:dyDescent="0.25">
      <c r="C5836" s="55"/>
    </row>
    <row r="5837" spans="3:3" x14ac:dyDescent="0.25">
      <c r="C5837" s="55"/>
    </row>
    <row r="5838" spans="3:3" x14ac:dyDescent="0.25">
      <c r="C5838" s="55"/>
    </row>
    <row r="5839" spans="3:3" x14ac:dyDescent="0.25">
      <c r="C5839" s="55"/>
    </row>
    <row r="5840" spans="3:3" x14ac:dyDescent="0.25">
      <c r="C5840" s="55"/>
    </row>
    <row r="5841" spans="3:3" x14ac:dyDescent="0.25">
      <c r="C5841" s="55"/>
    </row>
    <row r="5842" spans="3:3" x14ac:dyDescent="0.25">
      <c r="C5842" s="55"/>
    </row>
    <row r="5843" spans="3:3" x14ac:dyDescent="0.25">
      <c r="C5843" s="55"/>
    </row>
    <row r="5844" spans="3:3" x14ac:dyDescent="0.25">
      <c r="C5844" s="55"/>
    </row>
    <row r="5845" spans="3:3" x14ac:dyDescent="0.25">
      <c r="C5845" s="55"/>
    </row>
    <row r="5846" spans="3:3" x14ac:dyDescent="0.25">
      <c r="C5846" s="55"/>
    </row>
    <row r="5847" spans="3:3" x14ac:dyDescent="0.25">
      <c r="C5847" s="55"/>
    </row>
    <row r="5848" spans="3:3" x14ac:dyDescent="0.25">
      <c r="C5848" s="55"/>
    </row>
    <row r="5849" spans="3:3" x14ac:dyDescent="0.25">
      <c r="C5849" s="55"/>
    </row>
    <row r="5850" spans="3:3" x14ac:dyDescent="0.25">
      <c r="C5850" s="55"/>
    </row>
    <row r="5851" spans="3:3" x14ac:dyDescent="0.25">
      <c r="C5851" s="55"/>
    </row>
    <row r="5852" spans="3:3" x14ac:dyDescent="0.25">
      <c r="C5852" s="55"/>
    </row>
    <row r="5853" spans="3:3" x14ac:dyDescent="0.25">
      <c r="C5853" s="55"/>
    </row>
    <row r="5854" spans="3:3" x14ac:dyDescent="0.25">
      <c r="C5854" s="55"/>
    </row>
    <row r="5855" spans="3:3" x14ac:dyDescent="0.25">
      <c r="C5855" s="55"/>
    </row>
    <row r="5856" spans="3:3" x14ac:dyDescent="0.25">
      <c r="C5856" s="55"/>
    </row>
    <row r="5857" spans="3:3" x14ac:dyDescent="0.25">
      <c r="C5857" s="55"/>
    </row>
    <row r="5858" spans="3:3" x14ac:dyDescent="0.25">
      <c r="C5858" s="55"/>
    </row>
    <row r="5859" spans="3:3" x14ac:dyDescent="0.25">
      <c r="C5859" s="55"/>
    </row>
    <row r="5860" spans="3:3" x14ac:dyDescent="0.25">
      <c r="C5860" s="55"/>
    </row>
    <row r="5861" spans="3:3" x14ac:dyDescent="0.25">
      <c r="C5861" s="55"/>
    </row>
    <row r="5862" spans="3:3" x14ac:dyDescent="0.25">
      <c r="C5862" s="55"/>
    </row>
    <row r="5863" spans="3:3" x14ac:dyDescent="0.25">
      <c r="C5863" s="55"/>
    </row>
    <row r="5864" spans="3:3" x14ac:dyDescent="0.25">
      <c r="C5864" s="55"/>
    </row>
    <row r="5865" spans="3:3" x14ac:dyDescent="0.25">
      <c r="C5865" s="55"/>
    </row>
    <row r="5866" spans="3:3" x14ac:dyDescent="0.25">
      <c r="C5866" s="55"/>
    </row>
    <row r="5867" spans="3:3" x14ac:dyDescent="0.25">
      <c r="C5867" s="55"/>
    </row>
    <row r="5868" spans="3:3" x14ac:dyDescent="0.25">
      <c r="C5868" s="55"/>
    </row>
    <row r="5869" spans="3:3" x14ac:dyDescent="0.25">
      <c r="C5869" s="55"/>
    </row>
    <row r="5870" spans="3:3" x14ac:dyDescent="0.25">
      <c r="C5870" s="55"/>
    </row>
    <row r="5871" spans="3:3" x14ac:dyDescent="0.25">
      <c r="C5871" s="55"/>
    </row>
    <row r="5872" spans="3:3" x14ac:dyDescent="0.25">
      <c r="C5872" s="55"/>
    </row>
    <row r="5873" spans="3:3" x14ac:dyDescent="0.25">
      <c r="C5873" s="55"/>
    </row>
    <row r="5874" spans="3:3" x14ac:dyDescent="0.25">
      <c r="C5874" s="55"/>
    </row>
    <row r="5875" spans="3:3" x14ac:dyDescent="0.25">
      <c r="C5875" s="55"/>
    </row>
    <row r="5876" spans="3:3" x14ac:dyDescent="0.25">
      <c r="C5876" s="55"/>
    </row>
    <row r="5877" spans="3:3" x14ac:dyDescent="0.25">
      <c r="C5877" s="55"/>
    </row>
    <row r="5878" spans="3:3" x14ac:dyDescent="0.25">
      <c r="C5878" s="55"/>
    </row>
    <row r="5879" spans="3:3" x14ac:dyDescent="0.25">
      <c r="C5879" s="55"/>
    </row>
    <row r="5880" spans="3:3" x14ac:dyDescent="0.25">
      <c r="C5880" s="55"/>
    </row>
    <row r="5881" spans="3:3" x14ac:dyDescent="0.25">
      <c r="C5881" s="55"/>
    </row>
    <row r="5882" spans="3:3" x14ac:dyDescent="0.25">
      <c r="C5882" s="55"/>
    </row>
    <row r="5883" spans="3:3" x14ac:dyDescent="0.25">
      <c r="C5883" s="55"/>
    </row>
    <row r="5884" spans="3:3" x14ac:dyDescent="0.25">
      <c r="C5884" s="55"/>
    </row>
    <row r="5885" spans="3:3" x14ac:dyDescent="0.25">
      <c r="C5885" s="55"/>
    </row>
    <row r="5886" spans="3:3" x14ac:dyDescent="0.25">
      <c r="C5886" s="55"/>
    </row>
    <row r="5887" spans="3:3" x14ac:dyDescent="0.25">
      <c r="C5887" s="55"/>
    </row>
    <row r="5888" spans="3:3" x14ac:dyDescent="0.25">
      <c r="C5888" s="55"/>
    </row>
    <row r="5889" spans="3:3" x14ac:dyDescent="0.25">
      <c r="C5889" s="55"/>
    </row>
    <row r="5890" spans="3:3" x14ac:dyDescent="0.25">
      <c r="C5890" s="55"/>
    </row>
    <row r="5891" spans="3:3" x14ac:dyDescent="0.25">
      <c r="C5891" s="55"/>
    </row>
    <row r="5892" spans="3:3" x14ac:dyDescent="0.25">
      <c r="C5892" s="55"/>
    </row>
    <row r="5893" spans="3:3" x14ac:dyDescent="0.25">
      <c r="C5893" s="55"/>
    </row>
    <row r="5894" spans="3:3" x14ac:dyDescent="0.25">
      <c r="C5894" s="55"/>
    </row>
    <row r="5895" spans="3:3" x14ac:dyDescent="0.25">
      <c r="C5895" s="55"/>
    </row>
    <row r="5896" spans="3:3" x14ac:dyDescent="0.25">
      <c r="C5896" s="55"/>
    </row>
    <row r="5897" spans="3:3" x14ac:dyDescent="0.25">
      <c r="C5897" s="55"/>
    </row>
    <row r="5898" spans="3:3" x14ac:dyDescent="0.25">
      <c r="C5898" s="55"/>
    </row>
    <row r="5899" spans="3:3" x14ac:dyDescent="0.25">
      <c r="C5899" s="55"/>
    </row>
    <row r="5900" spans="3:3" x14ac:dyDescent="0.25">
      <c r="C5900" s="55"/>
    </row>
    <row r="5901" spans="3:3" x14ac:dyDescent="0.25">
      <c r="C5901" s="55"/>
    </row>
    <row r="5902" spans="3:3" x14ac:dyDescent="0.25">
      <c r="C5902" s="55"/>
    </row>
    <row r="5903" spans="3:3" x14ac:dyDescent="0.25">
      <c r="C5903" s="55"/>
    </row>
    <row r="5904" spans="3:3" x14ac:dyDescent="0.25">
      <c r="C5904" s="55"/>
    </row>
    <row r="5905" spans="3:3" x14ac:dyDescent="0.25">
      <c r="C5905" s="55"/>
    </row>
    <row r="5906" spans="3:3" x14ac:dyDescent="0.25">
      <c r="C5906" s="55"/>
    </row>
    <row r="5907" spans="3:3" x14ac:dyDescent="0.25">
      <c r="C5907" s="55"/>
    </row>
    <row r="5908" spans="3:3" x14ac:dyDescent="0.25">
      <c r="C5908" s="55"/>
    </row>
    <row r="5909" spans="3:3" x14ac:dyDescent="0.25">
      <c r="C5909" s="55"/>
    </row>
    <row r="5910" spans="3:3" x14ac:dyDescent="0.25">
      <c r="C5910" s="55"/>
    </row>
    <row r="5911" spans="3:3" x14ac:dyDescent="0.25">
      <c r="C5911" s="55"/>
    </row>
    <row r="5912" spans="3:3" x14ac:dyDescent="0.25">
      <c r="C5912" s="55"/>
    </row>
    <row r="5913" spans="3:3" x14ac:dyDescent="0.25">
      <c r="C5913" s="55"/>
    </row>
    <row r="5914" spans="3:3" x14ac:dyDescent="0.25">
      <c r="C5914" s="55"/>
    </row>
    <row r="5915" spans="3:3" x14ac:dyDescent="0.25">
      <c r="C5915" s="55"/>
    </row>
    <row r="5916" spans="3:3" x14ac:dyDescent="0.25">
      <c r="C5916" s="55"/>
    </row>
    <row r="5917" spans="3:3" x14ac:dyDescent="0.25">
      <c r="C5917" s="55"/>
    </row>
    <row r="5918" spans="3:3" x14ac:dyDescent="0.25">
      <c r="C5918" s="55"/>
    </row>
    <row r="5919" spans="3:3" x14ac:dyDescent="0.25">
      <c r="C5919" s="55"/>
    </row>
    <row r="5920" spans="3:3" x14ac:dyDescent="0.25">
      <c r="C5920" s="55"/>
    </row>
    <row r="5921" spans="3:3" x14ac:dyDescent="0.25">
      <c r="C5921" s="55"/>
    </row>
    <row r="5922" spans="3:3" x14ac:dyDescent="0.25">
      <c r="C5922" s="55"/>
    </row>
    <row r="5923" spans="3:3" x14ac:dyDescent="0.25">
      <c r="C5923" s="55"/>
    </row>
    <row r="5924" spans="3:3" x14ac:dyDescent="0.25">
      <c r="C5924" s="55"/>
    </row>
    <row r="5925" spans="3:3" x14ac:dyDescent="0.25">
      <c r="C5925" s="55"/>
    </row>
    <row r="5926" spans="3:3" x14ac:dyDescent="0.25">
      <c r="C5926" s="55"/>
    </row>
    <row r="5927" spans="3:3" x14ac:dyDescent="0.25">
      <c r="C5927" s="55"/>
    </row>
    <row r="5928" spans="3:3" x14ac:dyDescent="0.25">
      <c r="C5928" s="55"/>
    </row>
    <row r="5929" spans="3:3" x14ac:dyDescent="0.25">
      <c r="C5929" s="55"/>
    </row>
    <row r="5930" spans="3:3" x14ac:dyDescent="0.25">
      <c r="C5930" s="55"/>
    </row>
    <row r="5931" spans="3:3" x14ac:dyDescent="0.25">
      <c r="C5931" s="55"/>
    </row>
    <row r="5932" spans="3:3" x14ac:dyDescent="0.25">
      <c r="C5932" s="55"/>
    </row>
    <row r="5933" spans="3:3" x14ac:dyDescent="0.25">
      <c r="C5933" s="55"/>
    </row>
    <row r="5934" spans="3:3" x14ac:dyDescent="0.25">
      <c r="C5934" s="55"/>
    </row>
    <row r="5935" spans="3:3" x14ac:dyDescent="0.25">
      <c r="C5935" s="55"/>
    </row>
    <row r="5936" spans="3:3" x14ac:dyDescent="0.25">
      <c r="C5936" s="55"/>
    </row>
    <row r="5937" spans="3:3" x14ac:dyDescent="0.25">
      <c r="C5937" s="55"/>
    </row>
    <row r="5938" spans="3:3" x14ac:dyDescent="0.25">
      <c r="C5938" s="55"/>
    </row>
    <row r="5939" spans="3:3" x14ac:dyDescent="0.25">
      <c r="C5939" s="55"/>
    </row>
    <row r="5940" spans="3:3" x14ac:dyDescent="0.25">
      <c r="C5940" s="55"/>
    </row>
    <row r="5941" spans="3:3" x14ac:dyDescent="0.25">
      <c r="C5941" s="55"/>
    </row>
    <row r="5942" spans="3:3" x14ac:dyDescent="0.25">
      <c r="C5942" s="55"/>
    </row>
    <row r="5943" spans="3:3" x14ac:dyDescent="0.25">
      <c r="C5943" s="55"/>
    </row>
    <row r="5944" spans="3:3" x14ac:dyDescent="0.25">
      <c r="C5944" s="55"/>
    </row>
    <row r="5945" spans="3:3" x14ac:dyDescent="0.25">
      <c r="C5945" s="55"/>
    </row>
    <row r="5946" spans="3:3" x14ac:dyDescent="0.25">
      <c r="C5946" s="55"/>
    </row>
    <row r="5947" spans="3:3" x14ac:dyDescent="0.25">
      <c r="C5947" s="55"/>
    </row>
    <row r="5948" spans="3:3" x14ac:dyDescent="0.25">
      <c r="C5948" s="55"/>
    </row>
    <row r="5949" spans="3:3" x14ac:dyDescent="0.25">
      <c r="C5949" s="55"/>
    </row>
    <row r="5950" spans="3:3" x14ac:dyDescent="0.25">
      <c r="C5950" s="55"/>
    </row>
    <row r="5951" spans="3:3" x14ac:dyDescent="0.25">
      <c r="C5951" s="55"/>
    </row>
    <row r="5952" spans="3:3" x14ac:dyDescent="0.25">
      <c r="C5952" s="55"/>
    </row>
    <row r="5953" spans="3:3" x14ac:dyDescent="0.25">
      <c r="C5953" s="55"/>
    </row>
    <row r="5954" spans="3:3" x14ac:dyDescent="0.25">
      <c r="C5954" s="55"/>
    </row>
    <row r="5955" spans="3:3" x14ac:dyDescent="0.25">
      <c r="C5955" s="55"/>
    </row>
    <row r="5956" spans="3:3" x14ac:dyDescent="0.25">
      <c r="C5956" s="55"/>
    </row>
    <row r="5957" spans="3:3" x14ac:dyDescent="0.25">
      <c r="C5957" s="55"/>
    </row>
    <row r="5958" spans="3:3" x14ac:dyDescent="0.25">
      <c r="C5958" s="55"/>
    </row>
    <row r="5959" spans="3:3" x14ac:dyDescent="0.25">
      <c r="C5959" s="55"/>
    </row>
    <row r="5960" spans="3:3" x14ac:dyDescent="0.25">
      <c r="C5960" s="55"/>
    </row>
    <row r="5961" spans="3:3" x14ac:dyDescent="0.25">
      <c r="C5961" s="55"/>
    </row>
    <row r="5962" spans="3:3" x14ac:dyDescent="0.25">
      <c r="C5962" s="55"/>
    </row>
    <row r="5963" spans="3:3" x14ac:dyDescent="0.25">
      <c r="C5963" s="55"/>
    </row>
    <row r="5964" spans="3:3" x14ac:dyDescent="0.25">
      <c r="C5964" s="55"/>
    </row>
    <row r="5965" spans="3:3" x14ac:dyDescent="0.25">
      <c r="C5965" s="55"/>
    </row>
    <row r="5966" spans="3:3" x14ac:dyDescent="0.25">
      <c r="C5966" s="55"/>
    </row>
    <row r="5967" spans="3:3" x14ac:dyDescent="0.25">
      <c r="C5967" s="55"/>
    </row>
    <row r="5968" spans="3:3" x14ac:dyDescent="0.25">
      <c r="C5968" s="55"/>
    </row>
    <row r="5969" spans="3:3" x14ac:dyDescent="0.25">
      <c r="C5969" s="55"/>
    </row>
    <row r="5970" spans="3:3" x14ac:dyDescent="0.25">
      <c r="C5970" s="55"/>
    </row>
    <row r="5971" spans="3:3" x14ac:dyDescent="0.25">
      <c r="C5971" s="55"/>
    </row>
    <row r="5972" spans="3:3" x14ac:dyDescent="0.25">
      <c r="C5972" s="55"/>
    </row>
    <row r="5973" spans="3:3" x14ac:dyDescent="0.25">
      <c r="C5973" s="55"/>
    </row>
    <row r="5974" spans="3:3" x14ac:dyDescent="0.25">
      <c r="C5974" s="55"/>
    </row>
    <row r="5975" spans="3:3" x14ac:dyDescent="0.25">
      <c r="C5975" s="55"/>
    </row>
    <row r="5976" spans="3:3" x14ac:dyDescent="0.25">
      <c r="C5976" s="55"/>
    </row>
    <row r="5977" spans="3:3" x14ac:dyDescent="0.25">
      <c r="C5977" s="55"/>
    </row>
    <row r="5978" spans="3:3" x14ac:dyDescent="0.25">
      <c r="C5978" s="55"/>
    </row>
    <row r="5979" spans="3:3" x14ac:dyDescent="0.25">
      <c r="C5979" s="55"/>
    </row>
    <row r="5980" spans="3:3" x14ac:dyDescent="0.25">
      <c r="C5980" s="55"/>
    </row>
    <row r="5981" spans="3:3" x14ac:dyDescent="0.25">
      <c r="C5981" s="55"/>
    </row>
    <row r="5982" spans="3:3" x14ac:dyDescent="0.25">
      <c r="C5982" s="55"/>
    </row>
    <row r="5983" spans="3:3" x14ac:dyDescent="0.25">
      <c r="C5983" s="55"/>
    </row>
    <row r="5984" spans="3:3" x14ac:dyDescent="0.25">
      <c r="C5984" s="55"/>
    </row>
    <row r="5985" spans="3:3" x14ac:dyDescent="0.25">
      <c r="C5985" s="55"/>
    </row>
    <row r="5986" spans="3:3" x14ac:dyDescent="0.25">
      <c r="C5986" s="55"/>
    </row>
    <row r="5987" spans="3:3" x14ac:dyDescent="0.25">
      <c r="C5987" s="55"/>
    </row>
    <row r="5988" spans="3:3" x14ac:dyDescent="0.25">
      <c r="C5988" s="55"/>
    </row>
    <row r="5989" spans="3:3" x14ac:dyDescent="0.25">
      <c r="C5989" s="55"/>
    </row>
    <row r="5990" spans="3:3" x14ac:dyDescent="0.25">
      <c r="C5990" s="55"/>
    </row>
    <row r="5991" spans="3:3" x14ac:dyDescent="0.25">
      <c r="C5991" s="55"/>
    </row>
    <row r="5992" spans="3:3" x14ac:dyDescent="0.25">
      <c r="C5992" s="55"/>
    </row>
    <row r="5993" spans="3:3" x14ac:dyDescent="0.25">
      <c r="C5993" s="55"/>
    </row>
    <row r="5994" spans="3:3" x14ac:dyDescent="0.25">
      <c r="C5994" s="55"/>
    </row>
    <row r="5995" spans="3:3" x14ac:dyDescent="0.25">
      <c r="C5995" s="55"/>
    </row>
    <row r="5996" spans="3:3" x14ac:dyDescent="0.25">
      <c r="C5996" s="55"/>
    </row>
    <row r="5997" spans="3:3" x14ac:dyDescent="0.25">
      <c r="C5997" s="55"/>
    </row>
    <row r="5998" spans="3:3" x14ac:dyDescent="0.25">
      <c r="C5998" s="55"/>
    </row>
    <row r="5999" spans="3:3" x14ac:dyDescent="0.25">
      <c r="C5999" s="55"/>
    </row>
    <row r="6000" spans="3:3" x14ac:dyDescent="0.25">
      <c r="C6000" s="55"/>
    </row>
    <row r="6001" spans="3:3" x14ac:dyDescent="0.25">
      <c r="C6001" s="55"/>
    </row>
    <row r="6002" spans="3:3" x14ac:dyDescent="0.25">
      <c r="C6002" s="55"/>
    </row>
    <row r="6003" spans="3:3" x14ac:dyDescent="0.25">
      <c r="C6003" s="55"/>
    </row>
    <row r="6004" spans="3:3" x14ac:dyDescent="0.25">
      <c r="C6004" s="55"/>
    </row>
    <row r="6005" spans="3:3" x14ac:dyDescent="0.25">
      <c r="C6005" s="55"/>
    </row>
    <row r="6006" spans="3:3" x14ac:dyDescent="0.25">
      <c r="C6006" s="55"/>
    </row>
    <row r="6007" spans="3:3" x14ac:dyDescent="0.25">
      <c r="C6007" s="55"/>
    </row>
    <row r="6008" spans="3:3" x14ac:dyDescent="0.25">
      <c r="C6008" s="55"/>
    </row>
    <row r="6009" spans="3:3" x14ac:dyDescent="0.25">
      <c r="C6009" s="55"/>
    </row>
    <row r="6283" spans="3:3" x14ac:dyDescent="0.25">
      <c r="C6283" s="55"/>
    </row>
    <row r="6284" spans="3:3" x14ac:dyDescent="0.25">
      <c r="C6284" s="55"/>
    </row>
    <row r="6285" spans="3:3" x14ac:dyDescent="0.25">
      <c r="C6285" s="55"/>
    </row>
    <row r="6286" spans="3:3" x14ac:dyDescent="0.25">
      <c r="C6286" s="55"/>
    </row>
    <row r="6287" spans="3:3" x14ac:dyDescent="0.25">
      <c r="C6287" s="55"/>
    </row>
    <row r="6288" spans="3:3" x14ac:dyDescent="0.25">
      <c r="C6288" s="55"/>
    </row>
    <row r="6289" spans="3:3" x14ac:dyDescent="0.25">
      <c r="C6289" s="55"/>
    </row>
    <row r="6290" spans="3:3" x14ac:dyDescent="0.25">
      <c r="C6290" s="55"/>
    </row>
    <row r="6291" spans="3:3" x14ac:dyDescent="0.25">
      <c r="C6291" s="55"/>
    </row>
    <row r="6292" spans="3:3" x14ac:dyDescent="0.25">
      <c r="C6292" s="55"/>
    </row>
    <row r="6293" spans="3:3" x14ac:dyDescent="0.25">
      <c r="C6293" s="55"/>
    </row>
    <row r="6294" spans="3:3" x14ac:dyDescent="0.25">
      <c r="C6294" s="55"/>
    </row>
    <row r="6295" spans="3:3" x14ac:dyDescent="0.25">
      <c r="C6295" s="55"/>
    </row>
    <row r="6296" spans="3:3" x14ac:dyDescent="0.25">
      <c r="C6296" s="55"/>
    </row>
    <row r="6297" spans="3:3" x14ac:dyDescent="0.25">
      <c r="C6297" s="55"/>
    </row>
    <row r="6298" spans="3:3" x14ac:dyDescent="0.25">
      <c r="C6298" s="55"/>
    </row>
    <row r="6299" spans="3:3" x14ac:dyDescent="0.25">
      <c r="C6299" s="55"/>
    </row>
    <row r="6300" spans="3:3" x14ac:dyDescent="0.25">
      <c r="C6300" s="55"/>
    </row>
    <row r="6301" spans="3:3" x14ac:dyDescent="0.25">
      <c r="C6301" s="55"/>
    </row>
    <row r="6302" spans="3:3" x14ac:dyDescent="0.25">
      <c r="C6302" s="55"/>
    </row>
    <row r="6303" spans="3:3" x14ac:dyDescent="0.25">
      <c r="C6303" s="55"/>
    </row>
    <row r="6304" spans="3:3" x14ac:dyDescent="0.25">
      <c r="C6304" s="55"/>
    </row>
    <row r="6305" spans="3:3" x14ac:dyDescent="0.25">
      <c r="C6305" s="55"/>
    </row>
    <row r="6306" spans="3:3" x14ac:dyDescent="0.25">
      <c r="C6306" s="55"/>
    </row>
    <row r="6307" spans="3:3" x14ac:dyDescent="0.25">
      <c r="C6307" s="55"/>
    </row>
    <row r="6308" spans="3:3" x14ac:dyDescent="0.25">
      <c r="C6308" s="55"/>
    </row>
    <row r="6309" spans="3:3" x14ac:dyDescent="0.25">
      <c r="C6309" s="55"/>
    </row>
    <row r="6310" spans="3:3" x14ac:dyDescent="0.25">
      <c r="C6310" s="55"/>
    </row>
    <row r="6311" spans="3:3" x14ac:dyDescent="0.25">
      <c r="C6311" s="55"/>
    </row>
    <row r="6312" spans="3:3" x14ac:dyDescent="0.25">
      <c r="C6312" s="55"/>
    </row>
    <row r="6313" spans="3:3" x14ac:dyDescent="0.25">
      <c r="C6313" s="55"/>
    </row>
    <row r="6314" spans="3:3" x14ac:dyDescent="0.25">
      <c r="C6314" s="55"/>
    </row>
    <row r="6315" spans="3:3" x14ac:dyDescent="0.25">
      <c r="C6315" s="55"/>
    </row>
    <row r="6316" spans="3:3" x14ac:dyDescent="0.25">
      <c r="C6316" s="55"/>
    </row>
    <row r="6317" spans="3:3" x14ac:dyDescent="0.25">
      <c r="C6317" s="55"/>
    </row>
    <row r="6318" spans="3:3" x14ac:dyDescent="0.25">
      <c r="C6318" s="55"/>
    </row>
    <row r="6319" spans="3:3" x14ac:dyDescent="0.25">
      <c r="C6319" s="55"/>
    </row>
    <row r="6320" spans="3:3" x14ac:dyDescent="0.25">
      <c r="C6320" s="55"/>
    </row>
    <row r="6321" spans="3:3" x14ac:dyDescent="0.25">
      <c r="C6321" s="55"/>
    </row>
    <row r="6322" spans="3:3" x14ac:dyDescent="0.25">
      <c r="C6322" s="55"/>
    </row>
    <row r="6323" spans="3:3" x14ac:dyDescent="0.25">
      <c r="C6323" s="55"/>
    </row>
    <row r="6324" spans="3:3" x14ac:dyDescent="0.25">
      <c r="C6324" s="55"/>
    </row>
    <row r="6325" spans="3:3" x14ac:dyDescent="0.25">
      <c r="C6325" s="55"/>
    </row>
    <row r="6326" spans="3:3" x14ac:dyDescent="0.25">
      <c r="C6326" s="55"/>
    </row>
    <row r="6327" spans="3:3" x14ac:dyDescent="0.25">
      <c r="C6327" s="55"/>
    </row>
    <row r="6328" spans="3:3" x14ac:dyDescent="0.25">
      <c r="C6328" s="55"/>
    </row>
    <row r="6329" spans="3:3" x14ac:dyDescent="0.25">
      <c r="C6329" s="55"/>
    </row>
    <row r="6330" spans="3:3" x14ac:dyDescent="0.25">
      <c r="C6330" s="55"/>
    </row>
    <row r="6331" spans="3:3" x14ac:dyDescent="0.25">
      <c r="C6331" s="55"/>
    </row>
    <row r="6332" spans="3:3" x14ac:dyDescent="0.25">
      <c r="C6332" s="55"/>
    </row>
    <row r="6333" spans="3:3" x14ac:dyDescent="0.25">
      <c r="C6333" s="55"/>
    </row>
    <row r="6334" spans="3:3" x14ac:dyDescent="0.25">
      <c r="C6334" s="55"/>
    </row>
    <row r="6335" spans="3:3" x14ac:dyDescent="0.25">
      <c r="C6335" s="55"/>
    </row>
    <row r="6336" spans="3:3" x14ac:dyDescent="0.25">
      <c r="C6336" s="55"/>
    </row>
    <row r="6337" spans="3:3" x14ac:dyDescent="0.25">
      <c r="C6337" s="55"/>
    </row>
    <row r="6338" spans="3:3" x14ac:dyDescent="0.25">
      <c r="C6338" s="55"/>
    </row>
    <row r="6339" spans="3:3" x14ac:dyDescent="0.25">
      <c r="C6339" s="55"/>
    </row>
    <row r="6340" spans="3:3" x14ac:dyDescent="0.25">
      <c r="C6340" s="55"/>
    </row>
    <row r="6341" spans="3:3" x14ac:dyDescent="0.25">
      <c r="C6341" s="55"/>
    </row>
    <row r="6342" spans="3:3" x14ac:dyDescent="0.25">
      <c r="C6342" s="55"/>
    </row>
    <row r="6343" spans="3:3" x14ac:dyDescent="0.25">
      <c r="C6343" s="55"/>
    </row>
    <row r="6344" spans="3:3" x14ac:dyDescent="0.25">
      <c r="C6344" s="55"/>
    </row>
    <row r="6345" spans="3:3" x14ac:dyDescent="0.25">
      <c r="C6345" s="55"/>
    </row>
    <row r="6346" spans="3:3" x14ac:dyDescent="0.25">
      <c r="C6346" s="55"/>
    </row>
    <row r="6347" spans="3:3" x14ac:dyDescent="0.25">
      <c r="C6347" s="55"/>
    </row>
    <row r="6348" spans="3:3" x14ac:dyDescent="0.25">
      <c r="C6348" s="55"/>
    </row>
    <row r="6349" spans="3:3" x14ac:dyDescent="0.25">
      <c r="C6349" s="55"/>
    </row>
    <row r="6350" spans="3:3" x14ac:dyDescent="0.25">
      <c r="C6350" s="55"/>
    </row>
    <row r="6351" spans="3:3" x14ac:dyDescent="0.25">
      <c r="C6351" s="55"/>
    </row>
    <row r="6352" spans="3:3" x14ac:dyDescent="0.25">
      <c r="C6352" s="55"/>
    </row>
    <row r="6353" spans="3:3" x14ac:dyDescent="0.25">
      <c r="C6353" s="55"/>
    </row>
    <row r="6354" spans="3:3" x14ac:dyDescent="0.25">
      <c r="C6354" s="55"/>
    </row>
    <row r="6355" spans="3:3" x14ac:dyDescent="0.25">
      <c r="C6355" s="55"/>
    </row>
    <row r="6356" spans="3:3" x14ac:dyDescent="0.25">
      <c r="C6356" s="55"/>
    </row>
    <row r="6357" spans="3:3" x14ac:dyDescent="0.25">
      <c r="C6357" s="55"/>
    </row>
    <row r="6358" spans="3:3" x14ac:dyDescent="0.25">
      <c r="C6358" s="55"/>
    </row>
    <row r="6359" spans="3:3" x14ac:dyDescent="0.25">
      <c r="C6359" s="55"/>
    </row>
    <row r="6360" spans="3:3" x14ac:dyDescent="0.25">
      <c r="C6360" s="55"/>
    </row>
    <row r="6361" spans="3:3" x14ac:dyDescent="0.25">
      <c r="C6361" s="55"/>
    </row>
    <row r="6362" spans="3:3" x14ac:dyDescent="0.25">
      <c r="C6362" s="55"/>
    </row>
    <row r="6363" spans="3:3" x14ac:dyDescent="0.25">
      <c r="C6363" s="55"/>
    </row>
    <row r="6364" spans="3:3" x14ac:dyDescent="0.25">
      <c r="C6364" s="55"/>
    </row>
    <row r="6365" spans="3:3" x14ac:dyDescent="0.25">
      <c r="C6365" s="55"/>
    </row>
    <row r="6366" spans="3:3" x14ac:dyDescent="0.25">
      <c r="C6366" s="55"/>
    </row>
    <row r="6367" spans="3:3" x14ac:dyDescent="0.25">
      <c r="C6367" s="55"/>
    </row>
    <row r="6368" spans="3:3" x14ac:dyDescent="0.25">
      <c r="C6368" s="55"/>
    </row>
    <row r="6369" spans="3:3" x14ac:dyDescent="0.25">
      <c r="C6369" s="55"/>
    </row>
    <row r="6370" spans="3:3" x14ac:dyDescent="0.25">
      <c r="C6370" s="55"/>
    </row>
    <row r="6371" spans="3:3" x14ac:dyDescent="0.25">
      <c r="C6371" s="55"/>
    </row>
    <row r="6372" spans="3:3" x14ac:dyDescent="0.25">
      <c r="C6372" s="55"/>
    </row>
    <row r="6373" spans="3:3" x14ac:dyDescent="0.25">
      <c r="C6373" s="55"/>
    </row>
    <row r="6374" spans="3:3" x14ac:dyDescent="0.25">
      <c r="C6374" s="55"/>
    </row>
    <row r="6375" spans="3:3" x14ac:dyDescent="0.25">
      <c r="C6375" s="55"/>
    </row>
    <row r="6376" spans="3:3" x14ac:dyDescent="0.25">
      <c r="C6376" s="55"/>
    </row>
    <row r="6377" spans="3:3" x14ac:dyDescent="0.25">
      <c r="C6377" s="55"/>
    </row>
    <row r="6378" spans="3:3" x14ac:dyDescent="0.25">
      <c r="C6378" s="55"/>
    </row>
    <row r="6379" spans="3:3" x14ac:dyDescent="0.25">
      <c r="C6379" s="55"/>
    </row>
    <row r="6380" spans="3:3" x14ac:dyDescent="0.25">
      <c r="C6380" s="55"/>
    </row>
    <row r="6381" spans="3:3" x14ac:dyDescent="0.25">
      <c r="C6381" s="55"/>
    </row>
    <row r="6382" spans="3:3" x14ac:dyDescent="0.25">
      <c r="C6382" s="55"/>
    </row>
    <row r="6383" spans="3:3" x14ac:dyDescent="0.25">
      <c r="C6383" s="55"/>
    </row>
    <row r="6384" spans="3:3" x14ac:dyDescent="0.25">
      <c r="C6384" s="55"/>
    </row>
    <row r="6385" spans="3:3" x14ac:dyDescent="0.25">
      <c r="C6385" s="55"/>
    </row>
    <row r="6386" spans="3:3" x14ac:dyDescent="0.25">
      <c r="C6386" s="55"/>
    </row>
    <row r="6387" spans="3:3" x14ac:dyDescent="0.25">
      <c r="C6387" s="55"/>
    </row>
    <row r="6388" spans="3:3" x14ac:dyDescent="0.25">
      <c r="C6388" s="55"/>
    </row>
    <row r="6389" spans="3:3" x14ac:dyDescent="0.25">
      <c r="C6389" s="55"/>
    </row>
    <row r="6390" spans="3:3" x14ac:dyDescent="0.25">
      <c r="C6390" s="55"/>
    </row>
    <row r="6391" spans="3:3" x14ac:dyDescent="0.25">
      <c r="C6391" s="55"/>
    </row>
    <row r="6392" spans="3:3" x14ac:dyDescent="0.25">
      <c r="C6392" s="55"/>
    </row>
    <row r="6393" spans="3:3" x14ac:dyDescent="0.25">
      <c r="C6393" s="55"/>
    </row>
    <row r="6394" spans="3:3" x14ac:dyDescent="0.25">
      <c r="C6394" s="55"/>
    </row>
    <row r="6395" spans="3:3" x14ac:dyDescent="0.25">
      <c r="C6395" s="55"/>
    </row>
    <row r="6396" spans="3:3" x14ac:dyDescent="0.25">
      <c r="C6396" s="55"/>
    </row>
    <row r="6397" spans="3:3" x14ac:dyDescent="0.25">
      <c r="C6397" s="55"/>
    </row>
    <row r="6398" spans="3:3" x14ac:dyDescent="0.25">
      <c r="C6398" s="55"/>
    </row>
    <row r="6399" spans="3:3" x14ac:dyDescent="0.25">
      <c r="C6399" s="55"/>
    </row>
    <row r="6400" spans="3:3" x14ac:dyDescent="0.25">
      <c r="C6400" s="55"/>
    </row>
    <row r="6401" spans="3:3" x14ac:dyDescent="0.25">
      <c r="C6401" s="55"/>
    </row>
    <row r="6402" spans="3:3" x14ac:dyDescent="0.25">
      <c r="C6402" s="55"/>
    </row>
    <row r="6403" spans="3:3" x14ac:dyDescent="0.25">
      <c r="C6403" s="55"/>
    </row>
    <row r="6404" spans="3:3" x14ac:dyDescent="0.25">
      <c r="C6404" s="55"/>
    </row>
    <row r="6405" spans="3:3" x14ac:dyDescent="0.25">
      <c r="C6405" s="55"/>
    </row>
    <row r="6406" spans="3:3" x14ac:dyDescent="0.25">
      <c r="C6406" s="55"/>
    </row>
    <row r="6407" spans="3:3" x14ac:dyDescent="0.25">
      <c r="C6407" s="55"/>
    </row>
    <row r="6408" spans="3:3" x14ac:dyDescent="0.25">
      <c r="C6408" s="55"/>
    </row>
    <row r="6409" spans="3:3" x14ac:dyDescent="0.25">
      <c r="C6409" s="55"/>
    </row>
    <row r="6410" spans="3:3" x14ac:dyDescent="0.25">
      <c r="C6410" s="55"/>
    </row>
    <row r="6411" spans="3:3" x14ac:dyDescent="0.25">
      <c r="C6411" s="55"/>
    </row>
    <row r="6412" spans="3:3" x14ac:dyDescent="0.25">
      <c r="C6412" s="55"/>
    </row>
    <row r="6413" spans="3:3" x14ac:dyDescent="0.25">
      <c r="C6413" s="55"/>
    </row>
    <row r="6414" spans="3:3" x14ac:dyDescent="0.25">
      <c r="C6414" s="55"/>
    </row>
    <row r="6415" spans="3:3" x14ac:dyDescent="0.25">
      <c r="C6415" s="55"/>
    </row>
    <row r="6416" spans="3:3" x14ac:dyDescent="0.25">
      <c r="C6416" s="55"/>
    </row>
    <row r="6417" spans="3:3" x14ac:dyDescent="0.25">
      <c r="C6417" s="55"/>
    </row>
    <row r="6418" spans="3:3" x14ac:dyDescent="0.25">
      <c r="C6418" s="55"/>
    </row>
    <row r="6419" spans="3:3" x14ac:dyDescent="0.25">
      <c r="C6419" s="55"/>
    </row>
    <row r="6420" spans="3:3" x14ac:dyDescent="0.25">
      <c r="C6420" s="55"/>
    </row>
    <row r="6421" spans="3:3" x14ac:dyDescent="0.25">
      <c r="C6421" s="55"/>
    </row>
    <row r="6422" spans="3:3" x14ac:dyDescent="0.25">
      <c r="C6422" s="55"/>
    </row>
    <row r="6423" spans="3:3" x14ac:dyDescent="0.25">
      <c r="C6423" s="55"/>
    </row>
    <row r="6424" spans="3:3" x14ac:dyDescent="0.25">
      <c r="C6424" s="55"/>
    </row>
    <row r="6425" spans="3:3" x14ac:dyDescent="0.25">
      <c r="C6425" s="55"/>
    </row>
    <row r="6426" spans="3:3" x14ac:dyDescent="0.25">
      <c r="C6426" s="55"/>
    </row>
    <row r="6427" spans="3:3" x14ac:dyDescent="0.25">
      <c r="C6427" s="55"/>
    </row>
    <row r="6428" spans="3:3" x14ac:dyDescent="0.25">
      <c r="C6428" s="55"/>
    </row>
    <row r="6429" spans="3:3" x14ac:dyDescent="0.25">
      <c r="C6429" s="55"/>
    </row>
    <row r="6430" spans="3:3" x14ac:dyDescent="0.25">
      <c r="C6430" s="55"/>
    </row>
    <row r="6431" spans="3:3" x14ac:dyDescent="0.25">
      <c r="C6431" s="55"/>
    </row>
    <row r="6432" spans="3:3" x14ac:dyDescent="0.25">
      <c r="C6432" s="55"/>
    </row>
    <row r="6433" spans="3:3" x14ac:dyDescent="0.25">
      <c r="C6433" s="55"/>
    </row>
    <row r="6434" spans="3:3" x14ac:dyDescent="0.25">
      <c r="C6434" s="55"/>
    </row>
    <row r="6435" spans="3:3" x14ac:dyDescent="0.25">
      <c r="C6435" s="55"/>
    </row>
    <row r="6436" spans="3:3" x14ac:dyDescent="0.25">
      <c r="C6436" s="55"/>
    </row>
    <row r="6437" spans="3:3" x14ac:dyDescent="0.25">
      <c r="C6437" s="55"/>
    </row>
    <row r="6438" spans="3:3" x14ac:dyDescent="0.25">
      <c r="C6438" s="55"/>
    </row>
    <row r="6439" spans="3:3" x14ac:dyDescent="0.25">
      <c r="C6439" s="55"/>
    </row>
    <row r="6440" spans="3:3" x14ac:dyDescent="0.25">
      <c r="C6440" s="55"/>
    </row>
    <row r="6441" spans="3:3" x14ac:dyDescent="0.25">
      <c r="C6441" s="55"/>
    </row>
    <row r="6442" spans="3:3" x14ac:dyDescent="0.25">
      <c r="C6442" s="55"/>
    </row>
    <row r="6443" spans="3:3" x14ac:dyDescent="0.25">
      <c r="C6443" s="55"/>
    </row>
    <row r="6444" spans="3:3" x14ac:dyDescent="0.25">
      <c r="C6444" s="55"/>
    </row>
    <row r="6445" spans="3:3" x14ac:dyDescent="0.25">
      <c r="C6445" s="55"/>
    </row>
    <row r="6446" spans="3:3" x14ac:dyDescent="0.25">
      <c r="C6446" s="55"/>
    </row>
    <row r="6447" spans="3:3" x14ac:dyDescent="0.25">
      <c r="C6447" s="55"/>
    </row>
    <row r="6448" spans="3:3" x14ac:dyDescent="0.25">
      <c r="C6448" s="55"/>
    </row>
    <row r="6449" spans="3:3" x14ac:dyDescent="0.25">
      <c r="C6449" s="55"/>
    </row>
    <row r="6450" spans="3:3" x14ac:dyDescent="0.25">
      <c r="C6450" s="55"/>
    </row>
    <row r="6451" spans="3:3" x14ac:dyDescent="0.25">
      <c r="C6451" s="55"/>
    </row>
    <row r="6452" spans="3:3" x14ac:dyDescent="0.25">
      <c r="C6452" s="55"/>
    </row>
    <row r="6453" spans="3:3" x14ac:dyDescent="0.25">
      <c r="C6453" s="55"/>
    </row>
    <row r="6454" spans="3:3" x14ac:dyDescent="0.25">
      <c r="C6454" s="55"/>
    </row>
    <row r="6455" spans="3:3" x14ac:dyDescent="0.25">
      <c r="C6455" s="55"/>
    </row>
    <row r="6456" spans="3:3" x14ac:dyDescent="0.25">
      <c r="C6456" s="55"/>
    </row>
    <row r="6457" spans="3:3" x14ac:dyDescent="0.25">
      <c r="C6457" s="55"/>
    </row>
    <row r="6458" spans="3:3" x14ac:dyDescent="0.25">
      <c r="C6458" s="55"/>
    </row>
    <row r="6459" spans="3:3" x14ac:dyDescent="0.25">
      <c r="C6459" s="55"/>
    </row>
    <row r="6460" spans="3:3" x14ac:dyDescent="0.25">
      <c r="C6460" s="55"/>
    </row>
    <row r="6461" spans="3:3" x14ac:dyDescent="0.25">
      <c r="C6461" s="55"/>
    </row>
    <row r="6462" spans="3:3" x14ac:dyDescent="0.25">
      <c r="C6462" s="55"/>
    </row>
    <row r="6463" spans="3:3" x14ac:dyDescent="0.25">
      <c r="C6463" s="55"/>
    </row>
    <row r="6464" spans="3:3" x14ac:dyDescent="0.25">
      <c r="C6464" s="55"/>
    </row>
    <row r="6465" spans="3:3" x14ac:dyDescent="0.25">
      <c r="C6465" s="55"/>
    </row>
    <row r="6466" spans="3:3" x14ac:dyDescent="0.25">
      <c r="C6466" s="55"/>
    </row>
    <row r="6467" spans="3:3" x14ac:dyDescent="0.25">
      <c r="C6467" s="55"/>
    </row>
    <row r="6468" spans="3:3" x14ac:dyDescent="0.25">
      <c r="C6468" s="55"/>
    </row>
    <row r="6469" spans="3:3" x14ac:dyDescent="0.25">
      <c r="C6469" s="55"/>
    </row>
    <row r="6470" spans="3:3" x14ac:dyDescent="0.25">
      <c r="C6470" s="55"/>
    </row>
    <row r="6471" spans="3:3" x14ac:dyDescent="0.25">
      <c r="C6471" s="55"/>
    </row>
    <row r="6472" spans="3:3" x14ac:dyDescent="0.25">
      <c r="C6472" s="55"/>
    </row>
    <row r="6473" spans="3:3" x14ac:dyDescent="0.25">
      <c r="C6473" s="55"/>
    </row>
    <row r="6474" spans="3:3" x14ac:dyDescent="0.25">
      <c r="C6474" s="55"/>
    </row>
    <row r="6475" spans="3:3" x14ac:dyDescent="0.25">
      <c r="C6475" s="55"/>
    </row>
    <row r="6476" spans="3:3" x14ac:dyDescent="0.25">
      <c r="C6476" s="55"/>
    </row>
    <row r="6477" spans="3:3" x14ac:dyDescent="0.25">
      <c r="C6477" s="55"/>
    </row>
    <row r="6478" spans="3:3" x14ac:dyDescent="0.25">
      <c r="C6478" s="55"/>
    </row>
    <row r="6479" spans="3:3" x14ac:dyDescent="0.25">
      <c r="C6479" s="55"/>
    </row>
    <row r="6480" spans="3:3" x14ac:dyDescent="0.25">
      <c r="C6480" s="55"/>
    </row>
    <row r="6481" spans="3:3" x14ac:dyDescent="0.25">
      <c r="C6481" s="55"/>
    </row>
    <row r="6482" spans="3:3" x14ac:dyDescent="0.25">
      <c r="C6482" s="55"/>
    </row>
    <row r="6483" spans="3:3" x14ac:dyDescent="0.25">
      <c r="C6483" s="55"/>
    </row>
    <row r="6484" spans="3:3" x14ac:dyDescent="0.25">
      <c r="C6484" s="55"/>
    </row>
    <row r="6485" spans="3:3" x14ac:dyDescent="0.25">
      <c r="C6485" s="55"/>
    </row>
    <row r="6486" spans="3:3" x14ac:dyDescent="0.25">
      <c r="C6486" s="55"/>
    </row>
    <row r="6487" spans="3:3" x14ac:dyDescent="0.25">
      <c r="C6487" s="55"/>
    </row>
    <row r="6488" spans="3:3" x14ac:dyDescent="0.25">
      <c r="C6488" s="55"/>
    </row>
    <row r="6489" spans="3:3" x14ac:dyDescent="0.25">
      <c r="C6489" s="55"/>
    </row>
    <row r="6490" spans="3:3" x14ac:dyDescent="0.25">
      <c r="C6490" s="55"/>
    </row>
    <row r="6491" spans="3:3" x14ac:dyDescent="0.25">
      <c r="C6491" s="55"/>
    </row>
    <row r="6492" spans="3:3" x14ac:dyDescent="0.25">
      <c r="C6492" s="55"/>
    </row>
    <row r="6493" spans="3:3" x14ac:dyDescent="0.25">
      <c r="C6493" s="55"/>
    </row>
    <row r="6494" spans="3:3" x14ac:dyDescent="0.25">
      <c r="C6494" s="55"/>
    </row>
    <row r="6495" spans="3:3" x14ac:dyDescent="0.25">
      <c r="C6495" s="55"/>
    </row>
    <row r="6496" spans="3:3" x14ac:dyDescent="0.25">
      <c r="C6496" s="55"/>
    </row>
    <row r="6497" spans="3:3" x14ac:dyDescent="0.25">
      <c r="C6497" s="55"/>
    </row>
    <row r="6498" spans="3:3" x14ac:dyDescent="0.25">
      <c r="C6498" s="55"/>
    </row>
    <row r="6499" spans="3:3" x14ac:dyDescent="0.25">
      <c r="C6499" s="55"/>
    </row>
    <row r="6500" spans="3:3" x14ac:dyDescent="0.25">
      <c r="C6500" s="55"/>
    </row>
    <row r="6501" spans="3:3" x14ac:dyDescent="0.25">
      <c r="C6501" s="55"/>
    </row>
    <row r="6502" spans="3:3" x14ac:dyDescent="0.25">
      <c r="C6502" s="55"/>
    </row>
    <row r="6503" spans="3:3" x14ac:dyDescent="0.25">
      <c r="C6503" s="55"/>
    </row>
    <row r="6504" spans="3:3" x14ac:dyDescent="0.25">
      <c r="C6504" s="55"/>
    </row>
    <row r="6505" spans="3:3" x14ac:dyDescent="0.25">
      <c r="C6505" s="55"/>
    </row>
    <row r="6506" spans="3:3" x14ac:dyDescent="0.25">
      <c r="C6506" s="55"/>
    </row>
    <row r="6507" spans="3:3" x14ac:dyDescent="0.25">
      <c r="C6507" s="55"/>
    </row>
    <row r="6508" spans="3:3" x14ac:dyDescent="0.25">
      <c r="C6508" s="55"/>
    </row>
    <row r="6509" spans="3:3" x14ac:dyDescent="0.25">
      <c r="C6509" s="55"/>
    </row>
    <row r="6510" spans="3:3" x14ac:dyDescent="0.25">
      <c r="C6510" s="55"/>
    </row>
    <row r="6511" spans="3:3" x14ac:dyDescent="0.25">
      <c r="C6511" s="55"/>
    </row>
    <row r="6512" spans="3:3" x14ac:dyDescent="0.25">
      <c r="C6512" s="55"/>
    </row>
    <row r="6513" spans="3:3" x14ac:dyDescent="0.25">
      <c r="C6513" s="55"/>
    </row>
    <row r="6514" spans="3:3" x14ac:dyDescent="0.25">
      <c r="C6514" s="55"/>
    </row>
    <row r="6515" spans="3:3" x14ac:dyDescent="0.25">
      <c r="C6515" s="55"/>
    </row>
    <row r="6516" spans="3:3" x14ac:dyDescent="0.25">
      <c r="C6516" s="55"/>
    </row>
    <row r="6517" spans="3:3" x14ac:dyDescent="0.25">
      <c r="C6517" s="55"/>
    </row>
    <row r="6518" spans="3:3" x14ac:dyDescent="0.25">
      <c r="C6518" s="55"/>
    </row>
    <row r="6519" spans="3:3" x14ac:dyDescent="0.25">
      <c r="C6519" s="55"/>
    </row>
    <row r="6520" spans="3:3" x14ac:dyDescent="0.25">
      <c r="C6520" s="55"/>
    </row>
    <row r="6521" spans="3:3" x14ac:dyDescent="0.25">
      <c r="C6521" s="55"/>
    </row>
    <row r="6522" spans="3:3" x14ac:dyDescent="0.25">
      <c r="C6522" s="55"/>
    </row>
    <row r="6523" spans="3:3" x14ac:dyDescent="0.25">
      <c r="C6523" s="55"/>
    </row>
    <row r="6524" spans="3:3" x14ac:dyDescent="0.25">
      <c r="C6524" s="55"/>
    </row>
    <row r="6525" spans="3:3" x14ac:dyDescent="0.25">
      <c r="C6525" s="55"/>
    </row>
    <row r="6526" spans="3:3" x14ac:dyDescent="0.25">
      <c r="C6526" s="55"/>
    </row>
    <row r="6527" spans="3:3" x14ac:dyDescent="0.25">
      <c r="C6527" s="55"/>
    </row>
    <row r="6528" spans="3:3" x14ac:dyDescent="0.25">
      <c r="C6528" s="55"/>
    </row>
    <row r="6529" spans="3:3" x14ac:dyDescent="0.25">
      <c r="C6529" s="55"/>
    </row>
    <row r="6530" spans="3:3" x14ac:dyDescent="0.25">
      <c r="C6530" s="55"/>
    </row>
    <row r="6531" spans="3:3" x14ac:dyDescent="0.25">
      <c r="C6531" s="55"/>
    </row>
    <row r="6532" spans="3:3" x14ac:dyDescent="0.25">
      <c r="C6532" s="55"/>
    </row>
    <row r="6533" spans="3:3" x14ac:dyDescent="0.25">
      <c r="C6533" s="55"/>
    </row>
    <row r="6534" spans="3:3" x14ac:dyDescent="0.25">
      <c r="C6534" s="55"/>
    </row>
    <row r="6535" spans="3:3" x14ac:dyDescent="0.25">
      <c r="C6535" s="55"/>
    </row>
    <row r="6536" spans="3:3" x14ac:dyDescent="0.25">
      <c r="C6536" s="55"/>
    </row>
    <row r="6537" spans="3:3" x14ac:dyDescent="0.25">
      <c r="C6537" s="55"/>
    </row>
    <row r="6538" spans="3:3" x14ac:dyDescent="0.25">
      <c r="C6538" s="55"/>
    </row>
    <row r="6539" spans="3:3" x14ac:dyDescent="0.25">
      <c r="C6539" s="55"/>
    </row>
    <row r="6540" spans="3:3" x14ac:dyDescent="0.25">
      <c r="C6540" s="55"/>
    </row>
    <row r="6541" spans="3:3" x14ac:dyDescent="0.25">
      <c r="C6541" s="55"/>
    </row>
    <row r="6542" spans="3:3" x14ac:dyDescent="0.25">
      <c r="C6542" s="55"/>
    </row>
    <row r="6543" spans="3:3" x14ac:dyDescent="0.25">
      <c r="C6543" s="55"/>
    </row>
    <row r="6544" spans="3:3" x14ac:dyDescent="0.25">
      <c r="C6544" s="55"/>
    </row>
    <row r="6545" spans="3:3" x14ac:dyDescent="0.25">
      <c r="C6545" s="55"/>
    </row>
    <row r="6546" spans="3:3" x14ac:dyDescent="0.25">
      <c r="C6546" s="55"/>
    </row>
    <row r="6547" spans="3:3" x14ac:dyDescent="0.25">
      <c r="C6547" s="55"/>
    </row>
    <row r="6548" spans="3:3" x14ac:dyDescent="0.25">
      <c r="C6548" s="55"/>
    </row>
    <row r="6549" spans="3:3" x14ac:dyDescent="0.25">
      <c r="C6549" s="55"/>
    </row>
    <row r="6550" spans="3:3" x14ac:dyDescent="0.25">
      <c r="C6550" s="55"/>
    </row>
    <row r="6551" spans="3:3" x14ac:dyDescent="0.25">
      <c r="C6551" s="55"/>
    </row>
    <row r="6552" spans="3:3" x14ac:dyDescent="0.25">
      <c r="C6552" s="55"/>
    </row>
    <row r="6553" spans="3:3" x14ac:dyDescent="0.25">
      <c r="C6553" s="55"/>
    </row>
    <row r="6554" spans="3:3" x14ac:dyDescent="0.25">
      <c r="C6554" s="55"/>
    </row>
    <row r="6555" spans="3:3" x14ac:dyDescent="0.25">
      <c r="C6555" s="55"/>
    </row>
    <row r="6556" spans="3:3" x14ac:dyDescent="0.25">
      <c r="C6556" s="55"/>
    </row>
    <row r="6557" spans="3:3" x14ac:dyDescent="0.25">
      <c r="C6557" s="55"/>
    </row>
    <row r="6558" spans="3:3" x14ac:dyDescent="0.25">
      <c r="C6558" s="55"/>
    </row>
    <row r="6559" spans="3:3" x14ac:dyDescent="0.25">
      <c r="C6559" s="55"/>
    </row>
    <row r="6560" spans="3:3" x14ac:dyDescent="0.25">
      <c r="C6560" s="55"/>
    </row>
    <row r="6561" spans="3:3" x14ac:dyDescent="0.25">
      <c r="C6561" s="55"/>
    </row>
    <row r="6562" spans="3:3" x14ac:dyDescent="0.25">
      <c r="C6562" s="55"/>
    </row>
    <row r="6563" spans="3:3" x14ac:dyDescent="0.25">
      <c r="C6563" s="55"/>
    </row>
    <row r="6564" spans="3:3" x14ac:dyDescent="0.25">
      <c r="C6564" s="55"/>
    </row>
    <row r="6565" spans="3:3" x14ac:dyDescent="0.25">
      <c r="C6565" s="55"/>
    </row>
    <row r="6566" spans="3:3" x14ac:dyDescent="0.25">
      <c r="C6566" s="55"/>
    </row>
    <row r="6567" spans="3:3" x14ac:dyDescent="0.25">
      <c r="C6567" s="55"/>
    </row>
    <row r="6568" spans="3:3" x14ac:dyDescent="0.25">
      <c r="C6568" s="55"/>
    </row>
    <row r="6569" spans="3:3" x14ac:dyDescent="0.25">
      <c r="C6569" s="55"/>
    </row>
    <row r="6570" spans="3:3" x14ac:dyDescent="0.25">
      <c r="C6570" s="55"/>
    </row>
    <row r="6571" spans="3:3" x14ac:dyDescent="0.25">
      <c r="C6571" s="55"/>
    </row>
    <row r="6572" spans="3:3" x14ac:dyDescent="0.25">
      <c r="C6572" s="55"/>
    </row>
    <row r="6573" spans="3:3" x14ac:dyDescent="0.25">
      <c r="C6573" s="55"/>
    </row>
    <row r="6574" spans="3:3" x14ac:dyDescent="0.25">
      <c r="C6574" s="55"/>
    </row>
    <row r="6575" spans="3:3" x14ac:dyDescent="0.25">
      <c r="C6575" s="55"/>
    </row>
    <row r="6576" spans="3:3" x14ac:dyDescent="0.25">
      <c r="C6576" s="55"/>
    </row>
    <row r="6577" spans="3:3" x14ac:dyDescent="0.25">
      <c r="C6577" s="55"/>
    </row>
    <row r="6578" spans="3:3" x14ac:dyDescent="0.25">
      <c r="C6578" s="55"/>
    </row>
    <row r="6579" spans="3:3" x14ac:dyDescent="0.25">
      <c r="C6579" s="55"/>
    </row>
    <row r="6580" spans="3:3" x14ac:dyDescent="0.25">
      <c r="C6580" s="55"/>
    </row>
    <row r="6581" spans="3:3" x14ac:dyDescent="0.25">
      <c r="C6581" s="55"/>
    </row>
    <row r="6582" spans="3:3" x14ac:dyDescent="0.25">
      <c r="C6582" s="55"/>
    </row>
    <row r="6583" spans="3:3" x14ac:dyDescent="0.25">
      <c r="C6583" s="55"/>
    </row>
    <row r="6584" spans="3:3" x14ac:dyDescent="0.25">
      <c r="C6584" s="55"/>
    </row>
    <row r="6585" spans="3:3" x14ac:dyDescent="0.25">
      <c r="C6585" s="55"/>
    </row>
    <row r="6586" spans="3:3" x14ac:dyDescent="0.25">
      <c r="C6586" s="55"/>
    </row>
    <row r="6587" spans="3:3" x14ac:dyDescent="0.25">
      <c r="C6587" s="55"/>
    </row>
    <row r="6588" spans="3:3" x14ac:dyDescent="0.25">
      <c r="C6588" s="55"/>
    </row>
    <row r="6589" spans="3:3" x14ac:dyDescent="0.25">
      <c r="C6589" s="55"/>
    </row>
    <row r="6590" spans="3:3" x14ac:dyDescent="0.25">
      <c r="C6590" s="55"/>
    </row>
    <row r="6591" spans="3:3" x14ac:dyDescent="0.25">
      <c r="C6591" s="55"/>
    </row>
    <row r="6592" spans="3:3" x14ac:dyDescent="0.25">
      <c r="C6592" s="55"/>
    </row>
    <row r="6593" spans="3:3" x14ac:dyDescent="0.25">
      <c r="C6593" s="55"/>
    </row>
    <row r="6594" spans="3:3" x14ac:dyDescent="0.25">
      <c r="C6594" s="55"/>
    </row>
    <row r="6595" spans="3:3" x14ac:dyDescent="0.25">
      <c r="C6595" s="55"/>
    </row>
    <row r="6596" spans="3:3" x14ac:dyDescent="0.25">
      <c r="C6596" s="55"/>
    </row>
    <row r="6597" spans="3:3" x14ac:dyDescent="0.25">
      <c r="C6597" s="55"/>
    </row>
    <row r="6598" spans="3:3" x14ac:dyDescent="0.25">
      <c r="C6598" s="55"/>
    </row>
    <row r="6599" spans="3:3" x14ac:dyDescent="0.25">
      <c r="C6599" s="55"/>
    </row>
    <row r="6600" spans="3:3" x14ac:dyDescent="0.25">
      <c r="C6600" s="55"/>
    </row>
    <row r="6601" spans="3:3" x14ac:dyDescent="0.25">
      <c r="C6601" s="55"/>
    </row>
    <row r="6602" spans="3:3" x14ac:dyDescent="0.25">
      <c r="C6602" s="55"/>
    </row>
    <row r="6603" spans="3:3" x14ac:dyDescent="0.25">
      <c r="C6603" s="55"/>
    </row>
    <row r="6604" spans="3:3" x14ac:dyDescent="0.25">
      <c r="C6604" s="55"/>
    </row>
    <row r="6605" spans="3:3" x14ac:dyDescent="0.25">
      <c r="C6605" s="55"/>
    </row>
    <row r="6606" spans="3:3" x14ac:dyDescent="0.25">
      <c r="C6606" s="55"/>
    </row>
    <row r="6607" spans="3:3" x14ac:dyDescent="0.25">
      <c r="C6607" s="55"/>
    </row>
    <row r="6608" spans="3:3" x14ac:dyDescent="0.25">
      <c r="C6608" s="55"/>
    </row>
    <row r="6609" spans="3:3" x14ac:dyDescent="0.25">
      <c r="C6609" s="55"/>
    </row>
    <row r="6610" spans="3:3" x14ac:dyDescent="0.25">
      <c r="C6610" s="55"/>
    </row>
    <row r="6611" spans="3:3" x14ac:dyDescent="0.25">
      <c r="C6611" s="55"/>
    </row>
    <row r="6612" spans="3:3" x14ac:dyDescent="0.25">
      <c r="C6612" s="55"/>
    </row>
    <row r="6613" spans="3:3" x14ac:dyDescent="0.25">
      <c r="C6613" s="55"/>
    </row>
    <row r="6614" spans="3:3" x14ac:dyDescent="0.25">
      <c r="C6614" s="55"/>
    </row>
    <row r="6615" spans="3:3" x14ac:dyDescent="0.25">
      <c r="C6615" s="55"/>
    </row>
    <row r="6616" spans="3:3" x14ac:dyDescent="0.25">
      <c r="C6616" s="55"/>
    </row>
    <row r="6617" spans="3:3" x14ac:dyDescent="0.25">
      <c r="C6617" s="55"/>
    </row>
    <row r="6618" spans="3:3" x14ac:dyDescent="0.25">
      <c r="C6618" s="55"/>
    </row>
    <row r="6619" spans="3:3" x14ac:dyDescent="0.25">
      <c r="C6619" s="55"/>
    </row>
    <row r="6620" spans="3:3" x14ac:dyDescent="0.25">
      <c r="C6620" s="55"/>
    </row>
    <row r="6621" spans="3:3" x14ac:dyDescent="0.25">
      <c r="C6621" s="55"/>
    </row>
    <row r="6622" spans="3:3" x14ac:dyDescent="0.25">
      <c r="C6622" s="55"/>
    </row>
    <row r="6623" spans="3:3" x14ac:dyDescent="0.25">
      <c r="C6623" s="55"/>
    </row>
    <row r="6624" spans="3:3" x14ac:dyDescent="0.25">
      <c r="C6624" s="55"/>
    </row>
    <row r="6625" spans="3:3" x14ac:dyDescent="0.25">
      <c r="C6625" s="55"/>
    </row>
    <row r="6626" spans="3:3" x14ac:dyDescent="0.25">
      <c r="C6626" s="55"/>
    </row>
    <row r="6627" spans="3:3" x14ac:dyDescent="0.25">
      <c r="C6627" s="55"/>
    </row>
    <row r="6628" spans="3:3" x14ac:dyDescent="0.25">
      <c r="C6628" s="55"/>
    </row>
    <row r="6629" spans="3:3" x14ac:dyDescent="0.25">
      <c r="C6629" s="55"/>
    </row>
    <row r="6630" spans="3:3" x14ac:dyDescent="0.25">
      <c r="C6630" s="55"/>
    </row>
    <row r="6631" spans="3:3" x14ac:dyDescent="0.25">
      <c r="C6631" s="55"/>
    </row>
    <row r="6632" spans="3:3" x14ac:dyDescent="0.25">
      <c r="C6632" s="55"/>
    </row>
    <row r="6906" spans="3:3" x14ac:dyDescent="0.25">
      <c r="C6906" s="55"/>
    </row>
    <row r="6907" spans="3:3" x14ac:dyDescent="0.25">
      <c r="C6907" s="55"/>
    </row>
    <row r="6908" spans="3:3" x14ac:dyDescent="0.25">
      <c r="C6908" s="55"/>
    </row>
    <row r="6909" spans="3:3" x14ac:dyDescent="0.25">
      <c r="C6909" s="55"/>
    </row>
    <row r="6910" spans="3:3" x14ac:dyDescent="0.25">
      <c r="C6910" s="55"/>
    </row>
    <row r="6911" spans="3:3" x14ac:dyDescent="0.25">
      <c r="C6911" s="55"/>
    </row>
    <row r="6912" spans="3:3" x14ac:dyDescent="0.25">
      <c r="C6912" s="55"/>
    </row>
    <row r="6913" spans="3:3" x14ac:dyDescent="0.25">
      <c r="C6913" s="55"/>
    </row>
    <row r="6914" spans="3:3" x14ac:dyDescent="0.25">
      <c r="C6914" s="55"/>
    </row>
    <row r="6915" spans="3:3" x14ac:dyDescent="0.25">
      <c r="C6915" s="55"/>
    </row>
    <row r="6916" spans="3:3" x14ac:dyDescent="0.25">
      <c r="C6916" s="55"/>
    </row>
    <row r="6917" spans="3:3" x14ac:dyDescent="0.25">
      <c r="C6917" s="55"/>
    </row>
    <row r="6918" spans="3:3" x14ac:dyDescent="0.25">
      <c r="C6918" s="55"/>
    </row>
    <row r="6919" spans="3:3" x14ac:dyDescent="0.25">
      <c r="C6919" s="55"/>
    </row>
    <row r="6920" spans="3:3" x14ac:dyDescent="0.25">
      <c r="C6920" s="55"/>
    </row>
    <row r="6921" spans="3:3" x14ac:dyDescent="0.25">
      <c r="C6921" s="55"/>
    </row>
    <row r="6922" spans="3:3" x14ac:dyDescent="0.25">
      <c r="C6922" s="55"/>
    </row>
    <row r="6923" spans="3:3" x14ac:dyDescent="0.25">
      <c r="C6923" s="55"/>
    </row>
    <row r="6924" spans="3:3" x14ac:dyDescent="0.25">
      <c r="C6924" s="55"/>
    </row>
    <row r="6925" spans="3:3" x14ac:dyDescent="0.25">
      <c r="C6925" s="55"/>
    </row>
    <row r="6926" spans="3:3" x14ac:dyDescent="0.25">
      <c r="C6926" s="55"/>
    </row>
    <row r="6927" spans="3:3" x14ac:dyDescent="0.25">
      <c r="C6927" s="55"/>
    </row>
    <row r="6928" spans="3:3" x14ac:dyDescent="0.25">
      <c r="C6928" s="55"/>
    </row>
    <row r="6929" spans="3:3" x14ac:dyDescent="0.25">
      <c r="C6929" s="55"/>
    </row>
    <row r="6930" spans="3:3" x14ac:dyDescent="0.25">
      <c r="C6930" s="55"/>
    </row>
    <row r="6931" spans="3:3" x14ac:dyDescent="0.25">
      <c r="C6931" s="55"/>
    </row>
    <row r="6932" spans="3:3" x14ac:dyDescent="0.25">
      <c r="C6932" s="55"/>
    </row>
    <row r="6933" spans="3:3" x14ac:dyDescent="0.25">
      <c r="C6933" s="55"/>
    </row>
    <row r="6934" spans="3:3" x14ac:dyDescent="0.25">
      <c r="C6934" s="55"/>
    </row>
    <row r="6935" spans="3:3" x14ac:dyDescent="0.25">
      <c r="C6935" s="55"/>
    </row>
    <row r="6936" spans="3:3" x14ac:dyDescent="0.25">
      <c r="C6936" s="55"/>
    </row>
    <row r="6937" spans="3:3" x14ac:dyDescent="0.25">
      <c r="C6937" s="55"/>
    </row>
    <row r="6938" spans="3:3" x14ac:dyDescent="0.25">
      <c r="C6938" s="55"/>
    </row>
    <row r="6939" spans="3:3" x14ac:dyDescent="0.25">
      <c r="C6939" s="55"/>
    </row>
    <row r="6940" spans="3:3" x14ac:dyDescent="0.25">
      <c r="C6940" s="55"/>
    </row>
    <row r="6941" spans="3:3" x14ac:dyDescent="0.25">
      <c r="C6941" s="55"/>
    </row>
    <row r="6942" spans="3:3" x14ac:dyDescent="0.25">
      <c r="C6942" s="55"/>
    </row>
    <row r="6943" spans="3:3" x14ac:dyDescent="0.25">
      <c r="C6943" s="55"/>
    </row>
    <row r="6944" spans="3:3" x14ac:dyDescent="0.25">
      <c r="C6944" s="55"/>
    </row>
    <row r="6945" spans="3:3" x14ac:dyDescent="0.25">
      <c r="C6945" s="55"/>
    </row>
    <row r="6946" spans="3:3" x14ac:dyDescent="0.25">
      <c r="C6946" s="55"/>
    </row>
    <row r="6947" spans="3:3" x14ac:dyDescent="0.25">
      <c r="C6947" s="55"/>
    </row>
    <row r="6948" spans="3:3" x14ac:dyDescent="0.25">
      <c r="C6948" s="55"/>
    </row>
    <row r="6949" spans="3:3" x14ac:dyDescent="0.25">
      <c r="C6949" s="55"/>
    </row>
    <row r="6950" spans="3:3" x14ac:dyDescent="0.25">
      <c r="C6950" s="55"/>
    </row>
    <row r="6951" spans="3:3" x14ac:dyDescent="0.25">
      <c r="C6951" s="55"/>
    </row>
    <row r="6952" spans="3:3" x14ac:dyDescent="0.25">
      <c r="C6952" s="55"/>
    </row>
    <row r="6953" spans="3:3" x14ac:dyDescent="0.25">
      <c r="C6953" s="55"/>
    </row>
    <row r="6954" spans="3:3" x14ac:dyDescent="0.25">
      <c r="C6954" s="55"/>
    </row>
    <row r="6955" spans="3:3" x14ac:dyDescent="0.25">
      <c r="C6955" s="55"/>
    </row>
    <row r="6956" spans="3:3" x14ac:dyDescent="0.25">
      <c r="C6956" s="55"/>
    </row>
    <row r="6957" spans="3:3" x14ac:dyDescent="0.25">
      <c r="C6957" s="55"/>
    </row>
    <row r="6958" spans="3:3" x14ac:dyDescent="0.25">
      <c r="C6958" s="55"/>
    </row>
    <row r="6959" spans="3:3" x14ac:dyDescent="0.25">
      <c r="C6959" s="55"/>
    </row>
    <row r="6960" spans="3:3" x14ac:dyDescent="0.25">
      <c r="C6960" s="55"/>
    </row>
    <row r="6961" spans="3:3" x14ac:dyDescent="0.25">
      <c r="C6961" s="55"/>
    </row>
    <row r="6962" spans="3:3" x14ac:dyDescent="0.25">
      <c r="C6962" s="55"/>
    </row>
    <row r="6963" spans="3:3" x14ac:dyDescent="0.25">
      <c r="C6963" s="55"/>
    </row>
    <row r="6964" spans="3:3" x14ac:dyDescent="0.25">
      <c r="C6964" s="55"/>
    </row>
    <row r="6965" spans="3:3" x14ac:dyDescent="0.25">
      <c r="C6965" s="55"/>
    </row>
    <row r="6966" spans="3:3" x14ac:dyDescent="0.25">
      <c r="C6966" s="55"/>
    </row>
    <row r="6967" spans="3:3" x14ac:dyDescent="0.25">
      <c r="C6967" s="55"/>
    </row>
    <row r="6968" spans="3:3" x14ac:dyDescent="0.25">
      <c r="C6968" s="55"/>
    </row>
    <row r="6969" spans="3:3" x14ac:dyDescent="0.25">
      <c r="C6969" s="55"/>
    </row>
    <row r="6970" spans="3:3" x14ac:dyDescent="0.25">
      <c r="C6970" s="55"/>
    </row>
    <row r="6971" spans="3:3" x14ac:dyDescent="0.25">
      <c r="C6971" s="55"/>
    </row>
    <row r="6972" spans="3:3" x14ac:dyDescent="0.25">
      <c r="C6972" s="55"/>
    </row>
    <row r="6973" spans="3:3" x14ac:dyDescent="0.25">
      <c r="C6973" s="55"/>
    </row>
    <row r="6974" spans="3:3" x14ac:dyDescent="0.25">
      <c r="C6974" s="55"/>
    </row>
    <row r="6975" spans="3:3" x14ac:dyDescent="0.25">
      <c r="C6975" s="55"/>
    </row>
    <row r="6976" spans="3:3" x14ac:dyDescent="0.25">
      <c r="C6976" s="55"/>
    </row>
    <row r="6977" spans="3:3" x14ac:dyDescent="0.25">
      <c r="C6977" s="55"/>
    </row>
    <row r="6978" spans="3:3" x14ac:dyDescent="0.25">
      <c r="C6978" s="55"/>
    </row>
    <row r="6979" spans="3:3" x14ac:dyDescent="0.25">
      <c r="C6979" s="55"/>
    </row>
    <row r="6980" spans="3:3" x14ac:dyDescent="0.25">
      <c r="C6980" s="55"/>
    </row>
    <row r="6981" spans="3:3" x14ac:dyDescent="0.25">
      <c r="C6981" s="55"/>
    </row>
    <row r="6982" spans="3:3" x14ac:dyDescent="0.25">
      <c r="C6982" s="55"/>
    </row>
    <row r="6983" spans="3:3" x14ac:dyDescent="0.25">
      <c r="C6983" s="55"/>
    </row>
    <row r="6984" spans="3:3" x14ac:dyDescent="0.25">
      <c r="C6984" s="55"/>
    </row>
    <row r="6985" spans="3:3" x14ac:dyDescent="0.25">
      <c r="C6985" s="55"/>
    </row>
    <row r="6986" spans="3:3" x14ac:dyDescent="0.25">
      <c r="C6986" s="55"/>
    </row>
    <row r="6987" spans="3:3" x14ac:dyDescent="0.25">
      <c r="C6987" s="55"/>
    </row>
    <row r="6988" spans="3:3" x14ac:dyDescent="0.25">
      <c r="C6988" s="55"/>
    </row>
    <row r="6989" spans="3:3" x14ac:dyDescent="0.25">
      <c r="C6989" s="55"/>
    </row>
    <row r="6990" spans="3:3" x14ac:dyDescent="0.25">
      <c r="C6990" s="55"/>
    </row>
    <row r="6991" spans="3:3" x14ac:dyDescent="0.25">
      <c r="C6991" s="55"/>
    </row>
    <row r="6992" spans="3:3" x14ac:dyDescent="0.25">
      <c r="C6992" s="55"/>
    </row>
    <row r="6993" spans="3:3" x14ac:dyDescent="0.25">
      <c r="C6993" s="55"/>
    </row>
    <row r="6994" spans="3:3" x14ac:dyDescent="0.25">
      <c r="C6994" s="55"/>
    </row>
    <row r="6995" spans="3:3" x14ac:dyDescent="0.25">
      <c r="C6995" s="55"/>
    </row>
    <row r="6996" spans="3:3" x14ac:dyDescent="0.25">
      <c r="C6996" s="55"/>
    </row>
    <row r="6997" spans="3:3" x14ac:dyDescent="0.25">
      <c r="C6997" s="55"/>
    </row>
    <row r="6998" spans="3:3" x14ac:dyDescent="0.25">
      <c r="C6998" s="55"/>
    </row>
    <row r="6999" spans="3:3" x14ac:dyDescent="0.25">
      <c r="C6999" s="55"/>
    </row>
    <row r="7000" spans="3:3" x14ac:dyDescent="0.25">
      <c r="C7000" s="55"/>
    </row>
    <row r="7001" spans="3:3" x14ac:dyDescent="0.25">
      <c r="C7001" s="55"/>
    </row>
    <row r="7002" spans="3:3" x14ac:dyDescent="0.25">
      <c r="C7002" s="55"/>
    </row>
    <row r="7003" spans="3:3" x14ac:dyDescent="0.25">
      <c r="C7003" s="55"/>
    </row>
    <row r="7004" spans="3:3" x14ac:dyDescent="0.25">
      <c r="C7004" s="55"/>
    </row>
    <row r="7005" spans="3:3" x14ac:dyDescent="0.25">
      <c r="C7005" s="55"/>
    </row>
    <row r="7006" spans="3:3" x14ac:dyDescent="0.25">
      <c r="C7006" s="55"/>
    </row>
    <row r="7007" spans="3:3" x14ac:dyDescent="0.25">
      <c r="C7007" s="55"/>
    </row>
    <row r="7008" spans="3:3" x14ac:dyDescent="0.25">
      <c r="C7008" s="55"/>
    </row>
    <row r="7009" spans="3:3" x14ac:dyDescent="0.25">
      <c r="C7009" s="55"/>
    </row>
    <row r="7010" spans="3:3" x14ac:dyDescent="0.25">
      <c r="C7010" s="55"/>
    </row>
    <row r="7011" spans="3:3" x14ac:dyDescent="0.25">
      <c r="C7011" s="55"/>
    </row>
    <row r="7012" spans="3:3" x14ac:dyDescent="0.25">
      <c r="C7012" s="55"/>
    </row>
    <row r="7013" spans="3:3" x14ac:dyDescent="0.25">
      <c r="C7013" s="55"/>
    </row>
    <row r="7014" spans="3:3" x14ac:dyDescent="0.25">
      <c r="C7014" s="55"/>
    </row>
    <row r="7015" spans="3:3" x14ac:dyDescent="0.25">
      <c r="C7015" s="55"/>
    </row>
    <row r="7016" spans="3:3" x14ac:dyDescent="0.25">
      <c r="C7016" s="55"/>
    </row>
    <row r="7017" spans="3:3" x14ac:dyDescent="0.25">
      <c r="C7017" s="55"/>
    </row>
    <row r="7018" spans="3:3" x14ac:dyDescent="0.25">
      <c r="C7018" s="55"/>
    </row>
    <row r="7019" spans="3:3" x14ac:dyDescent="0.25">
      <c r="C7019" s="55"/>
    </row>
    <row r="7020" spans="3:3" x14ac:dyDescent="0.25">
      <c r="C7020" s="55"/>
    </row>
    <row r="7021" spans="3:3" x14ac:dyDescent="0.25">
      <c r="C7021" s="55"/>
    </row>
    <row r="7022" spans="3:3" x14ac:dyDescent="0.25">
      <c r="C7022" s="55"/>
    </row>
    <row r="7023" spans="3:3" x14ac:dyDescent="0.25">
      <c r="C7023" s="55"/>
    </row>
    <row r="7024" spans="3:3" x14ac:dyDescent="0.25">
      <c r="C7024" s="55"/>
    </row>
    <row r="7025" spans="3:3" x14ac:dyDescent="0.25">
      <c r="C7025" s="55"/>
    </row>
    <row r="7026" spans="3:3" x14ac:dyDescent="0.25">
      <c r="C7026" s="55"/>
    </row>
    <row r="7027" spans="3:3" x14ac:dyDescent="0.25">
      <c r="C7027" s="55"/>
    </row>
    <row r="7028" spans="3:3" x14ac:dyDescent="0.25">
      <c r="C7028" s="55"/>
    </row>
    <row r="7029" spans="3:3" x14ac:dyDescent="0.25">
      <c r="C7029" s="55"/>
    </row>
    <row r="7030" spans="3:3" x14ac:dyDescent="0.25">
      <c r="C7030" s="55"/>
    </row>
    <row r="7031" spans="3:3" x14ac:dyDescent="0.25">
      <c r="C7031" s="55"/>
    </row>
    <row r="7032" spans="3:3" x14ac:dyDescent="0.25">
      <c r="C7032" s="55"/>
    </row>
    <row r="7033" spans="3:3" x14ac:dyDescent="0.25">
      <c r="C7033" s="55"/>
    </row>
    <row r="7034" spans="3:3" x14ac:dyDescent="0.25">
      <c r="C7034" s="55"/>
    </row>
    <row r="7035" spans="3:3" x14ac:dyDescent="0.25">
      <c r="C7035" s="55"/>
    </row>
    <row r="7036" spans="3:3" x14ac:dyDescent="0.25">
      <c r="C7036" s="55"/>
    </row>
    <row r="7037" spans="3:3" x14ac:dyDescent="0.25">
      <c r="C7037" s="55"/>
    </row>
    <row r="7038" spans="3:3" x14ac:dyDescent="0.25">
      <c r="C7038" s="55"/>
    </row>
    <row r="7039" spans="3:3" x14ac:dyDescent="0.25">
      <c r="C7039" s="55"/>
    </row>
    <row r="7040" spans="3:3" x14ac:dyDescent="0.25">
      <c r="C7040" s="55"/>
    </row>
    <row r="7041" spans="3:3" x14ac:dyDescent="0.25">
      <c r="C7041" s="55"/>
    </row>
    <row r="7042" spans="3:3" x14ac:dyDescent="0.25">
      <c r="C7042" s="55"/>
    </row>
    <row r="7043" spans="3:3" x14ac:dyDescent="0.25">
      <c r="C7043" s="55"/>
    </row>
    <row r="7044" spans="3:3" x14ac:dyDescent="0.25">
      <c r="C7044" s="55"/>
    </row>
    <row r="7045" spans="3:3" x14ac:dyDescent="0.25">
      <c r="C7045" s="55"/>
    </row>
    <row r="7046" spans="3:3" x14ac:dyDescent="0.25">
      <c r="C7046" s="55"/>
    </row>
    <row r="7047" spans="3:3" x14ac:dyDescent="0.25">
      <c r="C7047" s="55"/>
    </row>
    <row r="7048" spans="3:3" x14ac:dyDescent="0.25">
      <c r="C7048" s="55"/>
    </row>
    <row r="7049" spans="3:3" x14ac:dyDescent="0.25">
      <c r="C7049" s="55"/>
    </row>
    <row r="7050" spans="3:3" x14ac:dyDescent="0.25">
      <c r="C7050" s="55"/>
    </row>
    <row r="7051" spans="3:3" x14ac:dyDescent="0.25">
      <c r="C7051" s="55"/>
    </row>
    <row r="7052" spans="3:3" x14ac:dyDescent="0.25">
      <c r="C7052" s="55"/>
    </row>
    <row r="7053" spans="3:3" x14ac:dyDescent="0.25">
      <c r="C7053" s="55"/>
    </row>
    <row r="7054" spans="3:3" x14ac:dyDescent="0.25">
      <c r="C7054" s="55"/>
    </row>
    <row r="7055" spans="3:3" x14ac:dyDescent="0.25">
      <c r="C7055" s="55"/>
    </row>
    <row r="7056" spans="3:3" x14ac:dyDescent="0.25">
      <c r="C7056" s="55"/>
    </row>
    <row r="7057" spans="3:3" x14ac:dyDescent="0.25">
      <c r="C7057" s="55"/>
    </row>
    <row r="7058" spans="3:3" x14ac:dyDescent="0.25">
      <c r="C7058" s="55"/>
    </row>
    <row r="7059" spans="3:3" x14ac:dyDescent="0.25">
      <c r="C7059" s="55"/>
    </row>
    <row r="7060" spans="3:3" x14ac:dyDescent="0.25">
      <c r="C7060" s="55"/>
    </row>
    <row r="7061" spans="3:3" x14ac:dyDescent="0.25">
      <c r="C7061" s="55"/>
    </row>
    <row r="7062" spans="3:3" x14ac:dyDescent="0.25">
      <c r="C7062" s="55"/>
    </row>
    <row r="7063" spans="3:3" x14ac:dyDescent="0.25">
      <c r="C7063" s="55"/>
    </row>
    <row r="7064" spans="3:3" x14ac:dyDescent="0.25">
      <c r="C7064" s="55"/>
    </row>
    <row r="7065" spans="3:3" x14ac:dyDescent="0.25">
      <c r="C7065" s="55"/>
    </row>
    <row r="7066" spans="3:3" x14ac:dyDescent="0.25">
      <c r="C7066" s="55"/>
    </row>
    <row r="7067" spans="3:3" x14ac:dyDescent="0.25">
      <c r="C7067" s="55"/>
    </row>
    <row r="7068" spans="3:3" x14ac:dyDescent="0.25">
      <c r="C7068" s="55"/>
    </row>
    <row r="7069" spans="3:3" x14ac:dyDescent="0.25">
      <c r="C7069" s="55"/>
    </row>
    <row r="7070" spans="3:3" x14ac:dyDescent="0.25">
      <c r="C7070" s="55"/>
    </row>
    <row r="7071" spans="3:3" x14ac:dyDescent="0.25">
      <c r="C7071" s="55"/>
    </row>
    <row r="7072" spans="3:3" x14ac:dyDescent="0.25">
      <c r="C7072" s="55"/>
    </row>
    <row r="7073" spans="3:3" x14ac:dyDescent="0.25">
      <c r="C7073" s="55"/>
    </row>
    <row r="7074" spans="3:3" x14ac:dyDescent="0.25">
      <c r="C7074" s="55"/>
    </row>
    <row r="7075" spans="3:3" x14ac:dyDescent="0.25">
      <c r="C7075" s="55"/>
    </row>
    <row r="7076" spans="3:3" x14ac:dyDescent="0.25">
      <c r="C7076" s="55"/>
    </row>
    <row r="7077" spans="3:3" x14ac:dyDescent="0.25">
      <c r="C7077" s="55"/>
    </row>
    <row r="7078" spans="3:3" x14ac:dyDescent="0.25">
      <c r="C7078" s="55"/>
    </row>
    <row r="7079" spans="3:3" x14ac:dyDescent="0.25">
      <c r="C7079" s="55"/>
    </row>
    <row r="7080" spans="3:3" x14ac:dyDescent="0.25">
      <c r="C7080" s="55"/>
    </row>
    <row r="7081" spans="3:3" x14ac:dyDescent="0.25">
      <c r="C7081" s="55"/>
    </row>
    <row r="7082" spans="3:3" x14ac:dyDescent="0.25">
      <c r="C7082" s="55"/>
    </row>
    <row r="7083" spans="3:3" x14ac:dyDescent="0.25">
      <c r="C7083" s="55"/>
    </row>
    <row r="7084" spans="3:3" x14ac:dyDescent="0.25">
      <c r="C7084" s="55"/>
    </row>
    <row r="7085" spans="3:3" x14ac:dyDescent="0.25">
      <c r="C7085" s="55"/>
    </row>
    <row r="7086" spans="3:3" x14ac:dyDescent="0.25">
      <c r="C7086" s="55"/>
    </row>
    <row r="7087" spans="3:3" x14ac:dyDescent="0.25">
      <c r="C7087" s="55"/>
    </row>
    <row r="7088" spans="3:3" x14ac:dyDescent="0.25">
      <c r="C7088" s="55"/>
    </row>
    <row r="7089" spans="3:3" x14ac:dyDescent="0.25">
      <c r="C7089" s="55"/>
    </row>
    <row r="7090" spans="3:3" x14ac:dyDescent="0.25">
      <c r="C7090" s="55"/>
    </row>
    <row r="7091" spans="3:3" x14ac:dyDescent="0.25">
      <c r="C7091" s="55"/>
    </row>
    <row r="7092" spans="3:3" x14ac:dyDescent="0.25">
      <c r="C7092" s="55"/>
    </row>
    <row r="7093" spans="3:3" x14ac:dyDescent="0.25">
      <c r="C7093" s="55"/>
    </row>
    <row r="7094" spans="3:3" x14ac:dyDescent="0.25">
      <c r="C7094" s="55"/>
    </row>
    <row r="7095" spans="3:3" x14ac:dyDescent="0.25">
      <c r="C7095" s="55"/>
    </row>
    <row r="7096" spans="3:3" x14ac:dyDescent="0.25">
      <c r="C7096" s="55"/>
    </row>
    <row r="7097" spans="3:3" x14ac:dyDescent="0.25">
      <c r="C7097" s="55"/>
    </row>
    <row r="7098" spans="3:3" x14ac:dyDescent="0.25">
      <c r="C7098" s="55"/>
    </row>
    <row r="7099" spans="3:3" x14ac:dyDescent="0.25">
      <c r="C7099" s="55"/>
    </row>
    <row r="7100" spans="3:3" x14ac:dyDescent="0.25">
      <c r="C7100" s="55"/>
    </row>
    <row r="7101" spans="3:3" x14ac:dyDescent="0.25">
      <c r="C7101" s="55"/>
    </row>
    <row r="7102" spans="3:3" x14ac:dyDescent="0.25">
      <c r="C7102" s="55"/>
    </row>
    <row r="7103" spans="3:3" x14ac:dyDescent="0.25">
      <c r="C7103" s="55"/>
    </row>
    <row r="7104" spans="3:3" x14ac:dyDescent="0.25">
      <c r="C7104" s="55"/>
    </row>
    <row r="7105" spans="3:3" x14ac:dyDescent="0.25">
      <c r="C7105" s="55"/>
    </row>
    <row r="7106" spans="3:3" x14ac:dyDescent="0.25">
      <c r="C7106" s="55"/>
    </row>
    <row r="7107" spans="3:3" x14ac:dyDescent="0.25">
      <c r="C7107" s="55"/>
    </row>
    <row r="7108" spans="3:3" x14ac:dyDescent="0.25">
      <c r="C7108" s="55"/>
    </row>
    <row r="7109" spans="3:3" x14ac:dyDescent="0.25">
      <c r="C7109" s="55"/>
    </row>
    <row r="7110" spans="3:3" x14ac:dyDescent="0.25">
      <c r="C7110" s="55"/>
    </row>
    <row r="7111" spans="3:3" x14ac:dyDescent="0.25">
      <c r="C7111" s="55"/>
    </row>
    <row r="7112" spans="3:3" x14ac:dyDescent="0.25">
      <c r="C7112" s="55"/>
    </row>
    <row r="7113" spans="3:3" x14ac:dyDescent="0.25">
      <c r="C7113" s="55"/>
    </row>
    <row r="7114" spans="3:3" x14ac:dyDescent="0.25">
      <c r="C7114" s="55"/>
    </row>
    <row r="7115" spans="3:3" x14ac:dyDescent="0.25">
      <c r="C7115" s="55"/>
    </row>
    <row r="7116" spans="3:3" x14ac:dyDescent="0.25">
      <c r="C7116" s="55"/>
    </row>
    <row r="7117" spans="3:3" x14ac:dyDescent="0.25">
      <c r="C7117" s="55"/>
    </row>
    <row r="7118" spans="3:3" x14ac:dyDescent="0.25">
      <c r="C7118" s="55"/>
    </row>
    <row r="7119" spans="3:3" x14ac:dyDescent="0.25">
      <c r="C7119" s="55"/>
    </row>
    <row r="7120" spans="3:3" x14ac:dyDescent="0.25">
      <c r="C7120" s="55"/>
    </row>
    <row r="7121" spans="3:3" x14ac:dyDescent="0.25">
      <c r="C7121" s="55"/>
    </row>
    <row r="7122" spans="3:3" x14ac:dyDescent="0.25">
      <c r="C7122" s="55"/>
    </row>
    <row r="7123" spans="3:3" x14ac:dyDescent="0.25">
      <c r="C7123" s="55"/>
    </row>
    <row r="7124" spans="3:3" x14ac:dyDescent="0.25">
      <c r="C7124" s="55"/>
    </row>
    <row r="7125" spans="3:3" x14ac:dyDescent="0.25">
      <c r="C7125" s="55"/>
    </row>
    <row r="7126" spans="3:3" x14ac:dyDescent="0.25">
      <c r="C7126" s="55"/>
    </row>
    <row r="7127" spans="3:3" x14ac:dyDescent="0.25">
      <c r="C7127" s="55"/>
    </row>
    <row r="7128" spans="3:3" x14ac:dyDescent="0.25">
      <c r="C7128" s="55"/>
    </row>
    <row r="7129" spans="3:3" x14ac:dyDescent="0.25">
      <c r="C7129" s="55"/>
    </row>
    <row r="7130" spans="3:3" x14ac:dyDescent="0.25">
      <c r="C7130" s="55"/>
    </row>
    <row r="7131" spans="3:3" x14ac:dyDescent="0.25">
      <c r="C7131" s="55"/>
    </row>
    <row r="7132" spans="3:3" x14ac:dyDescent="0.25">
      <c r="C7132" s="55"/>
    </row>
    <row r="7133" spans="3:3" x14ac:dyDescent="0.25">
      <c r="C7133" s="55"/>
    </row>
    <row r="7134" spans="3:3" x14ac:dyDescent="0.25">
      <c r="C7134" s="55"/>
    </row>
    <row r="7135" spans="3:3" x14ac:dyDescent="0.25">
      <c r="C7135" s="55"/>
    </row>
    <row r="7136" spans="3:3" x14ac:dyDescent="0.25">
      <c r="C7136" s="55"/>
    </row>
    <row r="7137" spans="3:3" x14ac:dyDescent="0.25">
      <c r="C7137" s="55"/>
    </row>
    <row r="7138" spans="3:3" x14ac:dyDescent="0.25">
      <c r="C7138" s="55"/>
    </row>
    <row r="7139" spans="3:3" x14ac:dyDescent="0.25">
      <c r="C7139" s="55"/>
    </row>
    <row r="7140" spans="3:3" x14ac:dyDescent="0.25">
      <c r="C7140" s="55"/>
    </row>
    <row r="7141" spans="3:3" x14ac:dyDescent="0.25">
      <c r="C7141" s="55"/>
    </row>
    <row r="7142" spans="3:3" x14ac:dyDescent="0.25">
      <c r="C7142" s="55"/>
    </row>
    <row r="7143" spans="3:3" x14ac:dyDescent="0.25">
      <c r="C7143" s="55"/>
    </row>
    <row r="7144" spans="3:3" x14ac:dyDescent="0.25">
      <c r="C7144" s="55"/>
    </row>
    <row r="7145" spans="3:3" x14ac:dyDescent="0.25">
      <c r="C7145" s="55"/>
    </row>
    <row r="7146" spans="3:3" x14ac:dyDescent="0.25">
      <c r="C7146" s="55"/>
    </row>
    <row r="7147" spans="3:3" x14ac:dyDescent="0.25">
      <c r="C7147" s="55"/>
    </row>
    <row r="7148" spans="3:3" x14ac:dyDescent="0.25">
      <c r="C7148" s="55"/>
    </row>
    <row r="7149" spans="3:3" x14ac:dyDescent="0.25">
      <c r="C7149" s="55"/>
    </row>
    <row r="7150" spans="3:3" x14ac:dyDescent="0.25">
      <c r="C7150" s="55"/>
    </row>
    <row r="7151" spans="3:3" x14ac:dyDescent="0.25">
      <c r="C7151" s="55"/>
    </row>
    <row r="7152" spans="3:3" x14ac:dyDescent="0.25">
      <c r="C7152" s="55"/>
    </row>
    <row r="7153" spans="3:3" x14ac:dyDescent="0.25">
      <c r="C7153" s="55"/>
    </row>
    <row r="7154" spans="3:3" x14ac:dyDescent="0.25">
      <c r="C7154" s="55"/>
    </row>
    <row r="7155" spans="3:3" x14ac:dyDescent="0.25">
      <c r="C7155" s="55"/>
    </row>
    <row r="7156" spans="3:3" x14ac:dyDescent="0.25">
      <c r="C7156" s="55"/>
    </row>
    <row r="7157" spans="3:3" x14ac:dyDescent="0.25">
      <c r="C7157" s="55"/>
    </row>
    <row r="7158" spans="3:3" x14ac:dyDescent="0.25">
      <c r="C7158" s="55"/>
    </row>
    <row r="7159" spans="3:3" x14ac:dyDescent="0.25">
      <c r="C7159" s="55"/>
    </row>
    <row r="7160" spans="3:3" x14ac:dyDescent="0.25">
      <c r="C7160" s="55"/>
    </row>
    <row r="7161" spans="3:3" x14ac:dyDescent="0.25">
      <c r="C7161" s="55"/>
    </row>
    <row r="7162" spans="3:3" x14ac:dyDescent="0.25">
      <c r="C7162" s="55"/>
    </row>
    <row r="7163" spans="3:3" x14ac:dyDescent="0.25">
      <c r="C7163" s="55"/>
    </row>
    <row r="7164" spans="3:3" x14ac:dyDescent="0.25">
      <c r="C7164" s="55"/>
    </row>
    <row r="7165" spans="3:3" x14ac:dyDescent="0.25">
      <c r="C7165" s="55"/>
    </row>
    <row r="7166" spans="3:3" x14ac:dyDescent="0.25">
      <c r="C7166" s="55"/>
    </row>
    <row r="7167" spans="3:3" x14ac:dyDescent="0.25">
      <c r="C7167" s="55"/>
    </row>
    <row r="7168" spans="3:3" x14ac:dyDescent="0.25">
      <c r="C7168" s="55"/>
    </row>
    <row r="7169" spans="3:3" x14ac:dyDescent="0.25">
      <c r="C7169" s="55"/>
    </row>
    <row r="7170" spans="3:3" x14ac:dyDescent="0.25">
      <c r="C7170" s="55"/>
    </row>
    <row r="7171" spans="3:3" x14ac:dyDescent="0.25">
      <c r="C7171" s="55"/>
    </row>
    <row r="7172" spans="3:3" x14ac:dyDescent="0.25">
      <c r="C7172" s="55"/>
    </row>
    <row r="7173" spans="3:3" x14ac:dyDescent="0.25">
      <c r="C7173" s="55"/>
    </row>
    <row r="7174" spans="3:3" x14ac:dyDescent="0.25">
      <c r="C7174" s="55"/>
    </row>
    <row r="7175" spans="3:3" x14ac:dyDescent="0.25">
      <c r="C7175" s="55"/>
    </row>
    <row r="7176" spans="3:3" x14ac:dyDescent="0.25">
      <c r="C7176" s="55"/>
    </row>
    <row r="7177" spans="3:3" x14ac:dyDescent="0.25">
      <c r="C7177" s="55"/>
    </row>
    <row r="7178" spans="3:3" x14ac:dyDescent="0.25">
      <c r="C7178" s="55"/>
    </row>
    <row r="7179" spans="3:3" x14ac:dyDescent="0.25">
      <c r="C7179" s="55"/>
    </row>
    <row r="7180" spans="3:3" x14ac:dyDescent="0.25">
      <c r="C7180" s="55"/>
    </row>
    <row r="7181" spans="3:3" x14ac:dyDescent="0.25">
      <c r="C7181" s="55"/>
    </row>
    <row r="7182" spans="3:3" x14ac:dyDescent="0.25">
      <c r="C7182" s="55"/>
    </row>
    <row r="7183" spans="3:3" x14ac:dyDescent="0.25">
      <c r="C7183" s="55"/>
    </row>
    <row r="7184" spans="3:3" x14ac:dyDescent="0.25">
      <c r="C7184" s="55"/>
    </row>
    <row r="7185" spans="3:3" x14ac:dyDescent="0.25">
      <c r="C7185" s="55"/>
    </row>
    <row r="7186" spans="3:3" x14ac:dyDescent="0.25">
      <c r="C7186" s="55"/>
    </row>
    <row r="7187" spans="3:3" x14ac:dyDescent="0.25">
      <c r="C7187" s="55"/>
    </row>
    <row r="7188" spans="3:3" x14ac:dyDescent="0.25">
      <c r="C7188" s="55"/>
    </row>
    <row r="7189" spans="3:3" x14ac:dyDescent="0.25">
      <c r="C7189" s="55"/>
    </row>
    <row r="7190" spans="3:3" x14ac:dyDescent="0.25">
      <c r="C7190" s="55"/>
    </row>
    <row r="7191" spans="3:3" x14ac:dyDescent="0.25">
      <c r="C7191" s="55"/>
    </row>
    <row r="7192" spans="3:3" x14ac:dyDescent="0.25">
      <c r="C7192" s="55"/>
    </row>
    <row r="7193" spans="3:3" x14ac:dyDescent="0.25">
      <c r="C7193" s="55"/>
    </row>
    <row r="7194" spans="3:3" x14ac:dyDescent="0.25">
      <c r="C7194" s="55"/>
    </row>
    <row r="7195" spans="3:3" x14ac:dyDescent="0.25">
      <c r="C7195" s="55"/>
    </row>
    <row r="7196" spans="3:3" x14ac:dyDescent="0.25">
      <c r="C7196" s="55"/>
    </row>
    <row r="7197" spans="3:3" x14ac:dyDescent="0.25">
      <c r="C7197" s="55"/>
    </row>
    <row r="7198" spans="3:3" x14ac:dyDescent="0.25">
      <c r="C7198" s="55"/>
    </row>
    <row r="7199" spans="3:3" x14ac:dyDescent="0.25">
      <c r="C7199" s="55"/>
    </row>
    <row r="7200" spans="3:3" x14ac:dyDescent="0.25">
      <c r="C7200" s="55"/>
    </row>
    <row r="7201" spans="3:3" x14ac:dyDescent="0.25">
      <c r="C7201" s="55"/>
    </row>
    <row r="7202" spans="3:3" x14ac:dyDescent="0.25">
      <c r="C7202" s="55"/>
    </row>
    <row r="7203" spans="3:3" x14ac:dyDescent="0.25">
      <c r="C7203" s="55"/>
    </row>
    <row r="7204" spans="3:3" x14ac:dyDescent="0.25">
      <c r="C7204" s="55"/>
    </row>
    <row r="7205" spans="3:3" x14ac:dyDescent="0.25">
      <c r="C7205" s="55"/>
    </row>
    <row r="7206" spans="3:3" x14ac:dyDescent="0.25">
      <c r="C7206" s="55"/>
    </row>
    <row r="7207" spans="3:3" x14ac:dyDescent="0.25">
      <c r="C7207" s="55"/>
    </row>
    <row r="7208" spans="3:3" x14ac:dyDescent="0.25">
      <c r="C7208" s="55"/>
    </row>
    <row r="7209" spans="3:3" x14ac:dyDescent="0.25">
      <c r="C7209" s="55"/>
    </row>
    <row r="7210" spans="3:3" x14ac:dyDescent="0.25">
      <c r="C7210" s="55"/>
    </row>
    <row r="7211" spans="3:3" x14ac:dyDescent="0.25">
      <c r="C7211" s="55"/>
    </row>
    <row r="7212" spans="3:3" x14ac:dyDescent="0.25">
      <c r="C7212" s="55"/>
    </row>
    <row r="7213" spans="3:3" x14ac:dyDescent="0.25">
      <c r="C7213" s="55"/>
    </row>
    <row r="7214" spans="3:3" x14ac:dyDescent="0.25">
      <c r="C7214" s="55"/>
    </row>
    <row r="7215" spans="3:3" x14ac:dyDescent="0.25">
      <c r="C7215" s="55"/>
    </row>
    <row r="7216" spans="3:3" x14ac:dyDescent="0.25">
      <c r="C7216" s="55"/>
    </row>
    <row r="7217" spans="3:3" x14ac:dyDescent="0.25">
      <c r="C7217" s="55"/>
    </row>
    <row r="7218" spans="3:3" x14ac:dyDescent="0.25">
      <c r="C7218" s="55"/>
    </row>
    <row r="7219" spans="3:3" x14ac:dyDescent="0.25">
      <c r="C7219" s="55"/>
    </row>
    <row r="7220" spans="3:3" x14ac:dyDescent="0.25">
      <c r="C7220" s="55"/>
    </row>
    <row r="7221" spans="3:3" x14ac:dyDescent="0.25">
      <c r="C7221" s="55"/>
    </row>
    <row r="7222" spans="3:3" x14ac:dyDescent="0.25">
      <c r="C7222" s="55"/>
    </row>
    <row r="7223" spans="3:3" x14ac:dyDescent="0.25">
      <c r="C7223" s="55"/>
    </row>
    <row r="7224" spans="3:3" x14ac:dyDescent="0.25">
      <c r="C7224" s="55"/>
    </row>
    <row r="7225" spans="3:3" x14ac:dyDescent="0.25">
      <c r="C7225" s="55"/>
    </row>
    <row r="7226" spans="3:3" x14ac:dyDescent="0.25">
      <c r="C7226" s="55"/>
    </row>
    <row r="7227" spans="3:3" x14ac:dyDescent="0.25">
      <c r="C7227" s="55"/>
    </row>
    <row r="7228" spans="3:3" x14ac:dyDescent="0.25">
      <c r="C7228" s="55"/>
    </row>
    <row r="7229" spans="3:3" x14ac:dyDescent="0.25">
      <c r="C7229" s="55"/>
    </row>
    <row r="7230" spans="3:3" x14ac:dyDescent="0.25">
      <c r="C7230" s="55"/>
    </row>
    <row r="7231" spans="3:3" x14ac:dyDescent="0.25">
      <c r="C7231" s="55"/>
    </row>
    <row r="7232" spans="3:3" x14ac:dyDescent="0.25">
      <c r="C7232" s="55"/>
    </row>
    <row r="7233" spans="3:3" x14ac:dyDescent="0.25">
      <c r="C7233" s="55"/>
    </row>
    <row r="7234" spans="3:3" x14ac:dyDescent="0.25">
      <c r="C7234" s="55"/>
    </row>
    <row r="7235" spans="3:3" x14ac:dyDescent="0.25">
      <c r="C7235" s="55"/>
    </row>
    <row r="7236" spans="3:3" x14ac:dyDescent="0.25">
      <c r="C7236" s="55"/>
    </row>
    <row r="7237" spans="3:3" x14ac:dyDescent="0.25">
      <c r="C7237" s="55"/>
    </row>
    <row r="7238" spans="3:3" x14ac:dyDescent="0.25">
      <c r="C7238" s="55"/>
    </row>
    <row r="7239" spans="3:3" x14ac:dyDescent="0.25">
      <c r="C7239" s="55"/>
    </row>
    <row r="7240" spans="3:3" x14ac:dyDescent="0.25">
      <c r="C7240" s="55"/>
    </row>
    <row r="7241" spans="3:3" x14ac:dyDescent="0.25">
      <c r="C7241" s="55"/>
    </row>
    <row r="7242" spans="3:3" x14ac:dyDescent="0.25">
      <c r="C7242" s="55"/>
    </row>
    <row r="7243" spans="3:3" x14ac:dyDescent="0.25">
      <c r="C7243" s="55"/>
    </row>
    <row r="7244" spans="3:3" x14ac:dyDescent="0.25">
      <c r="C7244" s="55"/>
    </row>
    <row r="7245" spans="3:3" x14ac:dyDescent="0.25">
      <c r="C7245" s="55"/>
    </row>
    <row r="7246" spans="3:3" x14ac:dyDescent="0.25">
      <c r="C7246" s="55"/>
    </row>
    <row r="7247" spans="3:3" x14ac:dyDescent="0.25">
      <c r="C7247" s="55"/>
    </row>
    <row r="7248" spans="3:3" x14ac:dyDescent="0.25">
      <c r="C7248" s="55"/>
    </row>
    <row r="7249" spans="3:3" x14ac:dyDescent="0.25">
      <c r="C7249" s="55"/>
    </row>
    <row r="7250" spans="3:3" x14ac:dyDescent="0.25">
      <c r="C7250" s="55"/>
    </row>
    <row r="7251" spans="3:3" x14ac:dyDescent="0.25">
      <c r="C7251" s="55"/>
    </row>
    <row r="7252" spans="3:3" x14ac:dyDescent="0.25">
      <c r="C7252" s="55"/>
    </row>
    <row r="7253" spans="3:3" x14ac:dyDescent="0.25">
      <c r="C7253" s="55"/>
    </row>
    <row r="7254" spans="3:3" x14ac:dyDescent="0.25">
      <c r="C7254" s="55"/>
    </row>
    <row r="7255" spans="3:3" x14ac:dyDescent="0.25">
      <c r="C7255" s="55"/>
    </row>
  </sheetData>
  <sortState xmlns:xlrd2="http://schemas.microsoft.com/office/spreadsheetml/2017/richdata2" ref="N7:O50">
    <sortCondition ref="N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24EE7-8620-42B7-AC75-BF47FFAFE7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92A4AF-2BB4-4D1B-8805-7A332CB3E4C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DAC13C8-3D16-4DC9-8FA6-9FFA9A84DBFB}"/>
</file>

<file path=customXml/itemProps4.xml><?xml version="1.0" encoding="utf-8"?>
<ds:datastoreItem xmlns:ds="http://schemas.openxmlformats.org/officeDocument/2006/customXml" ds:itemID="{31C882A9-A35C-4831-BE59-41EC1F92AA75}">
  <ds:schemaRefs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sharepoint/v3/field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5e3f1aae-2956-4629-a4bc-aaa910a7cb56"/>
    <ds:schemaRef ds:uri="http://purl.org/dc/elements/1.1/"/>
    <ds:schemaRef ds:uri="http://schemas.microsoft.com/sharepoint.v3"/>
    <ds:schemaRef ds:uri="9380cd1d-721d-4dea-8999-040d87e03657"/>
    <ds:schemaRef ds:uri="4ffa91fb-a0ff-4ac5-b2db-65c790d184a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LDV_sizeshare</vt:lpstr>
      <vt:lpstr>Fueluse</vt:lpstr>
      <vt:lpstr>CAFE</vt:lpstr>
      <vt:lpstr>CAFE calcs</vt:lpstr>
      <vt:lpstr>AEOT40</vt:lpstr>
      <vt:lpstr>AEOT43</vt:lpstr>
      <vt:lpstr>AEOT41</vt:lpstr>
      <vt:lpstr>initial results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Lenox, Carol</cp:lastModifiedBy>
  <cp:lastPrinted>2018-08-29T12:30:30Z</cp:lastPrinted>
  <dcterms:created xsi:type="dcterms:W3CDTF">2001-09-28T18:48:17Z</dcterms:created>
  <dcterms:modified xsi:type="dcterms:W3CDTF">2020-12-07T16:01:24Z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0x0101000A7748E3FC65F745A16F962AC37A6A38</vt:lpwstr>
  </property>
  <property fmtid="{D5CDD505-2E9C-101B-9397-08002B2CF9AE}" pid="3" name="SaveCode">
    <vt:r8>299175441265106</vt:r8>
  </property>
  <property fmtid="{D5CDD505-2E9C-101B-9397-08002B2CF9AE}" pid="4" name="WorkbookGuid">
    <vt:lpwstr>8d63c7cb-d576-4f6e-a0f9-4979a564513e</vt:lpwstr>
  </property>
</Properties>
</file>