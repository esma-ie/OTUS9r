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PAUS9rT_v20.2_AZ020522\EPAUS9rT_v20.2_AZ020522\SuppXLS\"/>
    </mc:Choice>
  </mc:AlternateContent>
  <xr:revisionPtr revIDLastSave="0" documentId="13_ncr:1_{494482C0-0BE7-471E-BBAA-90A5F0CBE9A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2_Ta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G6" i="2"/>
  <c r="H6" i="2"/>
  <c r="I6" i="2"/>
  <c r="J6" i="2"/>
  <c r="K6" i="2"/>
  <c r="L6" i="2"/>
  <c r="M6" i="2"/>
  <c r="N6" i="2"/>
  <c r="F6" i="2"/>
  <c r="H18" i="2"/>
  <c r="I7" i="2" s="1"/>
  <c r="H17" i="2"/>
  <c r="L7" i="2" l="1"/>
  <c r="H7" i="2"/>
  <c r="F7" i="2"/>
  <c r="K7" i="2"/>
  <c r="G7" i="2"/>
  <c r="N7" i="2"/>
  <c r="J7" i="2"/>
  <c r="M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<sst xmlns="http://schemas.openxmlformats.org/spreadsheetml/2006/main" count="39" uniqueCount="27">
  <si>
    <t>Year</t>
  </si>
  <si>
    <t>Cset_CN</t>
  </si>
  <si>
    <t>Attribute</t>
  </si>
  <si>
    <t>LimType</t>
  </si>
  <si>
    <t>~TFM_INS</t>
  </si>
  <si>
    <t>TimeSlice</t>
  </si>
  <si>
    <t>Trans - Insert</t>
  </si>
  <si>
    <t>COM_TAXNET</t>
  </si>
  <si>
    <t>TOTCO2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</si>
  <si>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</si>
  <si>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</si>
  <si>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</si>
  <si>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</si>
  <si>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</si>
  <si>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</si>
  <si>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</si>
  <si>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</si>
  <si>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</si>
  <si>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Added by Andrew Zalesak on February 1st, 2022</t>
  </si>
  <si>
    <t>*Units</t>
  </si>
  <si>
    <t>In $ M/Mt, we'll have $/ton. So if we want 20 $/ton in 2015 and 100 $/ton in 2050, we'd need 20 and 100 here.</t>
  </si>
  <si>
    <t>2005$US M/Mt</t>
  </si>
  <si>
    <t>Multiplier for 2020 to 2005$:</t>
  </si>
  <si>
    <t>Tax in 2025:</t>
  </si>
  <si>
    <t>2020 $</t>
  </si>
  <si>
    <t>2005 $</t>
  </si>
  <si>
    <t>Tax in 2050: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</si>
</sst>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1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15</xdr:col>
      <xdr:colOff>269875</xdr:colOff>
      <xdr:row>12</xdr:row>
      <xdr:rowOff>111125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26FDE8-053E-46B0-9D54-97A4B095E765}"/>
            </a:ext>
          </a:extLst>
        </xdr:cNvPr>
        <xdr:cNvSpPr txBox="1"/>
      </xdr:nvSpPr>
      <xdr:spPr>
        <a:xfrm>
          <a:off x="611188" y="1341438"/>
          <a:ext cx="4754562" cy="492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CO2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tax for the TOTCO2 aggregated commodity (see VT_REG1/2_PRI)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specific year(s) in each region using the COM_TAXNET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20" zoomScaleNormal="120" workbookViewId="0">
      <selection activeCell="F19" sqref="F19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3.28515625" bestFit="1" customWidth="1"/>
    <col min="5" max="5" width="5.140625" bestFit="1" customWidth="1"/>
    <col min="6" max="14" width="10.7109375" customWidth="1"/>
    <col min="15" max="15" width="8.42578125" bestFit="1" customWidth="1"/>
  </cols>
  <sheetData>
    <row r="1" spans="1:15" x14ac:dyDescent="0.25">
      <c r="A1" t="s">
        <v>18</v>
      </c>
    </row>
    <row r="2" spans="1:15" x14ac:dyDescent="0.25">
      <c r="A2" t="s">
        <v>6</v>
      </c>
    </row>
    <row r="3" spans="1:15" x14ac:dyDescent="0.25">
      <c r="B3" s="1" t="s">
        <v>4</v>
      </c>
      <c r="O3" s="2"/>
    </row>
    <row r="4" spans="1:15" ht="15.75" thickBot="1" x14ac:dyDescent="0.3">
      <c r="B4" s="3" t="s">
        <v>5</v>
      </c>
      <c r="C4" s="3" t="s">
        <v>3</v>
      </c>
      <c r="D4" s="3" t="s">
        <v>2</v>
      </c>
      <c r="E4" s="3" t="s">
        <v>0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5" t="s">
        <v>1</v>
      </c>
    </row>
    <row r="5" spans="1:15" x14ac:dyDescent="0.25">
      <c r="B5" s="6" t="s">
        <v>19</v>
      </c>
      <c r="C5" s="6"/>
      <c r="D5" s="6"/>
      <c r="E5" s="6"/>
      <c r="F5" s="6" t="s">
        <v>21</v>
      </c>
      <c r="G5" s="6" t="s">
        <v>21</v>
      </c>
      <c r="H5" s="6" t="s">
        <v>21</v>
      </c>
      <c r="I5" s="6" t="s">
        <v>21</v>
      </c>
      <c r="J5" s="6" t="s">
        <v>21</v>
      </c>
      <c r="K5" s="6" t="s">
        <v>21</v>
      </c>
      <c r="L5" s="6" t="s">
        <v>21</v>
      </c>
      <c r="M5" s="6" t="s">
        <v>21</v>
      </c>
      <c r="N5" s="6" t="s">
        <v>21</v>
      </c>
      <c r="O5" s="7"/>
    </row>
    <row r="6" spans="1:15" x14ac:dyDescent="0.25">
      <c r="D6" t="s">
        <v>7</v>
      </c>
      <c r="E6">
        <v>2025</v>
      </c>
      <c r="F6" s="8">
        <f>$H17</f>
        <v>19.233358560968743</v>
      </c>
      <c r="G6" s="8">
        <f t="shared" ref="G6:N6" si="0">$H17</f>
        <v>19.233358560968743</v>
      </c>
      <c r="H6" s="8">
        <f t="shared" si="0"/>
        <v>19.233358560968743</v>
      </c>
      <c r="I6" s="8">
        <f t="shared" si="0"/>
        <v>19.233358560968743</v>
      </c>
      <c r="J6" s="8">
        <f t="shared" si="0"/>
        <v>19.233358560968743</v>
      </c>
      <c r="K6" s="8">
        <f t="shared" si="0"/>
        <v>19.233358560968743</v>
      </c>
      <c r="L6" s="8">
        <f t="shared" si="0"/>
        <v>19.233358560968743</v>
      </c>
      <c r="M6" s="8">
        <f t="shared" si="0"/>
        <v>19.233358560968743</v>
      </c>
      <c r="N6" s="8">
        <f t="shared" si="0"/>
        <v>19.233358560968743</v>
      </c>
      <c r="O6" t="s">
        <v>8</v>
      </c>
    </row>
    <row r="7" spans="1:15" x14ac:dyDescent="0.25">
      <c r="D7" t="s">
        <v>7</v>
      </c>
      <c r="E7">
        <v>2050</v>
      </c>
      <c r="F7" s="8">
        <f>$H18</f>
        <v>65.130978793025989</v>
      </c>
      <c r="G7" s="8">
        <f t="shared" ref="G7:N7" si="1">$H18</f>
        <v>65.130978793025989</v>
      </c>
      <c r="H7" s="8">
        <f t="shared" si="1"/>
        <v>65.130978793025989</v>
      </c>
      <c r="I7" s="8">
        <f t="shared" si="1"/>
        <v>65.130978793025989</v>
      </c>
      <c r="J7" s="8">
        <f t="shared" si="1"/>
        <v>65.130978793025989</v>
      </c>
      <c r="K7" s="8">
        <f t="shared" si="1"/>
        <v>65.130978793025989</v>
      </c>
      <c r="L7" s="8">
        <f t="shared" si="1"/>
        <v>65.130978793025989</v>
      </c>
      <c r="M7" s="8">
        <f t="shared" si="1"/>
        <v>65.130978793025989</v>
      </c>
      <c r="N7" s="8">
        <f t="shared" si="1"/>
        <v>65.130978793025989</v>
      </c>
      <c r="O7" t="s">
        <v>8</v>
      </c>
    </row>
    <row r="8" spans="1:15" x14ac:dyDescent="0.25">
      <c r="D8" t="s">
        <v>7</v>
      </c>
      <c r="E8">
        <v>0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 t="s">
        <v>8</v>
      </c>
    </row>
    <row r="14" spans="1:15" x14ac:dyDescent="0.25">
      <c r="B14" t="s">
        <v>20</v>
      </c>
    </row>
    <row r="16" spans="1:15" x14ac:dyDescent="0.25">
      <c r="B16" t="s">
        <v>22</v>
      </c>
      <c r="G16" t="s">
        <v>24</v>
      </c>
      <c r="H16" t="s">
        <v>25</v>
      </c>
    </row>
    <row r="17" spans="2:8" x14ac:dyDescent="0.25">
      <c r="B17">
        <v>0.76933434243874965</v>
      </c>
      <c r="F17" t="s">
        <v>23</v>
      </c>
      <c r="G17">
        <v>25</v>
      </c>
      <c r="H17">
        <f>G17*$B$17</f>
        <v>19.233358560968743</v>
      </c>
    </row>
    <row r="18" spans="2:8" x14ac:dyDescent="0.25">
      <c r="F18" t="s">
        <v>26</v>
      </c>
      <c r="G18">
        <f>25*1.05^25</f>
        <v>84.65887352248464</v>
      </c>
      <c r="H18">
        <f>G18*$B$17</f>
        <v>65.130978793025989</v>
      </c>
    </row>
  </sheetData>
  <phoneticPr fontId="6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C213E6-7BDC-4288-8100-866929261376}"/>
</file>

<file path=customXml/itemProps2.xml><?xml version="1.0" encoding="utf-8"?>
<ds:datastoreItem xmlns:ds="http://schemas.openxmlformats.org/officeDocument/2006/customXml" ds:itemID="{0A8DC573-C953-4B0E-83EA-E16332E32F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CO2_Tax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dcterms:created xsi:type="dcterms:W3CDTF">2009-05-27T15:40:55Z</dcterms:created>
  <dcterms:modified xsi:type="dcterms:W3CDTF">2022-03-15T19:25:51Z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123878121376038</vt:lpwstr>
  </property>
</Properties>
</file>