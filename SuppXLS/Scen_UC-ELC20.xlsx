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456" documentId="13_ncr:1_{BCA552B5-690F-4AFA-95F4-6176D3305BCE}" xr6:coauthVersionLast="45" xr6:coauthVersionMax="45" xr10:uidLastSave="{BB3275E1-C77C-4062-9A64-F869B690706E}"/>
  <bookViews>
    <workbookView xWindow="-108" yWindow="-108" windowWidth="23256" windowHeight="14016" xr2:uid="{00000000-000D-0000-FFFF-FFFF00000000}"/>
  </bookViews>
  <sheets>
    <sheet name="onSets" sheetId="9" r:id="rId1"/>
    <sheet name="onTechs" sheetId="8" r:id="rId2"/>
    <sheet name="cofire data" sheetId="12" r:id="rId3"/>
    <sheet name="NetGenbyRegion" sheetId="14" r:id="rId4"/>
    <sheet name="NetGenRawData" sheetId="1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9" l="1"/>
  <c r="M47" i="9"/>
  <c r="M45" i="9"/>
  <c r="M43" i="9"/>
  <c r="M41" i="9"/>
  <c r="J47" i="9"/>
  <c r="J45" i="9"/>
  <c r="J43" i="9"/>
  <c r="R47" i="9"/>
  <c r="R45" i="9"/>
  <c r="R43" i="9"/>
  <c r="R40" i="9" l="1"/>
  <c r="Q40" i="9"/>
  <c r="P40" i="9"/>
  <c r="O40" i="9"/>
  <c r="N40" i="9"/>
  <c r="M40" i="9"/>
  <c r="L40" i="9"/>
  <c r="K40" i="9"/>
  <c r="J40" i="9"/>
  <c r="J14" i="8" l="1"/>
  <c r="K14" i="8"/>
  <c r="L14" i="8"/>
  <c r="M14" i="8"/>
  <c r="M15" i="8" s="1"/>
  <c r="N14" i="8"/>
  <c r="O14" i="8"/>
  <c r="P14" i="8"/>
  <c r="Q14" i="8"/>
  <c r="Q15" i="8" s="1"/>
  <c r="J15" i="8"/>
  <c r="K15" i="8"/>
  <c r="L15" i="8"/>
  <c r="N15" i="8"/>
  <c r="O15" i="8"/>
  <c r="P15" i="8"/>
  <c r="I15" i="8"/>
  <c r="I14" i="8"/>
  <c r="U34" i="14" l="1"/>
  <c r="R53" i="9" l="1"/>
  <c r="R48" i="9"/>
  <c r="R46" i="9"/>
  <c r="Q53" i="9"/>
  <c r="Q52" i="9"/>
  <c r="Q51" i="9"/>
  <c r="Q45" i="9"/>
  <c r="P52" i="9"/>
  <c r="P51" i="9"/>
  <c r="P50" i="9"/>
  <c r="P49" i="9"/>
  <c r="P33" i="9"/>
  <c r="O50" i="9"/>
  <c r="O49" i="9"/>
  <c r="O48" i="9"/>
  <c r="O47" i="9"/>
  <c r="O33" i="9"/>
  <c r="N48" i="9"/>
  <c r="N47" i="9"/>
  <c r="N46" i="9"/>
  <c r="N45" i="9"/>
  <c r="M46" i="9"/>
  <c r="M44" i="9"/>
  <c r="L49" i="9"/>
  <c r="L44" i="9"/>
  <c r="L43" i="9"/>
  <c r="L42" i="9"/>
  <c r="L41" i="9"/>
  <c r="K49" i="9"/>
  <c r="K48" i="9"/>
  <c r="K42" i="9"/>
  <c r="K41" i="9"/>
  <c r="K33" i="9"/>
  <c r="J50" i="9"/>
  <c r="J42" i="9"/>
  <c r="J33" i="9"/>
  <c r="P39" i="14"/>
  <c r="J48" i="9" s="1"/>
  <c r="P40" i="14"/>
  <c r="P41" i="14"/>
  <c r="L48" i="9" s="1"/>
  <c r="P42" i="14"/>
  <c r="M49" i="9" s="1"/>
  <c r="P43" i="14"/>
  <c r="N49" i="9" s="1"/>
  <c r="P44" i="14"/>
  <c r="P38" i="14"/>
  <c r="L38" i="14"/>
  <c r="S47" i="14"/>
  <c r="R54" i="9" s="1"/>
  <c r="R47" i="14"/>
  <c r="R52" i="9" s="1"/>
  <c r="Q47" i="14"/>
  <c r="R51" i="9" s="1"/>
  <c r="P47" i="14"/>
  <c r="R49" i="9" s="1"/>
  <c r="O47" i="14"/>
  <c r="N47" i="14"/>
  <c r="M47" i="14"/>
  <c r="R44" i="9" s="1"/>
  <c r="L47" i="14"/>
  <c r="R42" i="9" s="1"/>
  <c r="S46" i="14"/>
  <c r="Q54" i="9" s="1"/>
  <c r="R46" i="14"/>
  <c r="Q46" i="14"/>
  <c r="Q50" i="9" s="1"/>
  <c r="P46" i="14"/>
  <c r="Q49" i="9" s="1"/>
  <c r="O46" i="14"/>
  <c r="Q47" i="9" s="1"/>
  <c r="N46" i="14"/>
  <c r="Q46" i="9" s="1"/>
  <c r="M46" i="14"/>
  <c r="Q44" i="9" s="1"/>
  <c r="L46" i="14"/>
  <c r="Q42" i="9" s="1"/>
  <c r="S45" i="14"/>
  <c r="P54" i="9" s="1"/>
  <c r="R45" i="14"/>
  <c r="P53" i="9" s="1"/>
  <c r="Q45" i="14"/>
  <c r="P45" i="14"/>
  <c r="P48" i="9" s="1"/>
  <c r="O45" i="14"/>
  <c r="P47" i="9" s="1"/>
  <c r="N45" i="14"/>
  <c r="P46" i="9" s="1"/>
  <c r="M45" i="14"/>
  <c r="P43" i="9" s="1"/>
  <c r="L45" i="14"/>
  <c r="P42" i="9" s="1"/>
  <c r="S44" i="14"/>
  <c r="O54" i="9" s="1"/>
  <c r="R44" i="14"/>
  <c r="O53" i="9" s="1"/>
  <c r="Q44" i="14"/>
  <c r="O51" i="9" s="1"/>
  <c r="O44" i="14"/>
  <c r="N44" i="14"/>
  <c r="O46" i="9" s="1"/>
  <c r="M44" i="14"/>
  <c r="O44" i="9" s="1"/>
  <c r="L44" i="14"/>
  <c r="O41" i="9" s="1"/>
  <c r="S43" i="14"/>
  <c r="N54" i="9" s="1"/>
  <c r="R43" i="14"/>
  <c r="N53" i="9" s="1"/>
  <c r="Q43" i="14"/>
  <c r="N51" i="9" s="1"/>
  <c r="O43" i="14"/>
  <c r="N43" i="14"/>
  <c r="M43" i="14"/>
  <c r="N44" i="9" s="1"/>
  <c r="L43" i="14"/>
  <c r="N42" i="9" s="1"/>
  <c r="S42" i="14"/>
  <c r="M54" i="9" s="1"/>
  <c r="R42" i="14"/>
  <c r="M52" i="9" s="1"/>
  <c r="Q42" i="14"/>
  <c r="M51" i="9" s="1"/>
  <c r="O42" i="14"/>
  <c r="N42" i="14"/>
  <c r="M42" i="14"/>
  <c r="L42" i="14"/>
  <c r="M42" i="9" s="1"/>
  <c r="S41" i="14"/>
  <c r="L54" i="9" s="1"/>
  <c r="R41" i="14"/>
  <c r="L52" i="9" s="1"/>
  <c r="Q41" i="14"/>
  <c r="L50" i="9" s="1"/>
  <c r="O41" i="14"/>
  <c r="L47" i="9" s="1"/>
  <c r="N41" i="14"/>
  <c r="L46" i="9" s="1"/>
  <c r="M41" i="14"/>
  <c r="L41" i="14"/>
  <c r="S40" i="14"/>
  <c r="K54" i="9" s="1"/>
  <c r="R40" i="14"/>
  <c r="K53" i="9" s="1"/>
  <c r="Q40" i="14"/>
  <c r="K50" i="9" s="1"/>
  <c r="O40" i="14"/>
  <c r="K47" i="9" s="1"/>
  <c r="N40" i="14"/>
  <c r="K46" i="9" s="1"/>
  <c r="M40" i="14"/>
  <c r="K44" i="9" s="1"/>
  <c r="L40" i="14"/>
  <c r="S39" i="14"/>
  <c r="J54" i="9" s="1"/>
  <c r="R39" i="14"/>
  <c r="J53" i="9" s="1"/>
  <c r="Q39" i="14"/>
  <c r="J51" i="9" s="1"/>
  <c r="O39" i="14"/>
  <c r="N39" i="14"/>
  <c r="J46" i="9" s="1"/>
  <c r="M39" i="14"/>
  <c r="L39" i="14"/>
  <c r="S38" i="14"/>
  <c r="R38" i="14"/>
  <c r="Q38" i="14"/>
  <c r="O38" i="14"/>
  <c r="N38" i="14"/>
  <c r="M38" i="14"/>
  <c r="K47" i="14"/>
  <c r="K46" i="14"/>
  <c r="K45" i="14"/>
  <c r="K44" i="14"/>
  <c r="K43" i="14"/>
  <c r="K42" i="14"/>
  <c r="K41" i="14"/>
  <c r="K40" i="14"/>
  <c r="K39" i="14"/>
  <c r="K38" i="14"/>
  <c r="G47" i="14"/>
  <c r="R33" i="9" s="1"/>
  <c r="G46" i="14"/>
  <c r="Q33" i="9" s="1"/>
  <c r="G45" i="14"/>
  <c r="G44" i="14"/>
  <c r="G43" i="14"/>
  <c r="N33" i="9" s="1"/>
  <c r="G42" i="14"/>
  <c r="M33" i="9" s="1"/>
  <c r="G41" i="14"/>
  <c r="L33" i="9" s="1"/>
  <c r="G40" i="14"/>
  <c r="G39" i="14"/>
  <c r="G38" i="14"/>
  <c r="G26" i="14"/>
  <c r="F26" i="14"/>
  <c r="D26" i="14"/>
  <c r="J44" i="9" l="1"/>
  <c r="J52" i="9"/>
  <c r="K43" i="9"/>
  <c r="K51" i="9"/>
  <c r="L45" i="9"/>
  <c r="L53" i="9"/>
  <c r="N41" i="9"/>
  <c r="O43" i="9"/>
  <c r="P45" i="9"/>
  <c r="M53" i="9"/>
  <c r="P44" i="9"/>
  <c r="K52" i="9"/>
  <c r="M48" i="9"/>
  <c r="N50" i="9"/>
  <c r="O52" i="9"/>
  <c r="Q48" i="9"/>
  <c r="R50" i="9"/>
  <c r="L51" i="9"/>
  <c r="O42" i="9"/>
  <c r="K45" i="9"/>
  <c r="N43" i="9"/>
  <c r="O45" i="9"/>
  <c r="Q41" i="9"/>
  <c r="J49" i="9"/>
  <c r="M50" i="9"/>
  <c r="N52" i="9"/>
  <c r="P41" i="9"/>
  <c r="Q43" i="9"/>
  <c r="J47" i="14"/>
  <c r="I47" i="14"/>
  <c r="H47" i="14"/>
  <c r="J46" i="14"/>
  <c r="I46" i="14"/>
  <c r="H46" i="14"/>
  <c r="J45" i="14"/>
  <c r="I45" i="14"/>
  <c r="H45" i="14"/>
  <c r="J44" i="14"/>
  <c r="I44" i="14"/>
  <c r="H44" i="14"/>
  <c r="J43" i="14"/>
  <c r="I43" i="14"/>
  <c r="H43" i="14"/>
  <c r="J42" i="14"/>
  <c r="I42" i="14"/>
  <c r="H42" i="14"/>
  <c r="J41" i="14"/>
  <c r="I41" i="14"/>
  <c r="H41" i="14"/>
  <c r="J40" i="14"/>
  <c r="I40" i="14"/>
  <c r="H40" i="14"/>
  <c r="J39" i="14"/>
  <c r="I39" i="14"/>
  <c r="J37" i="9" s="1"/>
  <c r="H39" i="14"/>
  <c r="J38" i="14"/>
  <c r="I38" i="14"/>
  <c r="H38" i="14"/>
  <c r="E38" i="14"/>
  <c r="F38" i="14"/>
  <c r="E39" i="14"/>
  <c r="F39" i="14"/>
  <c r="E40" i="14"/>
  <c r="F40" i="14"/>
  <c r="E41" i="14"/>
  <c r="F41" i="14"/>
  <c r="E42" i="14"/>
  <c r="F42" i="14"/>
  <c r="E43" i="14"/>
  <c r="F43" i="14"/>
  <c r="E44" i="14"/>
  <c r="F44" i="14"/>
  <c r="E45" i="14"/>
  <c r="F45" i="14"/>
  <c r="E46" i="14"/>
  <c r="F46" i="14"/>
  <c r="E47" i="14"/>
  <c r="F47" i="14"/>
  <c r="D38" i="14"/>
  <c r="D39" i="14"/>
  <c r="D40" i="14"/>
  <c r="D41" i="14"/>
  <c r="D42" i="14"/>
  <c r="D43" i="14"/>
  <c r="D44" i="14"/>
  <c r="D45" i="14"/>
  <c r="D46" i="14"/>
  <c r="D47" i="14"/>
  <c r="Z34" i="14"/>
  <c r="AA34" i="14"/>
  <c r="R26" i="9" s="1"/>
  <c r="Y34" i="14"/>
  <c r="X34" i="14"/>
  <c r="Z33" i="14"/>
  <c r="AA33" i="14"/>
  <c r="Q26" i="9" s="1"/>
  <c r="Y33" i="14"/>
  <c r="X33" i="14"/>
  <c r="Z32" i="14"/>
  <c r="AA32" i="14"/>
  <c r="P26" i="9" s="1"/>
  <c r="Y32" i="14"/>
  <c r="X32" i="14"/>
  <c r="Z31" i="14"/>
  <c r="AA31" i="14"/>
  <c r="O26" i="9" s="1"/>
  <c r="Y31" i="14"/>
  <c r="X31" i="14"/>
  <c r="Z30" i="14"/>
  <c r="AA30" i="14"/>
  <c r="N26" i="9" s="1"/>
  <c r="Y30" i="14"/>
  <c r="X30" i="14"/>
  <c r="Z29" i="14"/>
  <c r="AA29" i="14"/>
  <c r="M26" i="9" s="1"/>
  <c r="Y29" i="14"/>
  <c r="X29" i="14"/>
  <c r="Z28" i="14"/>
  <c r="AA28" i="14"/>
  <c r="L26" i="9" s="1"/>
  <c r="Y28" i="14"/>
  <c r="X28" i="14"/>
  <c r="Z27" i="14"/>
  <c r="AA27" i="14"/>
  <c r="K26" i="9" s="1"/>
  <c r="Y27" i="14"/>
  <c r="X27" i="14"/>
  <c r="Z26" i="14"/>
  <c r="AA26" i="14"/>
  <c r="J26" i="9" s="1"/>
  <c r="Y26" i="14"/>
  <c r="X26" i="14"/>
  <c r="J21" i="9" s="1"/>
  <c r="Z25" i="14"/>
  <c r="AA25" i="14"/>
  <c r="Y25" i="14"/>
  <c r="X25" i="14"/>
  <c r="V34" i="14"/>
  <c r="W34" i="14"/>
  <c r="T34" i="14"/>
  <c r="V33" i="14"/>
  <c r="W33" i="14"/>
  <c r="U33" i="14"/>
  <c r="T33" i="14"/>
  <c r="V32" i="14"/>
  <c r="W32" i="14"/>
  <c r="U32" i="14"/>
  <c r="T32" i="14"/>
  <c r="V31" i="14"/>
  <c r="W31" i="14"/>
  <c r="U31" i="14"/>
  <c r="T31" i="14"/>
  <c r="V30" i="14"/>
  <c r="W30" i="14"/>
  <c r="U30" i="14"/>
  <c r="T30" i="14"/>
  <c r="V29" i="14"/>
  <c r="W29" i="14"/>
  <c r="U29" i="14"/>
  <c r="T29" i="14"/>
  <c r="V28" i="14"/>
  <c r="W28" i="14"/>
  <c r="U28" i="14"/>
  <c r="T28" i="14"/>
  <c r="V27" i="14"/>
  <c r="W27" i="14"/>
  <c r="U27" i="14"/>
  <c r="T27" i="14"/>
  <c r="V26" i="14"/>
  <c r="W26" i="14"/>
  <c r="U26" i="14"/>
  <c r="T26" i="14"/>
  <c r="V25" i="14"/>
  <c r="W25" i="14"/>
  <c r="U25" i="14"/>
  <c r="T25" i="14"/>
  <c r="R34" i="14"/>
  <c r="S34" i="14"/>
  <c r="Q34" i="14"/>
  <c r="P34" i="14"/>
  <c r="R33" i="14"/>
  <c r="S33" i="14"/>
  <c r="Q33" i="14"/>
  <c r="P33" i="14"/>
  <c r="R32" i="14"/>
  <c r="S32" i="14"/>
  <c r="Q32" i="14"/>
  <c r="P32" i="14"/>
  <c r="R31" i="14"/>
  <c r="S31" i="14"/>
  <c r="Q31" i="14"/>
  <c r="P31" i="14"/>
  <c r="R30" i="14"/>
  <c r="S30" i="14"/>
  <c r="Q30" i="14"/>
  <c r="P30" i="14"/>
  <c r="R29" i="14"/>
  <c r="S29" i="14"/>
  <c r="Q29" i="14"/>
  <c r="P29" i="14"/>
  <c r="R28" i="14"/>
  <c r="S28" i="14"/>
  <c r="Q28" i="14"/>
  <c r="P28" i="14"/>
  <c r="R27" i="14"/>
  <c r="S27" i="14"/>
  <c r="Q27" i="14"/>
  <c r="P27" i="14"/>
  <c r="R26" i="14"/>
  <c r="S26" i="14"/>
  <c r="Q26" i="14"/>
  <c r="P26" i="14"/>
  <c r="R25" i="14"/>
  <c r="S25" i="14"/>
  <c r="Q25" i="14"/>
  <c r="P25" i="14"/>
  <c r="N34" i="14"/>
  <c r="O34" i="14"/>
  <c r="R19" i="9" s="1"/>
  <c r="M34" i="14"/>
  <c r="L34" i="14"/>
  <c r="R14" i="9" s="1"/>
  <c r="N33" i="14"/>
  <c r="O33" i="14"/>
  <c r="Q19" i="9" s="1"/>
  <c r="M33" i="14"/>
  <c r="L33" i="14"/>
  <c r="Q14" i="9" s="1"/>
  <c r="N32" i="14"/>
  <c r="O32" i="14"/>
  <c r="P19" i="9" s="1"/>
  <c r="M32" i="14"/>
  <c r="L32" i="14"/>
  <c r="P14" i="9" s="1"/>
  <c r="N31" i="14"/>
  <c r="O31" i="14"/>
  <c r="O19" i="9" s="1"/>
  <c r="M31" i="14"/>
  <c r="L31" i="14"/>
  <c r="O14" i="9" s="1"/>
  <c r="N30" i="14"/>
  <c r="O30" i="14"/>
  <c r="N19" i="9" s="1"/>
  <c r="M30" i="14"/>
  <c r="L30" i="14"/>
  <c r="N14" i="9" s="1"/>
  <c r="N29" i="14"/>
  <c r="O29" i="14"/>
  <c r="M19" i="9" s="1"/>
  <c r="M29" i="14"/>
  <c r="L29" i="14"/>
  <c r="M14" i="9" s="1"/>
  <c r="N28" i="14"/>
  <c r="O28" i="14"/>
  <c r="L19" i="9" s="1"/>
  <c r="M28" i="14"/>
  <c r="L28" i="14"/>
  <c r="L14" i="9" s="1"/>
  <c r="N27" i="14"/>
  <c r="O27" i="14"/>
  <c r="K19" i="9" s="1"/>
  <c r="M27" i="14"/>
  <c r="L27" i="14"/>
  <c r="K14" i="9" s="1"/>
  <c r="N26" i="14"/>
  <c r="O26" i="14"/>
  <c r="J19" i="9" s="1"/>
  <c r="M26" i="14"/>
  <c r="L26" i="14"/>
  <c r="J14" i="9" s="1"/>
  <c r="N25" i="14"/>
  <c r="O25" i="14"/>
  <c r="M25" i="14"/>
  <c r="L25" i="14"/>
  <c r="J34" i="14"/>
  <c r="K34" i="14"/>
  <c r="R12" i="9" s="1"/>
  <c r="I34" i="14"/>
  <c r="H34" i="14"/>
  <c r="R7" i="9" s="1"/>
  <c r="J33" i="14"/>
  <c r="K33" i="14"/>
  <c r="Q12" i="9" s="1"/>
  <c r="I33" i="14"/>
  <c r="H33" i="14"/>
  <c r="Q7" i="9" s="1"/>
  <c r="J32" i="14"/>
  <c r="K32" i="14"/>
  <c r="P12" i="9" s="1"/>
  <c r="I32" i="14"/>
  <c r="H32" i="14"/>
  <c r="P7" i="9" s="1"/>
  <c r="J31" i="14"/>
  <c r="K31" i="14"/>
  <c r="O12" i="9" s="1"/>
  <c r="I31" i="14"/>
  <c r="H31" i="14"/>
  <c r="O7" i="9" s="1"/>
  <c r="J30" i="14"/>
  <c r="K30" i="14"/>
  <c r="N12" i="9" s="1"/>
  <c r="I30" i="14"/>
  <c r="H30" i="14"/>
  <c r="N7" i="9" s="1"/>
  <c r="J29" i="14"/>
  <c r="K29" i="14"/>
  <c r="M12" i="9" s="1"/>
  <c r="I29" i="14"/>
  <c r="H29" i="14"/>
  <c r="M7" i="9" s="1"/>
  <c r="J28" i="14"/>
  <c r="K28" i="14"/>
  <c r="L12" i="9" s="1"/>
  <c r="I28" i="14"/>
  <c r="H28" i="14"/>
  <c r="L7" i="9" s="1"/>
  <c r="J27" i="14"/>
  <c r="K27" i="14"/>
  <c r="K12" i="9" s="1"/>
  <c r="I27" i="14"/>
  <c r="H27" i="14"/>
  <c r="K7" i="9" s="1"/>
  <c r="J26" i="14"/>
  <c r="K26" i="14"/>
  <c r="J12" i="9" s="1"/>
  <c r="I26" i="14"/>
  <c r="H26" i="14"/>
  <c r="J25" i="14"/>
  <c r="K25" i="14"/>
  <c r="I25" i="14"/>
  <c r="H25" i="14"/>
  <c r="E25" i="14"/>
  <c r="G25" i="14"/>
  <c r="F25" i="14"/>
  <c r="E26" i="14"/>
  <c r="E27" i="14"/>
  <c r="G27" i="14"/>
  <c r="F27" i="14"/>
  <c r="E28" i="14"/>
  <c r="G28" i="14"/>
  <c r="F28" i="14"/>
  <c r="E29" i="14"/>
  <c r="G29" i="14"/>
  <c r="F29" i="14"/>
  <c r="E30" i="14"/>
  <c r="G30" i="14"/>
  <c r="F30" i="14"/>
  <c r="E31" i="14"/>
  <c r="G31" i="14"/>
  <c r="F31" i="14"/>
  <c r="E32" i="14"/>
  <c r="G32" i="14"/>
  <c r="F32" i="14"/>
  <c r="E33" i="14"/>
  <c r="G33" i="14"/>
  <c r="F33" i="14"/>
  <c r="E34" i="14"/>
  <c r="G34" i="14"/>
  <c r="F34" i="14"/>
  <c r="D25" i="14"/>
  <c r="D27" i="14"/>
  <c r="D28" i="14"/>
  <c r="D29" i="14"/>
  <c r="D30" i="14"/>
  <c r="D31" i="14"/>
  <c r="D32" i="14"/>
  <c r="D33" i="14"/>
  <c r="D34" i="14"/>
  <c r="L21" i="9" l="1"/>
  <c r="L20" i="9"/>
  <c r="Q32" i="9"/>
  <c r="Q31" i="9"/>
  <c r="P36" i="9"/>
  <c r="P37" i="9"/>
  <c r="L23" i="9"/>
  <c r="L22" i="9"/>
  <c r="P22" i="9"/>
  <c r="P23" i="9"/>
  <c r="K37" i="9"/>
  <c r="K36" i="9"/>
  <c r="P39" i="9"/>
  <c r="P38" i="9"/>
  <c r="J9" i="9"/>
  <c r="J8" i="9"/>
  <c r="L9" i="9"/>
  <c r="L8" i="9"/>
  <c r="N8" i="9"/>
  <c r="N9" i="9"/>
  <c r="P9" i="9"/>
  <c r="P8" i="9"/>
  <c r="R8" i="9"/>
  <c r="R9" i="9"/>
  <c r="J15" i="9"/>
  <c r="J16" i="9"/>
  <c r="L16" i="9"/>
  <c r="L15" i="9"/>
  <c r="N15" i="9"/>
  <c r="N16" i="9"/>
  <c r="P16" i="9"/>
  <c r="P15" i="9"/>
  <c r="R16" i="9"/>
  <c r="R15" i="9"/>
  <c r="P31" i="9"/>
  <c r="P32" i="9"/>
  <c r="L31" i="9"/>
  <c r="L32" i="9"/>
  <c r="K39" i="9"/>
  <c r="K38" i="9"/>
  <c r="N37" i="9"/>
  <c r="N36" i="9"/>
  <c r="Q35" i="9"/>
  <c r="Q34" i="9"/>
  <c r="J23" i="9"/>
  <c r="J22" i="9"/>
  <c r="N22" i="9"/>
  <c r="N23" i="9"/>
  <c r="R23" i="9"/>
  <c r="R22" i="9"/>
  <c r="N35" i="9"/>
  <c r="J25" i="9"/>
  <c r="J24" i="9"/>
  <c r="L24" i="9"/>
  <c r="L25" i="9"/>
  <c r="N25" i="9"/>
  <c r="N24" i="9"/>
  <c r="P25" i="9"/>
  <c r="P24" i="9"/>
  <c r="R25" i="9"/>
  <c r="R24" i="9"/>
  <c r="L35" i="9"/>
  <c r="N38" i="9"/>
  <c r="N39" i="9"/>
  <c r="Q36" i="9"/>
  <c r="Q37" i="9"/>
  <c r="N21" i="9"/>
  <c r="N20" i="9"/>
  <c r="K21" i="9"/>
  <c r="K20" i="9"/>
  <c r="M21" i="9"/>
  <c r="M20" i="9"/>
  <c r="O21" i="9"/>
  <c r="O20" i="9"/>
  <c r="Q21" i="9"/>
  <c r="Q20" i="9"/>
  <c r="O31" i="9"/>
  <c r="O32" i="9"/>
  <c r="K31" i="9"/>
  <c r="K32" i="9"/>
  <c r="L36" i="9"/>
  <c r="L37" i="9"/>
  <c r="O34" i="9"/>
  <c r="O35" i="9"/>
  <c r="Q39" i="9"/>
  <c r="Q38" i="9"/>
  <c r="K23" i="9"/>
  <c r="K22" i="9"/>
  <c r="M22" i="9"/>
  <c r="M23" i="9"/>
  <c r="O22" i="9"/>
  <c r="O23" i="9"/>
  <c r="Q23" i="9"/>
  <c r="Q22" i="9"/>
  <c r="L39" i="9"/>
  <c r="L38" i="9"/>
  <c r="O37" i="9"/>
  <c r="O36" i="9"/>
  <c r="R35" i="9"/>
  <c r="R34" i="9"/>
  <c r="P20" i="9"/>
  <c r="P21" i="9"/>
  <c r="M31" i="9"/>
  <c r="M32" i="9"/>
  <c r="K34" i="9"/>
  <c r="K35" i="9"/>
  <c r="M9" i="9"/>
  <c r="M8" i="9"/>
  <c r="Q8" i="9"/>
  <c r="Q9" i="9"/>
  <c r="K16" i="9"/>
  <c r="K15" i="9"/>
  <c r="Q16" i="9"/>
  <c r="Q15" i="9"/>
  <c r="M35" i="9"/>
  <c r="M34" i="9"/>
  <c r="O39" i="9"/>
  <c r="O38" i="9"/>
  <c r="R37" i="9"/>
  <c r="R36" i="9"/>
  <c r="R21" i="9"/>
  <c r="R20" i="9"/>
  <c r="M38" i="9"/>
  <c r="M39" i="9"/>
  <c r="K8" i="9"/>
  <c r="K9" i="9"/>
  <c r="O9" i="9"/>
  <c r="O8" i="9"/>
  <c r="M16" i="9"/>
  <c r="M15" i="9"/>
  <c r="O16" i="9"/>
  <c r="O15" i="9"/>
  <c r="R31" i="9"/>
  <c r="R32" i="9"/>
  <c r="N31" i="9"/>
  <c r="N32" i="9"/>
  <c r="J31" i="9"/>
  <c r="J32" i="9"/>
  <c r="K24" i="9"/>
  <c r="K25" i="9"/>
  <c r="M25" i="9"/>
  <c r="M24" i="9"/>
  <c r="O25" i="9"/>
  <c r="O24" i="9"/>
  <c r="Q25" i="9"/>
  <c r="Q24" i="9"/>
  <c r="J38" i="9"/>
  <c r="M37" i="9"/>
  <c r="M36" i="9"/>
  <c r="P35" i="9"/>
  <c r="R38" i="9"/>
  <c r="R39" i="9"/>
  <c r="J6" i="8"/>
  <c r="J7" i="8"/>
  <c r="J17" i="8"/>
  <c r="J16" i="8"/>
  <c r="L9" i="8"/>
  <c r="L8" i="8"/>
  <c r="J18" i="8"/>
  <c r="J19" i="8"/>
  <c r="L18" i="8"/>
  <c r="L19" i="8"/>
  <c r="N18" i="8"/>
  <c r="N19" i="8"/>
  <c r="P18" i="8"/>
  <c r="P19" i="8"/>
  <c r="P6" i="8"/>
  <c r="P7" i="8"/>
  <c r="J9" i="8"/>
  <c r="J8" i="8"/>
  <c r="J11" i="8"/>
  <c r="J13" i="8" s="1"/>
  <c r="J10" i="8"/>
  <c r="J12" i="8" s="1"/>
  <c r="L11" i="8"/>
  <c r="L13" i="8" s="1"/>
  <c r="L10" i="8"/>
  <c r="L12" i="8" s="1"/>
  <c r="N11" i="8"/>
  <c r="N13" i="8" s="1"/>
  <c r="N10" i="8"/>
  <c r="N12" i="8" s="1"/>
  <c r="P11" i="8"/>
  <c r="P13" i="8" s="1"/>
  <c r="P10" i="8"/>
  <c r="P12" i="8" s="1"/>
  <c r="J20" i="8"/>
  <c r="J21" i="8"/>
  <c r="J22" i="8" s="1"/>
  <c r="J23" i="8" s="1"/>
  <c r="L20" i="8"/>
  <c r="L21" i="8"/>
  <c r="L22" i="8" s="1"/>
  <c r="L23" i="8" s="1"/>
  <c r="N21" i="8"/>
  <c r="N22" i="8" s="1"/>
  <c r="N23" i="8" s="1"/>
  <c r="N20" i="8"/>
  <c r="P20" i="8"/>
  <c r="P21" i="8"/>
  <c r="P22" i="8" s="1"/>
  <c r="P23" i="8" s="1"/>
  <c r="N6" i="8"/>
  <c r="N7" i="8"/>
  <c r="N17" i="8"/>
  <c r="N16" i="8"/>
  <c r="P8" i="8"/>
  <c r="P9" i="8"/>
  <c r="I7" i="8"/>
  <c r="I6" i="8"/>
  <c r="K7" i="8"/>
  <c r="K6" i="8"/>
  <c r="M7" i="8"/>
  <c r="M6" i="8"/>
  <c r="O7" i="8"/>
  <c r="O6" i="8"/>
  <c r="Q7" i="8"/>
  <c r="Q6" i="8"/>
  <c r="I17" i="8"/>
  <c r="I16" i="8"/>
  <c r="K16" i="8"/>
  <c r="K17" i="8"/>
  <c r="M16" i="8"/>
  <c r="M17" i="8"/>
  <c r="O16" i="8"/>
  <c r="O17" i="8"/>
  <c r="Q17" i="8"/>
  <c r="Q16" i="8"/>
  <c r="N8" i="8"/>
  <c r="N9" i="8"/>
  <c r="K9" i="8"/>
  <c r="K8" i="8"/>
  <c r="O9" i="8"/>
  <c r="O8" i="8"/>
  <c r="Q9" i="8"/>
  <c r="Q8" i="8"/>
  <c r="I19" i="8"/>
  <c r="I18" i="8"/>
  <c r="K19" i="8"/>
  <c r="K18" i="8"/>
  <c r="M19" i="8"/>
  <c r="M18" i="8"/>
  <c r="Q19" i="8"/>
  <c r="Q18" i="8"/>
  <c r="L17" i="8"/>
  <c r="L16" i="8"/>
  <c r="I8" i="8"/>
  <c r="I9" i="8"/>
  <c r="O19" i="8"/>
  <c r="O18" i="8"/>
  <c r="L6" i="8"/>
  <c r="L7" i="8"/>
  <c r="P17" i="8"/>
  <c r="P16" i="8"/>
  <c r="M9" i="8"/>
  <c r="M8" i="8"/>
  <c r="I10" i="8"/>
  <c r="I12" i="8" s="1"/>
  <c r="I11" i="8"/>
  <c r="I13" i="8" s="1"/>
  <c r="K10" i="8"/>
  <c r="K12" i="8" s="1"/>
  <c r="K11" i="8"/>
  <c r="K13" i="8" s="1"/>
  <c r="M10" i="8"/>
  <c r="M12" i="8" s="1"/>
  <c r="M11" i="8"/>
  <c r="M13" i="8" s="1"/>
  <c r="O10" i="8"/>
  <c r="O12" i="8" s="1"/>
  <c r="O11" i="8"/>
  <c r="O13" i="8" s="1"/>
  <c r="Q10" i="8"/>
  <c r="Q12" i="8" s="1"/>
  <c r="Q11" i="8"/>
  <c r="Q13" i="8" s="1"/>
  <c r="I20" i="8"/>
  <c r="I21" i="8"/>
  <c r="K21" i="8"/>
  <c r="K22" i="8" s="1"/>
  <c r="K23" i="8" s="1"/>
  <c r="K20" i="8"/>
  <c r="M21" i="8"/>
  <c r="M22" i="8" s="1"/>
  <c r="M23" i="8" s="1"/>
  <c r="M20" i="8"/>
  <c r="O21" i="8"/>
  <c r="O22" i="8" s="1"/>
  <c r="O23" i="8" s="1"/>
  <c r="O20" i="8"/>
  <c r="Q21" i="8"/>
  <c r="Q22" i="8" s="1"/>
  <c r="Q23" i="8" s="1"/>
  <c r="Q20" i="8"/>
  <c r="J7" i="9"/>
  <c r="J6" i="9"/>
  <c r="R18" i="9"/>
  <c r="Q18" i="9"/>
  <c r="P18" i="9"/>
  <c r="O18" i="9"/>
  <c r="N18" i="9"/>
  <c r="M18" i="9"/>
  <c r="L18" i="9"/>
  <c r="K18" i="9"/>
  <c r="J18" i="9"/>
  <c r="J20" i="9" l="1"/>
  <c r="R11" i="9"/>
  <c r="Q11" i="9"/>
  <c r="P11" i="9"/>
  <c r="O11" i="9"/>
  <c r="N11" i="9"/>
  <c r="M11" i="9"/>
  <c r="L11" i="9"/>
  <c r="K11" i="9"/>
  <c r="J11" i="9"/>
  <c r="I22" i="8" l="1"/>
  <c r="I23" i="8" s="1"/>
  <c r="R17" i="9"/>
  <c r="R13" i="9"/>
  <c r="R10" i="9"/>
  <c r="R6" i="9"/>
  <c r="Q17" i="9"/>
  <c r="Q13" i="9"/>
  <c r="Q10" i="9"/>
  <c r="Q6" i="9"/>
  <c r="P17" i="9"/>
  <c r="P13" i="9"/>
  <c r="P10" i="9"/>
  <c r="P6" i="9"/>
  <c r="O17" i="9"/>
  <c r="O13" i="9"/>
  <c r="O10" i="9"/>
  <c r="O6" i="9"/>
  <c r="N17" i="9"/>
  <c r="N13" i="9"/>
  <c r="N10" i="9"/>
  <c r="N6" i="9"/>
  <c r="M17" i="9"/>
  <c r="M13" i="9"/>
  <c r="M10" i="9"/>
  <c r="M6" i="9"/>
  <c r="L17" i="9"/>
  <c r="L13" i="9"/>
  <c r="L10" i="9"/>
  <c r="L6" i="9"/>
  <c r="K17" i="9"/>
  <c r="K13" i="9"/>
  <c r="K10" i="9"/>
  <c r="K6" i="9"/>
  <c r="J17" i="9"/>
  <c r="J13" i="9"/>
  <c r="J10" i="9"/>
  <c r="R30" i="9" l="1"/>
  <c r="Q30" i="9"/>
  <c r="P30" i="9"/>
  <c r="O30" i="9"/>
  <c r="N30" i="9"/>
  <c r="M30" i="9"/>
  <c r="L30" i="9"/>
  <c r="K30" i="9"/>
  <c r="R29" i="9"/>
  <c r="Q29" i="9"/>
  <c r="P29" i="9"/>
  <c r="O29" i="9"/>
  <c r="N29" i="9"/>
  <c r="M29" i="9"/>
  <c r="L29" i="9"/>
  <c r="K29" i="9"/>
  <c r="R28" i="9"/>
  <c r="Q28" i="9"/>
  <c r="P28" i="9"/>
  <c r="O28" i="9"/>
  <c r="N28" i="9"/>
  <c r="M28" i="9"/>
  <c r="L28" i="9"/>
  <c r="K28" i="9"/>
  <c r="R27" i="9"/>
  <c r="Q27" i="9"/>
  <c r="P27" i="9"/>
  <c r="O27" i="9"/>
  <c r="N27" i="9"/>
  <c r="M27" i="9"/>
  <c r="L27" i="9"/>
  <c r="K27" i="9"/>
  <c r="J39" i="9"/>
  <c r="J36" i="9"/>
  <c r="J30" i="9"/>
  <c r="J29" i="9"/>
  <c r="J28" i="9"/>
  <c r="J2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Lenox, Carol</author>
  </authors>
  <commentList>
    <comment ref="L1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Temporary fix. Need to reconcile large increase in hydro capacity in AEO data with AEO hydro stock in region 4</t>
        </r>
      </text>
    </comment>
    <comment ref="Q1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R9 RNW use was slightly lower than AEO and was dummying out due to lack of ELC in 2010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Lenox, Carol</author>
  </authors>
  <commentList>
    <comment ref="U34" authorId="0" shapeId="0" xr:uid="{565742EC-4CEB-4A58-859B-B38572909B11}">
      <text>
        <r>
          <rPr>
            <sz val="9"/>
            <color indexed="81"/>
            <rFont val="Tahoma"/>
            <family val="2"/>
          </rPr>
          <t>Adjusted to be in line with trends in R9</t>
        </r>
      </text>
    </comment>
  </commentList>
</comments>
</file>

<file path=xl/sharedStrings.xml><?xml version="1.0" encoding="utf-8"?>
<sst xmlns="http://schemas.openxmlformats.org/spreadsheetml/2006/main" count="1210" uniqueCount="537">
  <si>
    <t>R1</t>
  </si>
  <si>
    <t>R2</t>
  </si>
  <si>
    <t>R3</t>
  </si>
  <si>
    <t>R4</t>
  </si>
  <si>
    <t>R5</t>
  </si>
  <si>
    <t>R6</t>
  </si>
  <si>
    <t>R7</t>
  </si>
  <si>
    <t>R8</t>
  </si>
  <si>
    <t>R9</t>
  </si>
  <si>
    <t>UP</t>
  </si>
  <si>
    <t>UC_Desc</t>
  </si>
  <si>
    <t>UC_N</t>
  </si>
  <si>
    <t>PSET_SET</t>
  </si>
  <si>
    <t>UC_RHSRT~0</t>
  </si>
  <si>
    <t>LimType</t>
  </si>
  <si>
    <t>LO</t>
  </si>
  <si>
    <t>~UC_Sets: R_E: R1,R2,R3,R4,R5,R6,R7,R8,R9</t>
  </si>
  <si>
    <t>~UC_Sets: T_E:</t>
  </si>
  <si>
    <t>ELC-COAL</t>
  </si>
  <si>
    <t>Year</t>
  </si>
  <si>
    <t>~UC_T:UC_RHSRT</t>
  </si>
  <si>
    <t>ELE</t>
  </si>
  <si>
    <t>ELC_HYD</t>
  </si>
  <si>
    <t>EHYDCONR</t>
  </si>
  <si>
    <t>ELC_NGA</t>
  </si>
  <si>
    <t>ELC-NGA</t>
  </si>
  <si>
    <t>ELC_NUK</t>
  </si>
  <si>
    <t>PSET_PN</t>
  </si>
  <si>
    <t>EURNALWRO, EURNALWRR</t>
  </si>
  <si>
    <t>Nuclear use in ELC production</t>
  </si>
  <si>
    <t>UC_ACT</t>
  </si>
  <si>
    <t>Coal Use in ELC Production</t>
  </si>
  <si>
    <t>NG Use in ELC Production</t>
  </si>
  <si>
    <t>ELC</t>
  </si>
  <si>
    <t>Hydropower use in ELC production</t>
  </si>
  <si>
    <t>UC_FLO</t>
  </si>
  <si>
    <t>CSET_CN</t>
  </si>
  <si>
    <t>ELC_COAL</t>
  </si>
  <si>
    <t>PSET_CO</t>
  </si>
  <si>
    <t>ELC-PET</t>
  </si>
  <si>
    <t>ELC-WND</t>
  </si>
  <si>
    <t>ELC-SOL</t>
  </si>
  <si>
    <t>ELCBICFBHO</t>
  </si>
  <si>
    <t>Limit on biomass co-firing E input to resid BH coal steam over 100 MW</t>
  </si>
  <si>
    <t>SECSTBHFGO</t>
  </si>
  <si>
    <t>SEELCBIBHO</t>
  </si>
  <si>
    <t>ELCBICFBHU</t>
  </si>
  <si>
    <t>Limit on biomass co-firing E input to resid BH coal steam under 100 MW</t>
  </si>
  <si>
    <t>SECSTBHFGU</t>
  </si>
  <si>
    <t>SEELCBIBHU</t>
  </si>
  <si>
    <t>ELCBICFBMO</t>
  </si>
  <si>
    <t>Limit on biomass co-firing E input to resid BM coal steam over 100 MW</t>
  </si>
  <si>
    <t>SECSTBMFGO</t>
  </si>
  <si>
    <t>SEELCBIBMO</t>
  </si>
  <si>
    <t>ELCBICFBMU</t>
  </si>
  <si>
    <t>Limit on biomass co-firing E input to resid BM coal steam under 100 MW</t>
  </si>
  <si>
    <t>SECSTBMFGU</t>
  </si>
  <si>
    <t>SEELCBIBMU</t>
  </si>
  <si>
    <t>ELCBICFBLO</t>
  </si>
  <si>
    <t>Limit on biomass co-firing E input to resid BL coal steam over 100 MW</t>
  </si>
  <si>
    <t>SECSTBLFGO</t>
  </si>
  <si>
    <t>SEELCBIBLO</t>
  </si>
  <si>
    <t>ELCBICFBLU</t>
  </si>
  <si>
    <t>Limit on biomass co-firing E input to resid BL coal steam under 100 MW</t>
  </si>
  <si>
    <t>SECSTBLFGU</t>
  </si>
  <si>
    <t>SEELCBIBLU</t>
  </si>
  <si>
    <t>ELCBICFLHO</t>
  </si>
  <si>
    <t>Limit on biomass co-firing E input to resid LH coal steam over 100 MW</t>
  </si>
  <si>
    <t>SECSTLHFGO</t>
  </si>
  <si>
    <t>SEELCBILHO</t>
  </si>
  <si>
    <t>ELCBICFLHU</t>
  </si>
  <si>
    <t>Limit on biomass co-firing E input to resid LH coal steam under 100 MW</t>
  </si>
  <si>
    <t>SECSTLHFGU</t>
  </si>
  <si>
    <t>SEELCBILHU</t>
  </si>
  <si>
    <t>ELCBICFLMO</t>
  </si>
  <si>
    <t>Limit on biomass co-firing E input to resid LM coal steam over 100 MW</t>
  </si>
  <si>
    <t>SECSTLMFGO</t>
  </si>
  <si>
    <t>SEELCBILMO</t>
  </si>
  <si>
    <t>ELCBICFLMU</t>
  </si>
  <si>
    <t>Limit on biomass co-firing E input to resid LM coal steam under 100 MW</t>
  </si>
  <si>
    <t>SECSTLMFGU</t>
  </si>
  <si>
    <t>SEELCBILMU</t>
  </si>
  <si>
    <t>ELCBICFSMO</t>
  </si>
  <si>
    <t>Limit on biomass co-firing E input to resid SM coal steam over 100 MW</t>
  </si>
  <si>
    <t>SECSTSMFGO</t>
  </si>
  <si>
    <t>SEELCBISMO</t>
  </si>
  <si>
    <t>ELCBICFSMU</t>
  </si>
  <si>
    <t>Limit on biomass co-firing E input to resid SM coal steam under 100 MW</t>
  </si>
  <si>
    <t>SECSTSMFGU</t>
  </si>
  <si>
    <t>SEELCBISMU</t>
  </si>
  <si>
    <t>ELCBICFSLO</t>
  </si>
  <si>
    <t>Limit on biomass co-firing E input to resid SL coal steam over 100 MW</t>
  </si>
  <si>
    <t>SECSTSLFGO</t>
  </si>
  <si>
    <t>SEELCBISLO</t>
  </si>
  <si>
    <t>ELCBICFSLU</t>
  </si>
  <si>
    <t>Limit on biomass co-firing E input to resid SL coal steam under 100 MW</t>
  </si>
  <si>
    <t>SECSTSLFGU</t>
  </si>
  <si>
    <t>SEELCBISLU</t>
  </si>
  <si>
    <t>ELCBIOCFN</t>
  </si>
  <si>
    <t>Limit on biomass co-firing E input to new coal steam</t>
  </si>
  <si>
    <t>SECSTMBH</t>
  </si>
  <si>
    <t>SECSTMBM</t>
  </si>
  <si>
    <t>SECSTMBL</t>
  </si>
  <si>
    <t>SECSTMLH</t>
  </si>
  <si>
    <t>SECSTMLM</t>
  </si>
  <si>
    <t>SECSTMSM</t>
  </si>
  <si>
    <t>SECSTMSL</t>
  </si>
  <si>
    <t>SEELCBION</t>
  </si>
  <si>
    <t>ELC_PET</t>
  </si>
  <si>
    <t>PET Use in ELC Production</t>
  </si>
  <si>
    <t>ELC_WND</t>
  </si>
  <si>
    <t>Wind Use in ELC Production</t>
  </si>
  <si>
    <t>ELC_SOL</t>
  </si>
  <si>
    <t>Solar Use in ELC Production</t>
  </si>
  <si>
    <t>Wind</t>
  </si>
  <si>
    <t>Solar</t>
  </si>
  <si>
    <t>National</t>
  </si>
  <si>
    <t>all</t>
  </si>
  <si>
    <t>Converted to PJ for MARKAL</t>
  </si>
  <si>
    <t>PJ</t>
  </si>
  <si>
    <t>All</t>
  </si>
  <si>
    <t>Coal</t>
  </si>
  <si>
    <t>Gas</t>
  </si>
  <si>
    <t>Nuke</t>
  </si>
  <si>
    <t>Hydro</t>
  </si>
  <si>
    <t>Oil</t>
  </si>
  <si>
    <t>UC_RHSRT</t>
  </si>
  <si>
    <t>~UC_T:UC_RHSRT~UP</t>
  </si>
  <si>
    <t>ELC-BIO</t>
  </si>
  <si>
    <t>ELC-GEO</t>
  </si>
  <si>
    <t>http://www.eia.gov/electricity/data/browser/</t>
  </si>
  <si>
    <t>Source: U.S. Energy Information Administration</t>
  </si>
  <si>
    <t>Electricity production (historic) from EIA</t>
  </si>
  <si>
    <t>kMWh</t>
  </si>
  <si>
    <t>thousand megawatthours</t>
  </si>
  <si>
    <t>gas</t>
  </si>
  <si>
    <t>nuke</t>
  </si>
  <si>
    <t>hydro</t>
  </si>
  <si>
    <t>oil</t>
  </si>
  <si>
    <t>Electric Power : United States</t>
  </si>
  <si>
    <t>Electric Power : New England</t>
  </si>
  <si>
    <t>Electric Power : Middle Atlantic</t>
  </si>
  <si>
    <t>Electric Power : East North Central</t>
  </si>
  <si>
    <t>Electric Power : West North Central</t>
  </si>
  <si>
    <t>Electric Power : South Atlantic</t>
  </si>
  <si>
    <t>Electric Power : East South Central</t>
  </si>
  <si>
    <t>Electric Power : West South Central</t>
  </si>
  <si>
    <t>Electric Power : Mountain</t>
  </si>
  <si>
    <t>Electric Power : Pacific Contiguous</t>
  </si>
  <si>
    <t>Electric Power : Pacific Noncontiguous</t>
  </si>
  <si>
    <t>Geothermal</t>
  </si>
  <si>
    <t>Biomass</t>
  </si>
  <si>
    <t>--</t>
  </si>
  <si>
    <t>Net generation for electric power</t>
  </si>
  <si>
    <t>https://www.eia.gov/electricity/data/browser/#/topic/0?agg=2,0,1&amp;fuel=vvt9u&amp;geo=vvg&amp;sec=008&amp;freq=A&amp;start=2001&amp;end=2019&amp;ctype=linechart&amp;ltype=pin&amp;rtype=s&amp;pin=&amp;rse=0&amp;maptype=0</t>
  </si>
  <si>
    <t>Fri Jun 26 2020 08:42:54 GMT-0400 (Eastern Daylight Time)</t>
  </si>
  <si>
    <t>description</t>
  </si>
  <si>
    <t>units</t>
  </si>
  <si>
    <t>source key</t>
  </si>
  <si>
    <t>United States</t>
  </si>
  <si>
    <t>ELEC.GEN..A</t>
  </si>
  <si>
    <t>United States : all fuels (utility-scale)</t>
  </si>
  <si>
    <t>ELEC.GEN.ALL-US-98.A</t>
  </si>
  <si>
    <t>New England : all fuels (utility-scale)</t>
  </si>
  <si>
    <t>ELEC.GEN.ALL-NEW-98.A</t>
  </si>
  <si>
    <t>Middle Atlantic : all fuels (utility-scale)</t>
  </si>
  <si>
    <t>ELEC.GEN.ALL-MAT-98.A</t>
  </si>
  <si>
    <t>East North Central : all fuels (utility-scale)</t>
  </si>
  <si>
    <t>ELEC.GEN.ALL-ENC-98.A</t>
  </si>
  <si>
    <t>West North Central : all fuels (utility-scale)</t>
  </si>
  <si>
    <t>ELEC.GEN.ALL-WNC-98.A</t>
  </si>
  <si>
    <t>South Atlantic : all fuels (utility-scale)</t>
  </si>
  <si>
    <t>ELEC.GEN.ALL-SAT-98.A</t>
  </si>
  <si>
    <t>East South Central : all fuels (utility-scale)</t>
  </si>
  <si>
    <t>ELEC.GEN.ALL-ESC-98.A</t>
  </si>
  <si>
    <t>West South Central : all fuels (utility-scale)</t>
  </si>
  <si>
    <t>ELEC.GEN.ALL-WSC-98.A</t>
  </si>
  <si>
    <t>Mountain : all fuels (utility-scale)</t>
  </si>
  <si>
    <t>ELEC.GEN.ALL-MTN-98.A</t>
  </si>
  <si>
    <t>Pacific Contiguous : all fuels (utility-scale)</t>
  </si>
  <si>
    <t>ELEC.GEN.ALL-PCC-98.A</t>
  </si>
  <si>
    <t>Pacific Noncontiguous : all fuels (utility-scale)</t>
  </si>
  <si>
    <t>ELEC.GEN.ALL-PCN-98.A</t>
  </si>
  <si>
    <t>United States : coal</t>
  </si>
  <si>
    <t>ELEC.GEN.COW-US-98.A</t>
  </si>
  <si>
    <t>New England : coal</t>
  </si>
  <si>
    <t>ELEC.GEN.COW-NEW-98.A</t>
  </si>
  <si>
    <t>Middle Atlantic : coal</t>
  </si>
  <si>
    <t>ELEC.GEN.COW-MAT-98.A</t>
  </si>
  <si>
    <t>East North Central : coal</t>
  </si>
  <si>
    <t>ELEC.GEN.COW-ENC-98.A</t>
  </si>
  <si>
    <t>West North Central : coal</t>
  </si>
  <si>
    <t>ELEC.GEN.COW-WNC-98.A</t>
  </si>
  <si>
    <t>South Atlantic : coal</t>
  </si>
  <si>
    <t>ELEC.GEN.COW-SAT-98.A</t>
  </si>
  <si>
    <t>East South Central : coal</t>
  </si>
  <si>
    <t>ELEC.GEN.COW-ESC-98.A</t>
  </si>
  <si>
    <t>West South Central : coal</t>
  </si>
  <si>
    <t>ELEC.GEN.COW-WSC-98.A</t>
  </si>
  <si>
    <t>Mountain : coal</t>
  </si>
  <si>
    <t>ELEC.GEN.COW-MTN-98.A</t>
  </si>
  <si>
    <t>Pacific Contiguous : coal</t>
  </si>
  <si>
    <t>ELEC.GEN.COW-PCC-98.A</t>
  </si>
  <si>
    <t>Pacific Noncontiguous : coal</t>
  </si>
  <si>
    <t>ELEC.GEN.COW-PCN-98.A</t>
  </si>
  <si>
    <t>United States : natural gas</t>
  </si>
  <si>
    <t>ELEC.GEN.NG-US-98.A</t>
  </si>
  <si>
    <t>New England : natural gas</t>
  </si>
  <si>
    <t>ELEC.GEN.NG-NEW-98.A</t>
  </si>
  <si>
    <t>Middle Atlantic : natural gas</t>
  </si>
  <si>
    <t>ELEC.GEN.NG-MAT-98.A</t>
  </si>
  <si>
    <t>East North Central : natural gas</t>
  </si>
  <si>
    <t>ELEC.GEN.NG-ENC-98.A</t>
  </si>
  <si>
    <t>West North Central : natural gas</t>
  </si>
  <si>
    <t>ELEC.GEN.NG-WNC-98.A</t>
  </si>
  <si>
    <t>South Atlantic : natural gas</t>
  </si>
  <si>
    <t>ELEC.GEN.NG-SAT-98.A</t>
  </si>
  <si>
    <t>East South Central : natural gas</t>
  </si>
  <si>
    <t>ELEC.GEN.NG-ESC-98.A</t>
  </si>
  <si>
    <t>West South Central : natural gas</t>
  </si>
  <si>
    <t>ELEC.GEN.NG-WSC-98.A</t>
  </si>
  <si>
    <t>Mountain : natural gas</t>
  </si>
  <si>
    <t>ELEC.GEN.NG-MTN-98.A</t>
  </si>
  <si>
    <t>Pacific Contiguous : natural gas</t>
  </si>
  <si>
    <t>ELEC.GEN.NG-PCC-98.A</t>
  </si>
  <si>
    <t>Pacific Noncontiguous : natural gas</t>
  </si>
  <si>
    <t>ELEC.GEN.NG-PCN-98.A</t>
  </si>
  <si>
    <t>United States : other gases</t>
  </si>
  <si>
    <t>ELEC.GEN.OOG-US-98.A</t>
  </si>
  <si>
    <t>New England : other gases</t>
  </si>
  <si>
    <t>ELEC.GEN.OOG-NEW-98.A</t>
  </si>
  <si>
    <t>Middle Atlantic : other gases</t>
  </si>
  <si>
    <t>ELEC.GEN.OOG-MAT-98.A</t>
  </si>
  <si>
    <t>East North Central : other gases</t>
  </si>
  <si>
    <t>ELEC.GEN.OOG-ENC-98.A</t>
  </si>
  <si>
    <t>West North Central : other gases</t>
  </si>
  <si>
    <t>ELEC.GEN.OOG-WNC-98.A</t>
  </si>
  <si>
    <t>South Atlantic : other gases</t>
  </si>
  <si>
    <t>ELEC.GEN.OOG-SAT-98.A</t>
  </si>
  <si>
    <t>East South Central : other gases</t>
  </si>
  <si>
    <t>ELEC.GEN.OOG-ESC-98.A</t>
  </si>
  <si>
    <t>West South Central : other gases</t>
  </si>
  <si>
    <t>ELEC.GEN.OOG-WSC-98.A</t>
  </si>
  <si>
    <t>Mountain : other gases</t>
  </si>
  <si>
    <t>ELEC.GEN.OOG-MTN-98.A</t>
  </si>
  <si>
    <t>Pacific Contiguous : other gases</t>
  </si>
  <si>
    <t>ELEC.GEN.OOG-PCC-98.A</t>
  </si>
  <si>
    <t>Pacific Noncontiguous : other gases</t>
  </si>
  <si>
    <t>ELEC.GEN.OOG-PCN-98.A</t>
  </si>
  <si>
    <t>United States : petroleum coke</t>
  </si>
  <si>
    <t>ELEC.GEN.PC-US-98.A</t>
  </si>
  <si>
    <t>New England : petroleum coke</t>
  </si>
  <si>
    <t>ELEC.GEN.PC-NEW-98.A</t>
  </si>
  <si>
    <t>Middle Atlantic : petroleum coke</t>
  </si>
  <si>
    <t>ELEC.GEN.PC-MAT-98.A</t>
  </si>
  <si>
    <t>East North Central : petroleum coke</t>
  </si>
  <si>
    <t>ELEC.GEN.PC-ENC-98.A</t>
  </si>
  <si>
    <t>West North Central : petroleum coke</t>
  </si>
  <si>
    <t>ELEC.GEN.PC-WNC-98.A</t>
  </si>
  <si>
    <t>South Atlantic : petroleum coke</t>
  </si>
  <si>
    <t>ELEC.GEN.PC-SAT-98.A</t>
  </si>
  <si>
    <t>East South Central : petroleum coke</t>
  </si>
  <si>
    <t>ELEC.GEN.PC-ESC-98.A</t>
  </si>
  <si>
    <t>West South Central : petroleum coke</t>
  </si>
  <si>
    <t>ELEC.GEN.PC-WSC-98.A</t>
  </si>
  <si>
    <t>Mountain : petroleum coke</t>
  </si>
  <si>
    <t>ELEC.GEN.PC-MTN-98.A</t>
  </si>
  <si>
    <t>Pacific Contiguous : petroleum coke</t>
  </si>
  <si>
    <t>ELEC.GEN.PC-PCC-98.A</t>
  </si>
  <si>
    <t>Pacific Noncontiguous : petroleum coke</t>
  </si>
  <si>
    <t>ELEC.GEN.PC-PCN-98.A</t>
  </si>
  <si>
    <t>United States : petroleum liquids</t>
  </si>
  <si>
    <t>ELEC.GEN.PEL-US-98.A</t>
  </si>
  <si>
    <t>New England : petroleum liquids</t>
  </si>
  <si>
    <t>ELEC.GEN.PEL-NEW-98.A</t>
  </si>
  <si>
    <t>Middle Atlantic : petroleum liquids</t>
  </si>
  <si>
    <t>ELEC.GEN.PEL-MAT-98.A</t>
  </si>
  <si>
    <t>East North Central : petroleum liquids</t>
  </si>
  <si>
    <t>ELEC.GEN.PEL-ENC-98.A</t>
  </si>
  <si>
    <t>West North Central : petroleum liquids</t>
  </si>
  <si>
    <t>ELEC.GEN.PEL-WNC-98.A</t>
  </si>
  <si>
    <t>South Atlantic : petroleum liquids</t>
  </si>
  <si>
    <t>ELEC.GEN.PEL-SAT-98.A</t>
  </si>
  <si>
    <t>East South Central : petroleum liquids</t>
  </si>
  <si>
    <t>ELEC.GEN.PEL-ESC-98.A</t>
  </si>
  <si>
    <t>West South Central : petroleum liquids</t>
  </si>
  <si>
    <t>ELEC.GEN.PEL-WSC-98.A</t>
  </si>
  <si>
    <t>Mountain : petroleum liquids</t>
  </si>
  <si>
    <t>ELEC.GEN.PEL-MTN-98.A</t>
  </si>
  <si>
    <t>Pacific Contiguous : petroleum liquids</t>
  </si>
  <si>
    <t>ELEC.GEN.PEL-PCC-98.A</t>
  </si>
  <si>
    <t>Pacific Noncontiguous : petroleum liquids</t>
  </si>
  <si>
    <t>ELEC.GEN.PEL-PCN-98.A</t>
  </si>
  <si>
    <t>United States : nuclear</t>
  </si>
  <si>
    <t>ELEC.GEN.NUC-US-98.A</t>
  </si>
  <si>
    <t>New England : nuclear</t>
  </si>
  <si>
    <t>ELEC.GEN.NUC-NEW-98.A</t>
  </si>
  <si>
    <t>Middle Atlantic : nuclear</t>
  </si>
  <si>
    <t>ELEC.GEN.NUC-MAT-98.A</t>
  </si>
  <si>
    <t>East North Central : nuclear</t>
  </si>
  <si>
    <t>ELEC.GEN.NUC-ENC-98.A</t>
  </si>
  <si>
    <t>West North Central : nuclear</t>
  </si>
  <si>
    <t>ELEC.GEN.NUC-WNC-98.A</t>
  </si>
  <si>
    <t>South Atlantic : nuclear</t>
  </si>
  <si>
    <t>ELEC.GEN.NUC-SAT-98.A</t>
  </si>
  <si>
    <t>East South Central : nuclear</t>
  </si>
  <si>
    <t>ELEC.GEN.NUC-ESC-98.A</t>
  </si>
  <si>
    <t>West South Central : nuclear</t>
  </si>
  <si>
    <t>ELEC.GEN.NUC-WSC-98.A</t>
  </si>
  <si>
    <t>Mountain : nuclear</t>
  </si>
  <si>
    <t>ELEC.GEN.NUC-MTN-98.A</t>
  </si>
  <si>
    <t>Pacific Contiguous : nuclear</t>
  </si>
  <si>
    <t>ELEC.GEN.NUC-PCC-98.A</t>
  </si>
  <si>
    <t>Pacific Noncontiguous : nuclear</t>
  </si>
  <si>
    <t>ELEC.GEN.NUC-PCN-98.A</t>
  </si>
  <si>
    <t>United States : conventional hydroelectric</t>
  </si>
  <si>
    <t>ELEC.GEN.HYC-US-98.A</t>
  </si>
  <si>
    <t>New England : conventional hydroelectric</t>
  </si>
  <si>
    <t>ELEC.GEN.HYC-NEW-98.A</t>
  </si>
  <si>
    <t>Middle Atlantic : conventional hydroelectric</t>
  </si>
  <si>
    <t>ELEC.GEN.HYC-MAT-98.A</t>
  </si>
  <si>
    <t>East North Central : conventional hydroelectric</t>
  </si>
  <si>
    <t>ELEC.GEN.HYC-ENC-98.A</t>
  </si>
  <si>
    <t>West North Central : conventional hydroelectric</t>
  </si>
  <si>
    <t>ELEC.GEN.HYC-WNC-98.A</t>
  </si>
  <si>
    <t>South Atlantic : conventional hydroelectric</t>
  </si>
  <si>
    <t>ELEC.GEN.HYC-SAT-98.A</t>
  </si>
  <si>
    <t>East South Central : conventional hydroelectric</t>
  </si>
  <si>
    <t>ELEC.GEN.HYC-ESC-98.A</t>
  </si>
  <si>
    <t>West South Central : conventional hydroelectric</t>
  </si>
  <si>
    <t>ELEC.GEN.HYC-WSC-98.A</t>
  </si>
  <si>
    <t>Mountain : conventional hydroelectric</t>
  </si>
  <si>
    <t>ELEC.GEN.HYC-MTN-98.A</t>
  </si>
  <si>
    <t>Pacific Contiguous : conventional hydroelectric</t>
  </si>
  <si>
    <t>ELEC.GEN.HYC-PCC-98.A</t>
  </si>
  <si>
    <t>Pacific Noncontiguous : conventional hydroelectric</t>
  </si>
  <si>
    <t>ELEC.GEN.HYC-PCN-98.A</t>
  </si>
  <si>
    <t>United States : hydro-electric pumped storage</t>
  </si>
  <si>
    <t>ELEC.GEN.HPS-US-98.A</t>
  </si>
  <si>
    <t>New England : hydro-electric pumped storage</t>
  </si>
  <si>
    <t>ELEC.GEN.HPS-NEW-98.A</t>
  </si>
  <si>
    <t>Middle Atlantic : hydro-electric pumped storage</t>
  </si>
  <si>
    <t>ELEC.GEN.HPS-MAT-98.A</t>
  </si>
  <si>
    <t>East North Central : hydro-electric pumped storage</t>
  </si>
  <si>
    <t>ELEC.GEN.HPS-ENC-98.A</t>
  </si>
  <si>
    <t>West North Central : hydro-electric pumped storage</t>
  </si>
  <si>
    <t>ELEC.GEN.HPS-WNC-98.A</t>
  </si>
  <si>
    <t>South Atlantic : hydro-electric pumped storage</t>
  </si>
  <si>
    <t>ELEC.GEN.HPS-SAT-98.A</t>
  </si>
  <si>
    <t>East South Central : hydro-electric pumped storage</t>
  </si>
  <si>
    <t>ELEC.GEN.HPS-ESC-98.A</t>
  </si>
  <si>
    <t>West South Central : hydro-electric pumped storage</t>
  </si>
  <si>
    <t>ELEC.GEN.HPS-WSC-98.A</t>
  </si>
  <si>
    <t>Mountain : hydro-electric pumped storage</t>
  </si>
  <si>
    <t>ELEC.GEN.HPS-MTN-98.A</t>
  </si>
  <si>
    <t>Pacific Contiguous : hydro-electric pumped storage</t>
  </si>
  <si>
    <t>ELEC.GEN.HPS-PCC-98.A</t>
  </si>
  <si>
    <t>Pacific Noncontiguous : hydro-electric pumped storage</t>
  </si>
  <si>
    <t>ELEC.GEN.HPS-PCN-98.A</t>
  </si>
  <si>
    <t>United States : all utility-scale solar</t>
  </si>
  <si>
    <t>ELEC.GEN.SUN-US-98.A</t>
  </si>
  <si>
    <t>New England : all utility-scale solar</t>
  </si>
  <si>
    <t>ELEC.GEN.SUN-NEW-98.A</t>
  </si>
  <si>
    <t>Middle Atlantic : all utility-scale solar</t>
  </si>
  <si>
    <t>ELEC.GEN.SUN-MAT-98.A</t>
  </si>
  <si>
    <t>East North Central : all utility-scale solar</t>
  </si>
  <si>
    <t>ELEC.GEN.SUN-ENC-98.A</t>
  </si>
  <si>
    <t>West North Central : all utility-scale solar</t>
  </si>
  <si>
    <t>ELEC.GEN.SUN-WNC-98.A</t>
  </si>
  <si>
    <t>South Atlantic : all utility-scale solar</t>
  </si>
  <si>
    <t>ELEC.GEN.SUN-SAT-98.A</t>
  </si>
  <si>
    <t>East South Central : all utility-scale solar</t>
  </si>
  <si>
    <t>ELEC.GEN.SUN-ESC-98.A</t>
  </si>
  <si>
    <t>West South Central : all utility-scale solar</t>
  </si>
  <si>
    <t>ELEC.GEN.SUN-WSC-98.A</t>
  </si>
  <si>
    <t>Mountain : all utility-scale solar</t>
  </si>
  <si>
    <t>ELEC.GEN.SUN-MTN-98.A</t>
  </si>
  <si>
    <t>Pacific Contiguous : all utility-scale solar</t>
  </si>
  <si>
    <t>ELEC.GEN.SUN-PCC-98.A</t>
  </si>
  <si>
    <t>Pacific Noncontiguous : all utility-scale solar</t>
  </si>
  <si>
    <t>ELEC.GEN.SUN-PCN-98.A</t>
  </si>
  <si>
    <t>United States : utility-scale photovoltaic</t>
  </si>
  <si>
    <t>ELEC.GEN.SPV-US-98.A</t>
  </si>
  <si>
    <t>New England : utility-scale photovoltaic</t>
  </si>
  <si>
    <t>ELEC.GEN.SPV-NEW-98.A</t>
  </si>
  <si>
    <t>Middle Atlantic : utility-scale photovoltaic</t>
  </si>
  <si>
    <t>ELEC.GEN.SPV-MAT-98.A</t>
  </si>
  <si>
    <t>East North Central : utility-scale photovoltaic</t>
  </si>
  <si>
    <t>ELEC.GEN.SPV-ENC-98.A</t>
  </si>
  <si>
    <t>West North Central : utility-scale photovoltaic</t>
  </si>
  <si>
    <t>ELEC.GEN.SPV-WNC-98.A</t>
  </si>
  <si>
    <t>South Atlantic : utility-scale photovoltaic</t>
  </si>
  <si>
    <t>ELEC.GEN.SPV-SAT-98.A</t>
  </si>
  <si>
    <t>East South Central : utility-scale photovoltaic</t>
  </si>
  <si>
    <t>ELEC.GEN.SPV-ESC-98.A</t>
  </si>
  <si>
    <t>West South Central : utility-scale photovoltaic</t>
  </si>
  <si>
    <t>ELEC.GEN.SPV-WSC-98.A</t>
  </si>
  <si>
    <t>Mountain : utility-scale photovoltaic</t>
  </si>
  <si>
    <t>ELEC.GEN.SPV-MTN-98.A</t>
  </si>
  <si>
    <t>Pacific Contiguous : utility-scale photovoltaic</t>
  </si>
  <si>
    <t>ELEC.GEN.SPV-PCC-98.A</t>
  </si>
  <si>
    <t>Pacific Noncontiguous : utility-scale photovoltaic</t>
  </si>
  <si>
    <t>ELEC.GEN.SPV-PCN-98.A</t>
  </si>
  <si>
    <t>United States : utility-scale thermal</t>
  </si>
  <si>
    <t>ELEC.GEN.STH-US-98.A</t>
  </si>
  <si>
    <t>New England : utility-scale thermal</t>
  </si>
  <si>
    <t>ELEC.GEN.STH-NEW-98.A</t>
  </si>
  <si>
    <t>Middle Atlantic : utility-scale thermal</t>
  </si>
  <si>
    <t>ELEC.GEN.STH-MAT-98.A</t>
  </si>
  <si>
    <t>East North Central : utility-scale thermal</t>
  </si>
  <si>
    <t>ELEC.GEN.STH-ENC-98.A</t>
  </si>
  <si>
    <t>West North Central : utility-scale thermal</t>
  </si>
  <si>
    <t>ELEC.GEN.STH-WNC-98.A</t>
  </si>
  <si>
    <t>South Atlantic : utility-scale thermal</t>
  </si>
  <si>
    <t>ELEC.GEN.STH-SAT-98.A</t>
  </si>
  <si>
    <t>East South Central : utility-scale thermal</t>
  </si>
  <si>
    <t>ELEC.GEN.STH-ESC-98.A</t>
  </si>
  <si>
    <t>West South Central : utility-scale thermal</t>
  </si>
  <si>
    <t>ELEC.GEN.STH-WSC-98.A</t>
  </si>
  <si>
    <t>Mountain : utility-scale thermal</t>
  </si>
  <si>
    <t>ELEC.GEN.STH-MTN-98.A</t>
  </si>
  <si>
    <t>Pacific Contiguous : utility-scale thermal</t>
  </si>
  <si>
    <t>ELEC.GEN.STH-PCC-98.A</t>
  </si>
  <si>
    <t>Pacific Noncontiguous : utility-scale thermal</t>
  </si>
  <si>
    <t>ELEC.GEN.STH-PCN-98.A</t>
  </si>
  <si>
    <t>United States : wind</t>
  </si>
  <si>
    <t>ELEC.GEN.WND-US-98.A</t>
  </si>
  <si>
    <t>New England : wind</t>
  </si>
  <si>
    <t>ELEC.GEN.WND-NEW-98.A</t>
  </si>
  <si>
    <t>Middle Atlantic : wind</t>
  </si>
  <si>
    <t>ELEC.GEN.WND-MAT-98.A</t>
  </si>
  <si>
    <t>East North Central : wind</t>
  </si>
  <si>
    <t>ELEC.GEN.WND-ENC-98.A</t>
  </si>
  <si>
    <t>West North Central : wind</t>
  </si>
  <si>
    <t>ELEC.GEN.WND-WNC-98.A</t>
  </si>
  <si>
    <t>South Atlantic : wind</t>
  </si>
  <si>
    <t>ELEC.GEN.WND-SAT-98.A</t>
  </si>
  <si>
    <t>East South Central : wind</t>
  </si>
  <si>
    <t>ELEC.GEN.WND-ESC-98.A</t>
  </si>
  <si>
    <t>West South Central : wind</t>
  </si>
  <si>
    <t>ELEC.GEN.WND-WSC-98.A</t>
  </si>
  <si>
    <t>Mountain : wind</t>
  </si>
  <si>
    <t>ELEC.GEN.WND-MTN-98.A</t>
  </si>
  <si>
    <t>Pacific Contiguous : wind</t>
  </si>
  <si>
    <t>ELEC.GEN.WND-PCC-98.A</t>
  </si>
  <si>
    <t>Pacific Noncontiguous : wind</t>
  </si>
  <si>
    <t>ELEC.GEN.WND-PCN-98.A</t>
  </si>
  <si>
    <t>United States : biomass</t>
  </si>
  <si>
    <t>ELEC.GEN.BIO-US-98.A</t>
  </si>
  <si>
    <t>New England : biomass</t>
  </si>
  <si>
    <t>ELEC.GEN.BIO-NEW-98.A</t>
  </si>
  <si>
    <t>Middle Atlantic : biomass</t>
  </si>
  <si>
    <t>ELEC.GEN.BIO-MAT-98.A</t>
  </si>
  <si>
    <t>East North Central : biomass</t>
  </si>
  <si>
    <t>ELEC.GEN.BIO-ENC-98.A</t>
  </si>
  <si>
    <t>West North Central : biomass</t>
  </si>
  <si>
    <t>ELEC.GEN.BIO-WNC-98.A</t>
  </si>
  <si>
    <t>South Atlantic : biomass</t>
  </si>
  <si>
    <t>ELEC.GEN.BIO-SAT-98.A</t>
  </si>
  <si>
    <t>East South Central : biomass</t>
  </si>
  <si>
    <t>ELEC.GEN.BIO-ESC-98.A</t>
  </si>
  <si>
    <t>West South Central : biomass</t>
  </si>
  <si>
    <t>ELEC.GEN.BIO-WSC-98.A</t>
  </si>
  <si>
    <t>Mountain : biomass</t>
  </si>
  <si>
    <t>ELEC.GEN.BIO-MTN-98.A</t>
  </si>
  <si>
    <t>Pacific Contiguous : biomass</t>
  </si>
  <si>
    <t>ELEC.GEN.BIO-PCC-98.A</t>
  </si>
  <si>
    <t>Pacific Noncontiguous : biomass</t>
  </si>
  <si>
    <t>ELEC.GEN.BIO-PCN-98.A</t>
  </si>
  <si>
    <t>United States : geothermal</t>
  </si>
  <si>
    <t>ELEC.GEN.GEO-US-98.A</t>
  </si>
  <si>
    <t>New England : geothermal</t>
  </si>
  <si>
    <t>ELEC.GEN.GEO-NEW-98.A</t>
  </si>
  <si>
    <t>Middle Atlantic : geothermal</t>
  </si>
  <si>
    <t>ELEC.GEN.GEO-MAT-98.A</t>
  </si>
  <si>
    <t>East North Central : geothermal</t>
  </si>
  <si>
    <t>ELEC.GEN.GEO-ENC-98.A</t>
  </si>
  <si>
    <t>West North Central : geothermal</t>
  </si>
  <si>
    <t>ELEC.GEN.GEO-WNC-98.A</t>
  </si>
  <si>
    <t>South Atlantic : geothermal</t>
  </si>
  <si>
    <t>ELEC.GEN.GEO-SAT-98.A</t>
  </si>
  <si>
    <t>East South Central : geothermal</t>
  </si>
  <si>
    <t>ELEC.GEN.GEO-ESC-98.A</t>
  </si>
  <si>
    <t>West South Central : geothermal</t>
  </si>
  <si>
    <t>ELEC.GEN.GEO-WSC-98.A</t>
  </si>
  <si>
    <t>Mountain : geothermal</t>
  </si>
  <si>
    <t>ELEC.GEN.GEO-MTN-98.A</t>
  </si>
  <si>
    <t>Pacific Contiguous : geothermal</t>
  </si>
  <si>
    <t>ELEC.GEN.GEO-PCC-98.A</t>
  </si>
  <si>
    <t>Pacific Noncontiguous : geothermal</t>
  </si>
  <si>
    <t>ELEC.GEN.GEO-PCN-98.A</t>
  </si>
  <si>
    <t>United States : other</t>
  </si>
  <si>
    <t>ELEC.GEN.OTH-US-98.A</t>
  </si>
  <si>
    <t>New England : other</t>
  </si>
  <si>
    <t>ELEC.GEN.OTH-NEW-98.A</t>
  </si>
  <si>
    <t>Middle Atlantic : other</t>
  </si>
  <si>
    <t>ELEC.GEN.OTH-MAT-98.A</t>
  </si>
  <si>
    <t>East North Central : other</t>
  </si>
  <si>
    <t>ELEC.GEN.OTH-ENC-98.A</t>
  </si>
  <si>
    <t>West North Central : other</t>
  </si>
  <si>
    <t>ELEC.GEN.OTH-WNC-98.A</t>
  </si>
  <si>
    <t>South Atlantic : other</t>
  </si>
  <si>
    <t>ELEC.GEN.OTH-SAT-98.A</t>
  </si>
  <si>
    <t>East South Central : other</t>
  </si>
  <si>
    <t>ELEC.GEN.OTH-ESC-98.A</t>
  </si>
  <si>
    <t>West South Central : other</t>
  </si>
  <si>
    <t>ELEC.GEN.OTH-WSC-98.A</t>
  </si>
  <si>
    <t>Mountain : other</t>
  </si>
  <si>
    <t>ELEC.GEN.OTH-MTN-98.A</t>
  </si>
  <si>
    <t>Pacific Contiguous : other</t>
  </si>
  <si>
    <t>ELEC.GEN.OTH-PCC-98.A</t>
  </si>
  <si>
    <t>Pacific Noncontiguous : other</t>
  </si>
  <si>
    <t>ELEC.GEN.OTH-PCN-98.A</t>
  </si>
  <si>
    <t>United States : other renewables</t>
  </si>
  <si>
    <t>ELEC.GEN.AOR-US-98.A</t>
  </si>
  <si>
    <t>New England : other renewables</t>
  </si>
  <si>
    <t>ELEC.GEN.AOR-NEW-98.A</t>
  </si>
  <si>
    <t>Middle Atlantic : other renewables</t>
  </si>
  <si>
    <t>ELEC.GEN.AOR-MAT-98.A</t>
  </si>
  <si>
    <t>East North Central : other renewables</t>
  </si>
  <si>
    <t>ELEC.GEN.AOR-ENC-98.A</t>
  </si>
  <si>
    <t>West North Central : other renewables</t>
  </si>
  <si>
    <t>ELEC.GEN.AOR-WNC-98.A</t>
  </si>
  <si>
    <t>South Atlantic : other renewables</t>
  </si>
  <si>
    <t>ELEC.GEN.AOR-SAT-98.A</t>
  </si>
  <si>
    <t>East South Central : other renewables</t>
  </si>
  <si>
    <t>ELEC.GEN.AOR-ESC-98.A</t>
  </si>
  <si>
    <t>West South Central : other renewables</t>
  </si>
  <si>
    <t>ELEC.GEN.AOR-WSC-98.A</t>
  </si>
  <si>
    <t>Mountain : other renewables</t>
  </si>
  <si>
    <t>ELEC.GEN.AOR-MTN-98.A</t>
  </si>
  <si>
    <t>Pacific Contiguous : other renewables</t>
  </si>
  <si>
    <t>ELEC.GEN.AOR-PCC-98.A</t>
  </si>
  <si>
    <t>Pacific Noncontiguous : other renewables</t>
  </si>
  <si>
    <t>ELEC.GEN.AOR-PCN-98.A</t>
  </si>
  <si>
    <t>ELC_GEO</t>
  </si>
  <si>
    <t>ELC_BIO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</si>
</sst>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#.00"/>
    <numFmt numFmtId="168" formatCode="#."/>
    <numFmt numFmtId="169" formatCode="m\o\n\th\ d\,\ yyyy"/>
    <numFmt numFmtId="170" formatCode="_-* #,##0.00_-;\-* #,##0.00_-;_-* &quot;-&quot;??_-;_-@_-"/>
    <numFmt numFmtId="171" formatCode="_-&quot;$&quot;* #,##0.00_-;\-&quot;$&quot;* #,##0.00_-;_-&quot;$&quot;* &quot;-&quot;??_-;_-@_-"/>
    <numFmt numFmtId="172" formatCode="yyyy"/>
    <numFmt numFmtId="173" formatCode="_([$€-2]* #,##0.00_);_([$€-2]* \(#,##0.00\);_([$€-2]* &quot;-&quot;??_)"/>
    <numFmt numFmtId="174" formatCode="0.000"/>
  </numFmts>
  <fonts count="6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Helv"/>
    </font>
    <font>
      <sz val="10"/>
      <name val="MS Sans Serif"/>
      <family val="2"/>
    </font>
    <font>
      <sz val="10"/>
      <name val="Verdana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9"/>
      <name val="Helv"/>
    </font>
    <font>
      <sz val="8"/>
      <name val="Helv"/>
    </font>
    <font>
      <vertAlign val="superscript"/>
      <sz val="12"/>
      <name val="Helv"/>
    </font>
    <font>
      <b/>
      <sz val="12"/>
      <name val="Helv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8000000000000007"/>
      <color theme="10"/>
      <name val="Calibri"/>
      <family val="2"/>
    </font>
    <font>
      <u/>
      <sz val="10"/>
      <color theme="10"/>
      <name val="Arial"/>
      <family val="2"/>
    </font>
    <font>
      <u/>
      <sz val="8.25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7030A0"/>
      <name val="Arial"/>
      <family val="2"/>
    </font>
    <font>
      <sz val="10"/>
      <color rgb="FF0000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94">
    <xf numFmtId="0" fontId="0" fillId="0" borderId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" fillId="2" borderId="0" applyNumberFormat="0" applyBorder="0" applyAlignment="0" applyProtection="0"/>
    <xf numFmtId="0" fontId="34" fillId="25" borderId="0" applyNumberFormat="0" applyBorder="0" applyAlignment="0" applyProtection="0"/>
    <xf numFmtId="0" fontId="1" fillId="2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1" fillId="3" borderId="0" applyNumberFormat="0" applyBorder="0" applyAlignment="0" applyProtection="0"/>
    <xf numFmtId="0" fontId="34" fillId="26" borderId="0" applyNumberFormat="0" applyBorder="0" applyAlignment="0" applyProtection="0"/>
    <xf numFmtId="0" fontId="1" fillId="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1" fillId="4" borderId="0" applyNumberFormat="0" applyBorder="0" applyAlignment="0" applyProtection="0"/>
    <xf numFmtId="0" fontId="34" fillId="27" borderId="0" applyNumberFormat="0" applyBorder="0" applyAlignment="0" applyProtection="0"/>
    <xf numFmtId="0" fontId="1" fillId="4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1" fillId="5" borderId="0" applyNumberFormat="0" applyBorder="0" applyAlignment="0" applyProtection="0"/>
    <xf numFmtId="0" fontId="34" fillId="28" borderId="0" applyNumberFormat="0" applyBorder="0" applyAlignment="0" applyProtection="0"/>
    <xf numFmtId="0" fontId="1" fillId="5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" fillId="6" borderId="0" applyNumberFormat="0" applyBorder="0" applyAlignment="0" applyProtection="0"/>
    <xf numFmtId="0" fontId="34" fillId="29" borderId="0" applyNumberFormat="0" applyBorder="0" applyAlignment="0" applyProtection="0"/>
    <xf numFmtId="0" fontId="1" fillId="6" borderId="0" applyNumberFormat="0" applyBorder="0" applyAlignment="0" applyProtection="0"/>
    <xf numFmtId="0" fontId="34" fillId="30" borderId="0" applyNumberFormat="0" applyBorder="0" applyAlignment="0" applyProtection="0"/>
    <xf numFmtId="0" fontId="34" fillId="30" borderId="0" applyNumberFormat="0" applyBorder="0" applyAlignment="0" applyProtection="0"/>
    <xf numFmtId="0" fontId="1" fillId="7" borderId="0" applyNumberFormat="0" applyBorder="0" applyAlignment="0" applyProtection="0"/>
    <xf numFmtId="0" fontId="34" fillId="30" borderId="0" applyNumberFormat="0" applyBorder="0" applyAlignment="0" applyProtection="0"/>
    <xf numFmtId="0" fontId="1" fillId="7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1" fillId="8" borderId="0" applyNumberFormat="0" applyBorder="0" applyAlignment="0" applyProtection="0"/>
    <xf numFmtId="0" fontId="34" fillId="31" borderId="0" applyNumberFormat="0" applyBorder="0" applyAlignment="0" applyProtection="0"/>
    <xf numFmtId="0" fontId="1" fillId="8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" fillId="9" borderId="0" applyNumberFormat="0" applyBorder="0" applyAlignment="0" applyProtection="0"/>
    <xf numFmtId="0" fontId="34" fillId="32" borderId="0" applyNumberFormat="0" applyBorder="0" applyAlignment="0" applyProtection="0"/>
    <xf numFmtId="0" fontId="1" fillId="9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1" fillId="10" borderId="0" applyNumberFormat="0" applyBorder="0" applyAlignment="0" applyProtection="0"/>
    <xf numFmtId="0" fontId="34" fillId="33" borderId="0" applyNumberFormat="0" applyBorder="0" applyAlignment="0" applyProtection="0"/>
    <xf numFmtId="0" fontId="1" fillId="10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1" fillId="5" borderId="0" applyNumberFormat="0" applyBorder="0" applyAlignment="0" applyProtection="0"/>
    <xf numFmtId="0" fontId="34" fillId="34" borderId="0" applyNumberFormat="0" applyBorder="0" applyAlignment="0" applyProtection="0"/>
    <xf numFmtId="0" fontId="1" fillId="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1" fillId="8" borderId="0" applyNumberFormat="0" applyBorder="0" applyAlignment="0" applyProtection="0"/>
    <xf numFmtId="0" fontId="34" fillId="35" borderId="0" applyNumberFormat="0" applyBorder="0" applyAlignment="0" applyProtection="0"/>
    <xf numFmtId="0" fontId="1" fillId="8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11" borderId="0" applyNumberFormat="0" applyBorder="0" applyAlignment="0" applyProtection="0"/>
    <xf numFmtId="0" fontId="34" fillId="36" borderId="0" applyNumberFormat="0" applyBorder="0" applyAlignment="0" applyProtection="0"/>
    <xf numFmtId="0" fontId="1" fillId="11" borderId="0" applyNumberFormat="0" applyBorder="0" applyAlignment="0" applyProtection="0"/>
    <xf numFmtId="0" fontId="35" fillId="37" borderId="0" applyNumberFormat="0" applyBorder="0" applyAlignment="0" applyProtection="0"/>
    <xf numFmtId="0" fontId="16" fillId="12" borderId="0" applyNumberFormat="0" applyBorder="0" applyAlignment="0" applyProtection="0"/>
    <xf numFmtId="0" fontId="35" fillId="38" borderId="0" applyNumberFormat="0" applyBorder="0" applyAlignment="0" applyProtection="0"/>
    <xf numFmtId="0" fontId="16" fillId="9" borderId="0" applyNumberFormat="0" applyBorder="0" applyAlignment="0" applyProtection="0"/>
    <xf numFmtId="0" fontId="35" fillId="39" borderId="0" applyNumberFormat="0" applyBorder="0" applyAlignment="0" applyProtection="0"/>
    <xf numFmtId="0" fontId="16" fillId="10" borderId="0" applyNumberFormat="0" applyBorder="0" applyAlignment="0" applyProtection="0"/>
    <xf numFmtId="0" fontId="35" fillId="40" borderId="0" applyNumberFormat="0" applyBorder="0" applyAlignment="0" applyProtection="0"/>
    <xf numFmtId="0" fontId="16" fillId="13" borderId="0" applyNumberFormat="0" applyBorder="0" applyAlignment="0" applyProtection="0"/>
    <xf numFmtId="0" fontId="35" fillId="41" borderId="0" applyNumberFormat="0" applyBorder="0" applyAlignment="0" applyProtection="0"/>
    <xf numFmtId="0" fontId="16" fillId="14" borderId="0" applyNumberFormat="0" applyBorder="0" applyAlignment="0" applyProtection="0"/>
    <xf numFmtId="0" fontId="35" fillId="42" borderId="0" applyNumberFormat="0" applyBorder="0" applyAlignment="0" applyProtection="0"/>
    <xf numFmtId="0" fontId="16" fillId="15" borderId="0" applyNumberFormat="0" applyBorder="0" applyAlignment="0" applyProtection="0"/>
    <xf numFmtId="0" fontId="35" fillId="43" borderId="0" applyNumberFormat="0" applyBorder="0" applyAlignment="0" applyProtection="0"/>
    <xf numFmtId="0" fontId="16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44" borderId="0" applyNumberFormat="0" applyBorder="0" applyAlignment="0" applyProtection="0"/>
    <xf numFmtId="0" fontId="16" fillId="17" borderId="0" applyNumberFormat="0" applyBorder="0" applyAlignment="0" applyProtection="0"/>
    <xf numFmtId="0" fontId="35" fillId="45" borderId="0" applyNumberFormat="0" applyBorder="0" applyAlignment="0" applyProtection="0"/>
    <xf numFmtId="0" fontId="16" fillId="18" borderId="0" applyNumberFormat="0" applyBorder="0" applyAlignment="0" applyProtection="0"/>
    <xf numFmtId="0" fontId="35" fillId="46" borderId="0" applyNumberFormat="0" applyBorder="0" applyAlignment="0" applyProtection="0"/>
    <xf numFmtId="0" fontId="16" fillId="13" borderId="0" applyNumberFormat="0" applyBorder="0" applyAlignment="0" applyProtection="0"/>
    <xf numFmtId="0" fontId="35" fillId="47" borderId="0" applyNumberFormat="0" applyBorder="0" applyAlignment="0" applyProtection="0"/>
    <xf numFmtId="0" fontId="16" fillId="14" borderId="0" applyNumberFormat="0" applyBorder="0" applyAlignment="0" applyProtection="0"/>
    <xf numFmtId="0" fontId="35" fillId="48" borderId="0" applyNumberFormat="0" applyBorder="0" applyAlignment="0" applyProtection="0"/>
    <xf numFmtId="0" fontId="16" fillId="19" borderId="0" applyNumberFormat="0" applyBorder="0" applyAlignment="0" applyProtection="0"/>
    <xf numFmtId="0" fontId="36" fillId="49" borderId="0" applyNumberFormat="0" applyBorder="0" applyAlignment="0" applyProtection="0"/>
    <xf numFmtId="0" fontId="7" fillId="3" borderId="0" applyNumberFormat="0" applyBorder="0" applyAlignment="0" applyProtection="0"/>
    <xf numFmtId="0" fontId="37" fillId="50" borderId="13" applyNumberFormat="0" applyAlignment="0" applyProtection="0"/>
    <xf numFmtId="0" fontId="11" fillId="20" borderId="1" applyNumberFormat="0" applyAlignment="0" applyProtection="0"/>
    <xf numFmtId="0" fontId="38" fillId="51" borderId="14" applyNumberFormat="0" applyAlignment="0" applyProtection="0"/>
    <xf numFmtId="0" fontId="13" fillId="21" borderId="2" applyNumberFormat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17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3" fontId="30" fillId="0" borderId="3" applyAlignment="0">
      <alignment horizontal="right" vertical="center"/>
    </xf>
    <xf numFmtId="169" fontId="20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73" fontId="1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7" fontId="20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167" fontId="20" fillId="0" borderId="0">
      <protection locked="0"/>
    </xf>
    <xf numFmtId="0" fontId="40" fillId="52" borderId="0" applyNumberFormat="0" applyBorder="0" applyAlignment="0" applyProtection="0"/>
    <xf numFmtId="0" fontId="6" fillId="4" borderId="0" applyNumberFormat="0" applyBorder="0" applyAlignment="0" applyProtection="0"/>
    <xf numFmtId="0" fontId="40" fillId="52" borderId="0" applyNumberFormat="0" applyBorder="0" applyAlignment="0" applyProtection="0"/>
    <xf numFmtId="0" fontId="41" fillId="0" borderId="15" applyNumberFormat="0" applyFill="0" applyAlignment="0" applyProtection="0"/>
    <xf numFmtId="0" fontId="3" fillId="0" borderId="4" applyNumberFormat="0" applyFill="0" applyAlignment="0" applyProtection="0"/>
    <xf numFmtId="0" fontId="42" fillId="0" borderId="16" applyNumberFormat="0" applyFill="0" applyAlignment="0" applyProtection="0"/>
    <xf numFmtId="0" fontId="4" fillId="0" borderId="5" applyNumberFormat="0" applyFill="0" applyAlignment="0" applyProtection="0"/>
    <xf numFmtId="0" fontId="43" fillId="0" borderId="17" applyNumberFormat="0" applyFill="0" applyAlignment="0" applyProtection="0"/>
    <xf numFmtId="0" fontId="5" fillId="0" borderId="6" applyNumberFormat="0" applyFill="0" applyAlignment="0" applyProtection="0"/>
    <xf numFmtId="0" fontId="4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168" fontId="21" fillId="0" borderId="0"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48" fillId="53" borderId="13" applyNumberFormat="0" applyAlignment="0" applyProtection="0"/>
    <xf numFmtId="0" fontId="9" fillId="7" borderId="1" applyNumberFormat="0" applyAlignment="0" applyProtection="0"/>
    <xf numFmtId="0" fontId="49" fillId="0" borderId="18" applyNumberFormat="0" applyFill="0" applyAlignment="0" applyProtection="0"/>
    <xf numFmtId="0" fontId="12" fillId="0" borderId="7" applyNumberFormat="0" applyFill="0" applyAlignment="0" applyProtection="0"/>
    <xf numFmtId="0" fontId="50" fillId="54" borderId="0" applyNumberFormat="0" applyBorder="0" applyAlignment="0" applyProtection="0"/>
    <xf numFmtId="0" fontId="8" fillId="22" borderId="0" applyNumberFormat="0" applyBorder="0" applyAlignment="0" applyProtection="0"/>
    <xf numFmtId="0" fontId="18" fillId="0" borderId="0"/>
    <xf numFmtId="0" fontId="3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29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51" fillId="0" borderId="0"/>
    <xf numFmtId="0" fontId="51" fillId="0" borderId="0"/>
    <xf numFmtId="0" fontId="18" fillId="0" borderId="0"/>
    <xf numFmtId="0" fontId="34" fillId="0" borderId="0"/>
    <xf numFmtId="0" fontId="25" fillId="0" borderId="0"/>
    <xf numFmtId="0" fontId="18" fillId="0" borderId="0"/>
    <xf numFmtId="0" fontId="25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25" fillId="0" borderId="0"/>
    <xf numFmtId="0" fontId="18" fillId="0" borderId="0"/>
    <xf numFmtId="0" fontId="25" fillId="0" borderId="0"/>
    <xf numFmtId="0" fontId="34" fillId="0" borderId="0"/>
    <xf numFmtId="0" fontId="18" fillId="0" borderId="0"/>
    <xf numFmtId="0" fontId="18" fillId="0" borderId="0"/>
    <xf numFmtId="0" fontId="34" fillId="0" borderId="0"/>
    <xf numFmtId="0" fontId="24" fillId="0" borderId="0"/>
    <xf numFmtId="0" fontId="52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53" fillId="0" borderId="0"/>
    <xf numFmtId="0" fontId="2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24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51" fillId="0" borderId="0"/>
    <xf numFmtId="0" fontId="25" fillId="0" borderId="0"/>
    <xf numFmtId="0" fontId="34" fillId="0" borderId="0"/>
    <xf numFmtId="0" fontId="18" fillId="0" borderId="0"/>
    <xf numFmtId="0" fontId="34" fillId="0" borderId="0"/>
    <xf numFmtId="0" fontId="3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24" fillId="0" borderId="0"/>
    <xf numFmtId="0" fontId="25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34" fillId="0" borderId="0"/>
    <xf numFmtId="0" fontId="24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34" fillId="0" borderId="0"/>
    <xf numFmtId="0" fontId="34" fillId="0" borderId="0"/>
    <xf numFmtId="0" fontId="34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34" fillId="0" borderId="0"/>
    <xf numFmtId="0" fontId="18" fillId="0" borderId="0"/>
    <xf numFmtId="0" fontId="24" fillId="0" borderId="0"/>
    <xf numFmtId="0" fontId="18" fillId="0" borderId="0"/>
    <xf numFmtId="0" fontId="3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24" fillId="0" borderId="0"/>
    <xf numFmtId="0" fontId="18" fillId="0" borderId="0"/>
    <xf numFmtId="0" fontId="34" fillId="0" borderId="0"/>
    <xf numFmtId="0" fontId="19" fillId="0" borderId="0"/>
    <xf numFmtId="0" fontId="19" fillId="0" borderId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18" fillId="0" borderId="0"/>
    <xf numFmtId="0" fontId="34" fillId="0" borderId="0"/>
    <xf numFmtId="0" fontId="55" fillId="0" borderId="0"/>
    <xf numFmtId="0" fontId="19" fillId="0" borderId="0" applyProtection="0"/>
    <xf numFmtId="0" fontId="19" fillId="0" borderId="0" applyProtection="0"/>
    <xf numFmtId="0" fontId="19" fillId="0" borderId="0" applyProtection="0"/>
    <xf numFmtId="0" fontId="19" fillId="0" borderId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34" fillId="55" borderId="19" applyNumberFormat="0" applyFont="0" applyAlignment="0" applyProtection="0"/>
    <xf numFmtId="0" fontId="34" fillId="55" borderId="19" applyNumberFormat="0" applyFont="0" applyAlignment="0" applyProtection="0"/>
    <xf numFmtId="0" fontId="1" fillId="23" borderId="8" applyNumberFormat="0" applyFont="0" applyAlignment="0" applyProtection="0"/>
    <xf numFmtId="0" fontId="18" fillId="23" borderId="8" applyNumberFormat="0" applyFont="0" applyAlignment="0" applyProtection="0"/>
    <xf numFmtId="0" fontId="34" fillId="55" borderId="19" applyNumberFormat="0" applyFont="0" applyAlignment="0" applyProtection="0"/>
    <xf numFmtId="0" fontId="34" fillId="55" borderId="19" applyNumberFormat="0" applyFont="0" applyAlignment="0" applyProtection="0"/>
    <xf numFmtId="0" fontId="56" fillId="50" borderId="20" applyNumberFormat="0" applyAlignment="0" applyProtection="0"/>
    <xf numFmtId="0" fontId="10" fillId="20" borderId="9" applyNumberFormat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32" fillId="0" borderId="0">
      <alignment horizontal="right"/>
    </xf>
    <xf numFmtId="0" fontId="31" fillId="0" borderId="0">
      <alignment horizontal="left"/>
    </xf>
    <xf numFmtId="0" fontId="18" fillId="0" borderId="0"/>
    <xf numFmtId="172" fontId="18" fillId="0" borderId="0" applyFill="0" applyBorder="0" applyAlignment="0" applyProtection="0">
      <alignment wrapText="1"/>
    </xf>
    <xf numFmtId="172" fontId="18" fillId="0" borderId="0" applyFill="0" applyBorder="0" applyAlignment="0" applyProtection="0">
      <alignment wrapText="1"/>
    </xf>
    <xf numFmtId="0" fontId="22" fillId="0" borderId="0" applyNumberFormat="0" applyFill="0" applyBorder="0">
      <alignment horizontal="center" wrapText="1"/>
    </xf>
    <xf numFmtId="0" fontId="22" fillId="0" borderId="0" applyNumberFormat="0" applyFill="0" applyBorder="0">
      <alignment horizontal="center" wrapText="1"/>
    </xf>
    <xf numFmtId="0" fontId="5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3" fillId="0" borderId="0">
      <alignment horizontal="left"/>
    </xf>
    <xf numFmtId="0" fontId="58" fillId="0" borderId="21" applyNumberFormat="0" applyFill="0" applyAlignment="0" applyProtection="0"/>
    <xf numFmtId="168" fontId="20" fillId="0" borderId="11">
      <protection locked="0"/>
    </xf>
    <xf numFmtId="168" fontId="20" fillId="0" borderId="11">
      <protection locked="0"/>
    </xf>
    <xf numFmtId="168" fontId="20" fillId="0" borderId="11">
      <protection locked="0"/>
    </xf>
    <xf numFmtId="0" fontId="28" fillId="0" borderId="10" applyNumberFormat="0" applyFill="0" applyAlignment="0" applyProtection="0"/>
    <xf numFmtId="168" fontId="20" fillId="0" borderId="11">
      <protection locked="0"/>
    </xf>
    <xf numFmtId="168" fontId="20" fillId="0" borderId="11">
      <protection locked="0"/>
    </xf>
    <xf numFmtId="168" fontId="20" fillId="0" borderId="11">
      <protection locked="0"/>
    </xf>
    <xf numFmtId="168" fontId="20" fillId="0" borderId="11">
      <protection locked="0"/>
    </xf>
    <xf numFmtId="168" fontId="20" fillId="0" borderId="11">
      <protection locked="0"/>
    </xf>
    <xf numFmtId="0" fontId="59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18" fillId="24" borderId="12" xfId="200" applyFont="1" applyFill="1" applyBorder="1"/>
    <xf numFmtId="0" fontId="18" fillId="0" borderId="0" xfId="228"/>
    <xf numFmtId="0" fontId="0" fillId="0" borderId="0" xfId="0"/>
    <xf numFmtId="0" fontId="18" fillId="0" borderId="0" xfId="0" applyFont="1"/>
    <xf numFmtId="0" fontId="18" fillId="0" borderId="0" xfId="0" applyFont="1" applyFill="1"/>
    <xf numFmtId="0" fontId="22" fillId="0" borderId="0" xfId="0" applyFont="1"/>
    <xf numFmtId="0" fontId="60" fillId="0" borderId="0" xfId="0" applyFont="1" applyFill="1" applyBorder="1"/>
    <xf numFmtId="0" fontId="18" fillId="0" borderId="0" xfId="0" applyFont="1" applyFill="1" applyBorder="1"/>
    <xf numFmtId="0" fontId="61" fillId="0" borderId="0" xfId="0" applyFont="1" applyFill="1" applyBorder="1"/>
    <xf numFmtId="0" fontId="61" fillId="0" borderId="0" xfId="0" applyFont="1"/>
    <xf numFmtId="0" fontId="60" fillId="0" borderId="0" xfId="0" applyFont="1"/>
    <xf numFmtId="11" fontId="61" fillId="0" borderId="0" xfId="0" applyNumberFormat="1" applyFont="1" applyFill="1"/>
    <xf numFmtId="0" fontId="61" fillId="0" borderId="0" xfId="0" applyFont="1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8" fillId="24" borderId="12" xfId="20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/>
    <xf numFmtId="0" fontId="61" fillId="0" borderId="0" xfId="0" applyFont="1" applyBorder="1"/>
    <xf numFmtId="0" fontId="18" fillId="0" borderId="0" xfId="0" applyFont="1" applyBorder="1"/>
    <xf numFmtId="0" fontId="60" fillId="0" borderId="0" xfId="0" applyFont="1" applyFill="1"/>
    <xf numFmtId="0" fontId="60" fillId="0" borderId="0" xfId="0" applyFont="1" applyFill="1" applyBorder="1" applyAlignment="1"/>
    <xf numFmtId="43" fontId="0" fillId="0" borderId="0" xfId="0" applyNumberFormat="1"/>
    <xf numFmtId="0" fontId="0" fillId="56" borderId="0" xfId="0" applyFill="1"/>
    <xf numFmtId="0" fontId="0" fillId="57" borderId="0" xfId="0" applyFill="1"/>
    <xf numFmtId="0" fontId="0" fillId="56" borderId="0" xfId="0" applyFill="1" applyAlignment="1">
      <alignment horizontal="center"/>
    </xf>
    <xf numFmtId="0" fontId="0" fillId="58" borderId="0" xfId="0" applyFill="1"/>
    <xf numFmtId="0" fontId="0" fillId="58" borderId="0" xfId="0" applyFill="1" applyAlignment="1">
      <alignment horizontal="center"/>
    </xf>
    <xf numFmtId="165" fontId="0" fillId="58" borderId="0" xfId="0" applyNumberFormat="1" applyFill="1" applyAlignment="1">
      <alignment horizontal="center"/>
    </xf>
    <xf numFmtId="1" fontId="0" fillId="58" borderId="0" xfId="0" applyNumberFormat="1" applyFill="1" applyAlignment="1">
      <alignment horizontal="center"/>
    </xf>
    <xf numFmtId="165" fontId="0" fillId="56" borderId="0" xfId="0" applyNumberFormat="1" applyFill="1" applyAlignment="1">
      <alignment horizontal="center"/>
    </xf>
    <xf numFmtId="1" fontId="0" fillId="56" borderId="0" xfId="0" applyNumberFormat="1" applyFill="1" applyAlignment="1">
      <alignment horizontal="center"/>
    </xf>
    <xf numFmtId="43" fontId="0" fillId="58" borderId="0" xfId="0" applyNumberFormat="1" applyFill="1"/>
    <xf numFmtId="2" fontId="0" fillId="56" borderId="0" xfId="0" applyNumberFormat="1" applyFill="1"/>
    <xf numFmtId="0" fontId="60" fillId="0" borderId="0" xfId="0" applyFont="1" applyFill="1" applyBorder="1" applyAlignment="1">
      <alignment horizontal="center"/>
    </xf>
    <xf numFmtId="0" fontId="60" fillId="0" borderId="0" xfId="0" applyFont="1" applyFill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60" fillId="0" borderId="0" xfId="0" applyFont="1" applyAlignment="1">
      <alignment horizontal="center"/>
    </xf>
    <xf numFmtId="2" fontId="0" fillId="0" borderId="0" xfId="0" applyNumberFormat="1"/>
    <xf numFmtId="0" fontId="23" fillId="0" borderId="0" xfId="182" applyAlignment="1" applyProtection="1"/>
    <xf numFmtId="15" fontId="0" fillId="0" borderId="0" xfId="0" applyNumberFormat="1"/>
    <xf numFmtId="166" fontId="34" fillId="0" borderId="28" xfId="95" applyNumberFormat="1" applyFont="1" applyBorder="1"/>
    <xf numFmtId="166" fontId="34" fillId="0" borderId="29" xfId="95" applyNumberFormat="1" applyFont="1" applyBorder="1"/>
    <xf numFmtId="166" fontId="34" fillId="0" borderId="0" xfId="95" applyNumberFormat="1" applyFont="1" applyBorder="1"/>
    <xf numFmtId="166" fontId="34" fillId="0" borderId="30" xfId="95" applyNumberFormat="1" applyFont="1" applyBorder="1"/>
    <xf numFmtId="166" fontId="34" fillId="0" borderId="26" xfId="95" applyNumberFormat="1" applyFont="1" applyBorder="1"/>
    <xf numFmtId="166" fontId="34" fillId="0" borderId="31" xfId="95" applyNumberFormat="1" applyFont="1" applyBorder="1"/>
    <xf numFmtId="0" fontId="0" fillId="0" borderId="32" xfId="0" applyBorder="1"/>
    <xf numFmtId="0" fontId="0" fillId="0" borderId="28" xfId="0" applyBorder="1"/>
    <xf numFmtId="0" fontId="0" fillId="0" borderId="29" xfId="0" applyBorder="1"/>
    <xf numFmtId="166" fontId="34" fillId="56" borderId="22" xfId="95" applyNumberFormat="1" applyFont="1" applyFill="1" applyBorder="1"/>
    <xf numFmtId="166" fontId="34" fillId="56" borderId="23" xfId="95" applyNumberFormat="1" applyFont="1" applyFill="1" applyBorder="1"/>
    <xf numFmtId="166" fontId="34" fillId="56" borderId="25" xfId="95" applyNumberFormat="1" applyFont="1" applyFill="1" applyBorder="1"/>
    <xf numFmtId="166" fontId="34" fillId="57" borderId="22" xfId="95" applyNumberFormat="1" applyFont="1" applyFill="1" applyBorder="1"/>
    <xf numFmtId="43" fontId="34" fillId="57" borderId="23" xfId="95" applyNumberFormat="1" applyFont="1" applyFill="1" applyBorder="1"/>
    <xf numFmtId="43" fontId="34" fillId="57" borderId="25" xfId="95" applyNumberFormat="1" applyFont="1" applyFill="1" applyBorder="1"/>
    <xf numFmtId="165" fontId="59" fillId="58" borderId="0" xfId="0" applyNumberFormat="1" applyFont="1" applyFill="1" applyAlignment="1">
      <alignment horizontal="center"/>
    </xf>
    <xf numFmtId="0" fontId="58" fillId="0" borderId="0" xfId="0" applyFont="1" applyAlignment="1"/>
    <xf numFmtId="166" fontId="34" fillId="0" borderId="27" xfId="95" applyNumberFormat="1" applyFont="1" applyBorder="1"/>
    <xf numFmtId="166" fontId="34" fillId="0" borderId="24" xfId="95" applyNumberFormat="1" applyFont="1" applyBorder="1"/>
    <xf numFmtId="166" fontId="34" fillId="0" borderId="33" xfId="95" applyNumberFormat="1" applyFont="1" applyBorder="1"/>
    <xf numFmtId="0" fontId="58" fillId="56" borderId="0" xfId="0" applyFont="1" applyFill="1" applyAlignment="1"/>
    <xf numFmtId="0" fontId="58" fillId="57" borderId="0" xfId="0" applyFont="1" applyFill="1" applyAlignment="1"/>
    <xf numFmtId="0" fontId="64" fillId="58" borderId="0" xfId="0" applyFont="1" applyFill="1"/>
    <xf numFmtId="0" fontId="0" fillId="59" borderId="0" xfId="0" applyFill="1"/>
    <xf numFmtId="166" fontId="59" fillId="0" borderId="26" xfId="95" applyNumberFormat="1" applyFont="1" applyBorder="1"/>
    <xf numFmtId="0" fontId="58" fillId="59" borderId="0" xfId="0" applyFont="1" applyFill="1" applyAlignment="1">
      <alignment horizontal="center"/>
    </xf>
    <xf numFmtId="0" fontId="58" fillId="56" borderId="0" xfId="0" applyFont="1" applyFill="1" applyAlignment="1">
      <alignment horizontal="center"/>
    </xf>
    <xf numFmtId="0" fontId="58" fillId="57" borderId="0" xfId="0" applyFont="1" applyFill="1" applyAlignment="1">
      <alignment horizontal="center"/>
    </xf>
    <xf numFmtId="0" fontId="65" fillId="58" borderId="0" xfId="0" applyFont="1" applyFill="1" applyAlignment="1">
      <alignment horizontal="center"/>
    </xf>
    <xf numFmtId="0" fontId="58" fillId="58" borderId="0" xfId="0" applyFont="1" applyFill="1" applyAlignment="1">
      <alignment horizontal="center"/>
    </xf>
    <xf numFmtId="2" fontId="64" fillId="56" borderId="0" xfId="0" applyNumberFormat="1" applyFont="1" applyFill="1"/>
    <xf numFmtId="2" fontId="64" fillId="58" borderId="0" xfId="0" applyNumberFormat="1" applyFont="1" applyFill="1"/>
    <xf numFmtId="174" fontId="64" fillId="58" borderId="0" xfId="0" applyNumberFormat="1" applyFont="1" applyFill="1"/>
  </cellXfs>
  <cellStyles count="594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1 2 3" xfId="4" xr:uid="{00000000-0005-0000-0000-000003000000}"/>
    <cellStyle name="20% - Accent1 2 4" xfId="5" xr:uid="{00000000-0005-0000-0000-000004000000}"/>
    <cellStyle name="20% - Accent2" xfId="6" builtinId="34" customBuiltin="1"/>
    <cellStyle name="20% - Accent2 2" xfId="7" xr:uid="{00000000-0005-0000-0000-000006000000}"/>
    <cellStyle name="20% - Accent2 2 2" xfId="8" xr:uid="{00000000-0005-0000-0000-000007000000}"/>
    <cellStyle name="20% - Accent2 2 3" xfId="9" xr:uid="{00000000-0005-0000-0000-000008000000}"/>
    <cellStyle name="20% - Accent2 2 4" xfId="10" xr:uid="{00000000-0005-0000-0000-000009000000}"/>
    <cellStyle name="20% - Accent3" xfId="11" builtinId="38" customBuiltin="1"/>
    <cellStyle name="20% - Accent3 2" xfId="12" xr:uid="{00000000-0005-0000-0000-00000B000000}"/>
    <cellStyle name="20% - Accent3 2 2" xfId="13" xr:uid="{00000000-0005-0000-0000-00000C000000}"/>
    <cellStyle name="20% - Accent3 2 3" xfId="14" xr:uid="{00000000-0005-0000-0000-00000D000000}"/>
    <cellStyle name="20% - Accent3 2 4" xfId="15" xr:uid="{00000000-0005-0000-0000-00000E000000}"/>
    <cellStyle name="20% - Accent4" xfId="16" builtinId="42" customBuiltin="1"/>
    <cellStyle name="20% - Accent4 2" xfId="17" xr:uid="{00000000-0005-0000-0000-000010000000}"/>
    <cellStyle name="20% - Accent4 2 2" xfId="18" xr:uid="{00000000-0005-0000-0000-000011000000}"/>
    <cellStyle name="20% - Accent4 2 3" xfId="19" xr:uid="{00000000-0005-0000-0000-000012000000}"/>
    <cellStyle name="20% - Accent4 2 4" xfId="20" xr:uid="{00000000-0005-0000-0000-000013000000}"/>
    <cellStyle name="20% - Accent5" xfId="21" builtinId="46" customBuiltin="1"/>
    <cellStyle name="20% - Accent5 2" xfId="22" xr:uid="{00000000-0005-0000-0000-000015000000}"/>
    <cellStyle name="20% - Accent5 2 2" xfId="23" xr:uid="{00000000-0005-0000-0000-000016000000}"/>
    <cellStyle name="20% - Accent5 2 3" xfId="24" xr:uid="{00000000-0005-0000-0000-000017000000}"/>
    <cellStyle name="20% - Accent5 2 4" xfId="25" xr:uid="{00000000-0005-0000-0000-000018000000}"/>
    <cellStyle name="20% - Accent6" xfId="26" builtinId="50" customBuiltin="1"/>
    <cellStyle name="20% - Accent6 2" xfId="27" xr:uid="{00000000-0005-0000-0000-00001A000000}"/>
    <cellStyle name="20% - Accent6 2 2" xfId="28" xr:uid="{00000000-0005-0000-0000-00001B000000}"/>
    <cellStyle name="20% - Accent6 2 3" xfId="29" xr:uid="{00000000-0005-0000-0000-00001C000000}"/>
    <cellStyle name="20% - Accent6 2 4" xfId="30" xr:uid="{00000000-0005-0000-0000-00001D000000}"/>
    <cellStyle name="40% - Accent1" xfId="31" builtinId="31" customBuiltin="1"/>
    <cellStyle name="40% - Accent1 2" xfId="32" xr:uid="{00000000-0005-0000-0000-00001F000000}"/>
    <cellStyle name="40% - Accent1 2 2" xfId="33" xr:uid="{00000000-0005-0000-0000-000020000000}"/>
    <cellStyle name="40% - Accent1 2 3" xfId="34" xr:uid="{00000000-0005-0000-0000-000021000000}"/>
    <cellStyle name="40% - Accent1 2 4" xfId="35" xr:uid="{00000000-0005-0000-0000-000022000000}"/>
    <cellStyle name="40% - Accent2" xfId="36" builtinId="35" customBuiltin="1"/>
    <cellStyle name="40% - Accent2 2" xfId="37" xr:uid="{00000000-0005-0000-0000-000024000000}"/>
    <cellStyle name="40% - Accent2 2 2" xfId="38" xr:uid="{00000000-0005-0000-0000-000025000000}"/>
    <cellStyle name="40% - Accent2 2 3" xfId="39" xr:uid="{00000000-0005-0000-0000-000026000000}"/>
    <cellStyle name="40% - Accent2 2 4" xfId="40" xr:uid="{00000000-0005-0000-0000-000027000000}"/>
    <cellStyle name="40% - Accent3" xfId="41" builtinId="39" customBuiltin="1"/>
    <cellStyle name="40% - Accent3 2" xfId="42" xr:uid="{00000000-0005-0000-0000-000029000000}"/>
    <cellStyle name="40% - Accent3 2 2" xfId="43" xr:uid="{00000000-0005-0000-0000-00002A000000}"/>
    <cellStyle name="40% - Accent3 2 3" xfId="44" xr:uid="{00000000-0005-0000-0000-00002B000000}"/>
    <cellStyle name="40% - Accent3 2 4" xfId="45" xr:uid="{00000000-0005-0000-0000-00002C000000}"/>
    <cellStyle name="40% - Accent3 3" xfId="46" xr:uid="{00000000-0005-0000-0000-00002D000000}"/>
    <cellStyle name="40% - Accent3 3 2" xfId="47" xr:uid="{00000000-0005-0000-0000-00002E000000}"/>
    <cellStyle name="40% - Accent3 4" xfId="48" xr:uid="{00000000-0005-0000-0000-00002F000000}"/>
    <cellStyle name="40% - Accent4" xfId="49" builtinId="43" customBuiltin="1"/>
    <cellStyle name="40% - Accent4 2" xfId="50" xr:uid="{00000000-0005-0000-0000-000031000000}"/>
    <cellStyle name="40% - Accent4 2 2" xfId="51" xr:uid="{00000000-0005-0000-0000-000032000000}"/>
    <cellStyle name="40% - Accent4 2 3" xfId="52" xr:uid="{00000000-0005-0000-0000-000033000000}"/>
    <cellStyle name="40% - Accent4 2 4" xfId="53" xr:uid="{00000000-0005-0000-0000-000034000000}"/>
    <cellStyle name="40% - Accent5" xfId="54" builtinId="47" customBuiltin="1"/>
    <cellStyle name="40% - Accent5 2" xfId="55" xr:uid="{00000000-0005-0000-0000-000036000000}"/>
    <cellStyle name="40% - Accent5 2 2" xfId="56" xr:uid="{00000000-0005-0000-0000-000037000000}"/>
    <cellStyle name="40% - Accent5 2 3" xfId="57" xr:uid="{00000000-0005-0000-0000-000038000000}"/>
    <cellStyle name="40% - Accent5 2 4" xfId="58" xr:uid="{00000000-0005-0000-0000-000039000000}"/>
    <cellStyle name="40% - Accent6" xfId="59" builtinId="51" customBuiltin="1"/>
    <cellStyle name="40% - Accent6 2" xfId="60" xr:uid="{00000000-0005-0000-0000-00003B000000}"/>
    <cellStyle name="40% - Accent6 2 2" xfId="61" xr:uid="{00000000-0005-0000-0000-00003C000000}"/>
    <cellStyle name="40% - Accent6 2 3" xfId="62" xr:uid="{00000000-0005-0000-0000-00003D000000}"/>
    <cellStyle name="40% - Accent6 2 4" xfId="63" xr:uid="{00000000-0005-0000-0000-00003E000000}"/>
    <cellStyle name="60% - Accent1" xfId="64" builtinId="32" customBuiltin="1"/>
    <cellStyle name="60% - Accent1 2" xfId="65" xr:uid="{00000000-0005-0000-0000-000040000000}"/>
    <cellStyle name="60% - Accent2" xfId="66" builtinId="36" customBuiltin="1"/>
    <cellStyle name="60% - Accent2 2" xfId="67" xr:uid="{00000000-0005-0000-0000-000042000000}"/>
    <cellStyle name="60% - Accent3" xfId="68" builtinId="40" customBuiltin="1"/>
    <cellStyle name="60% - Accent3 2" xfId="69" xr:uid="{00000000-0005-0000-0000-000044000000}"/>
    <cellStyle name="60% - Accent4" xfId="70" builtinId="44" customBuiltin="1"/>
    <cellStyle name="60% - Accent4 2" xfId="71" xr:uid="{00000000-0005-0000-0000-000046000000}"/>
    <cellStyle name="60% - Accent5" xfId="72" builtinId="48" customBuiltin="1"/>
    <cellStyle name="60% - Accent5 2" xfId="73" xr:uid="{00000000-0005-0000-0000-000048000000}"/>
    <cellStyle name="60% - Accent6" xfId="74" builtinId="52" customBuiltin="1"/>
    <cellStyle name="60% - Accent6 2" xfId="75" xr:uid="{00000000-0005-0000-0000-00004A000000}"/>
    <cellStyle name="Accent1" xfId="76" builtinId="29" customBuiltin="1"/>
    <cellStyle name="Accent1 2" xfId="77" xr:uid="{00000000-0005-0000-0000-00004C000000}"/>
    <cellStyle name="Accent1 2 2" xfId="78" xr:uid="{00000000-0005-0000-0000-00004D000000}"/>
    <cellStyle name="Accent2" xfId="79" builtinId="33" customBuiltin="1"/>
    <cellStyle name="Accent2 2" xfId="80" xr:uid="{00000000-0005-0000-0000-00004F000000}"/>
    <cellStyle name="Accent3" xfId="81" builtinId="37" customBuiltin="1"/>
    <cellStyle name="Accent3 2" xfId="82" xr:uid="{00000000-0005-0000-0000-000051000000}"/>
    <cellStyle name="Accent4" xfId="83" builtinId="41" customBuiltin="1"/>
    <cellStyle name="Accent4 2" xfId="84" xr:uid="{00000000-0005-0000-0000-000053000000}"/>
    <cellStyle name="Accent5" xfId="85" builtinId="45" customBuiltin="1"/>
    <cellStyle name="Accent5 2" xfId="86" xr:uid="{00000000-0005-0000-0000-000055000000}"/>
    <cellStyle name="Accent6" xfId="87" builtinId="49" customBuiltin="1"/>
    <cellStyle name="Accent6 2" xfId="88" xr:uid="{00000000-0005-0000-0000-000057000000}"/>
    <cellStyle name="Bad" xfId="89" builtinId="27" customBuiltin="1"/>
    <cellStyle name="Bad 2" xfId="90" xr:uid="{00000000-0005-0000-0000-000059000000}"/>
    <cellStyle name="Calculation" xfId="91" builtinId="22" customBuiltin="1"/>
    <cellStyle name="Calculation 2" xfId="92" xr:uid="{00000000-0005-0000-0000-00005B000000}"/>
    <cellStyle name="Check Cell" xfId="93" builtinId="23" customBuiltin="1"/>
    <cellStyle name="Check Cell 2" xfId="94" xr:uid="{00000000-0005-0000-0000-00005D000000}"/>
    <cellStyle name="Comma 2" xfId="95" xr:uid="{00000000-0005-0000-0000-00005E000000}"/>
    <cellStyle name="Comma 2 2" xfId="96" xr:uid="{00000000-0005-0000-0000-00005F000000}"/>
    <cellStyle name="Comma 2 2 2" xfId="97" xr:uid="{00000000-0005-0000-0000-000060000000}"/>
    <cellStyle name="Comma 2 2 3" xfId="98" xr:uid="{00000000-0005-0000-0000-000061000000}"/>
    <cellStyle name="Comma 2 3" xfId="99" xr:uid="{00000000-0005-0000-0000-000062000000}"/>
    <cellStyle name="Comma 2 3 2" xfId="100" xr:uid="{00000000-0005-0000-0000-000063000000}"/>
    <cellStyle name="Comma 2 4" xfId="101" xr:uid="{00000000-0005-0000-0000-000064000000}"/>
    <cellStyle name="Comma 3" xfId="102" xr:uid="{00000000-0005-0000-0000-000065000000}"/>
    <cellStyle name="Comma 3 2" xfId="103" xr:uid="{00000000-0005-0000-0000-000066000000}"/>
    <cellStyle name="Comma 3 2 2" xfId="104" xr:uid="{00000000-0005-0000-0000-000067000000}"/>
    <cellStyle name="Comma 3 2 2 2" xfId="105" xr:uid="{00000000-0005-0000-0000-000068000000}"/>
    <cellStyle name="Comma 3 2 2 3" xfId="106" xr:uid="{00000000-0005-0000-0000-000069000000}"/>
    <cellStyle name="Comma 3 2 3" xfId="107" xr:uid="{00000000-0005-0000-0000-00006A000000}"/>
    <cellStyle name="Comma 3 3" xfId="108" xr:uid="{00000000-0005-0000-0000-00006B000000}"/>
    <cellStyle name="Comma 3 3 2" xfId="109" xr:uid="{00000000-0005-0000-0000-00006C000000}"/>
    <cellStyle name="Comma 3 4" xfId="110" xr:uid="{00000000-0005-0000-0000-00006D000000}"/>
    <cellStyle name="Comma 3 4 2" xfId="111" xr:uid="{00000000-0005-0000-0000-00006E000000}"/>
    <cellStyle name="Comma 3 5" xfId="112" xr:uid="{00000000-0005-0000-0000-00006F000000}"/>
    <cellStyle name="Comma 4" xfId="113" xr:uid="{00000000-0005-0000-0000-000070000000}"/>
    <cellStyle name="Comma 4 2" xfId="114" xr:uid="{00000000-0005-0000-0000-000071000000}"/>
    <cellStyle name="Comma 4 2 2" xfId="115" xr:uid="{00000000-0005-0000-0000-000072000000}"/>
    <cellStyle name="Comma 4 2 2 2" xfId="116" xr:uid="{00000000-0005-0000-0000-000073000000}"/>
    <cellStyle name="Comma 4 3" xfId="117" xr:uid="{00000000-0005-0000-0000-000074000000}"/>
    <cellStyle name="Comma 4 3 2" xfId="118" xr:uid="{00000000-0005-0000-0000-000075000000}"/>
    <cellStyle name="Comma 4 4" xfId="119" xr:uid="{00000000-0005-0000-0000-000076000000}"/>
    <cellStyle name="Comma 4 4 2" xfId="120" xr:uid="{00000000-0005-0000-0000-000077000000}"/>
    <cellStyle name="Comma 4 5" xfId="121" xr:uid="{00000000-0005-0000-0000-000078000000}"/>
    <cellStyle name="Comma 4 5 2" xfId="122" xr:uid="{00000000-0005-0000-0000-000079000000}"/>
    <cellStyle name="Comma 4 6" xfId="123" xr:uid="{00000000-0005-0000-0000-00007A000000}"/>
    <cellStyle name="Comma 5" xfId="124" xr:uid="{00000000-0005-0000-0000-00007B000000}"/>
    <cellStyle name="Comma 5 2" xfId="125" xr:uid="{00000000-0005-0000-0000-00007C000000}"/>
    <cellStyle name="Comma 5 3" xfId="126" xr:uid="{00000000-0005-0000-0000-00007D000000}"/>
    <cellStyle name="Comma 6" xfId="127" xr:uid="{00000000-0005-0000-0000-00007E000000}"/>
    <cellStyle name="Comma 7" xfId="128" xr:uid="{00000000-0005-0000-0000-00007F000000}"/>
    <cellStyle name="Comma 8" xfId="129" xr:uid="{00000000-0005-0000-0000-000080000000}"/>
    <cellStyle name="Currency 2" xfId="130" xr:uid="{00000000-0005-0000-0000-000081000000}"/>
    <cellStyle name="Currency 2 2" xfId="131" xr:uid="{00000000-0005-0000-0000-000082000000}"/>
    <cellStyle name="Currency 2 2 2" xfId="132" xr:uid="{00000000-0005-0000-0000-000083000000}"/>
    <cellStyle name="Currency 2 2 2 2" xfId="133" xr:uid="{00000000-0005-0000-0000-000084000000}"/>
    <cellStyle name="Currency 2 2 2 3" xfId="134" xr:uid="{00000000-0005-0000-0000-000085000000}"/>
    <cellStyle name="Currency 2 2 3" xfId="135" xr:uid="{00000000-0005-0000-0000-000086000000}"/>
    <cellStyle name="Currency 2 3" xfId="136" xr:uid="{00000000-0005-0000-0000-000087000000}"/>
    <cellStyle name="Currency 2 3 2" xfId="137" xr:uid="{00000000-0005-0000-0000-000088000000}"/>
    <cellStyle name="Currency 2 3 3" xfId="138" xr:uid="{00000000-0005-0000-0000-000089000000}"/>
    <cellStyle name="Currency 2 4" xfId="139" xr:uid="{00000000-0005-0000-0000-00008A000000}"/>
    <cellStyle name="Currency 2 4 2" xfId="140" xr:uid="{00000000-0005-0000-0000-00008B000000}"/>
    <cellStyle name="Currency 2 5" xfId="141" xr:uid="{00000000-0005-0000-0000-00008C000000}"/>
    <cellStyle name="Currency 2 5 2" xfId="142" xr:uid="{00000000-0005-0000-0000-00008D000000}"/>
    <cellStyle name="Currency 2 6" xfId="143" xr:uid="{00000000-0005-0000-0000-00008E000000}"/>
    <cellStyle name="Currency 3" xfId="144" xr:uid="{00000000-0005-0000-0000-00008F000000}"/>
    <cellStyle name="Currency 3 2" xfId="145" xr:uid="{00000000-0005-0000-0000-000090000000}"/>
    <cellStyle name="Currency 3 2 2" xfId="146" xr:uid="{00000000-0005-0000-0000-000091000000}"/>
    <cellStyle name="Currency 3 3" xfId="147" xr:uid="{00000000-0005-0000-0000-000092000000}"/>
    <cellStyle name="Data" xfId="148" xr:uid="{00000000-0005-0000-0000-000093000000}"/>
    <cellStyle name="Date" xfId="149" xr:uid="{00000000-0005-0000-0000-000094000000}"/>
    <cellStyle name="Date 2" xfId="150" xr:uid="{00000000-0005-0000-0000-000095000000}"/>
    <cellStyle name="Date 2 2" xfId="151" xr:uid="{00000000-0005-0000-0000-000096000000}"/>
    <cellStyle name="Date 2 3" xfId="152" xr:uid="{00000000-0005-0000-0000-000097000000}"/>
    <cellStyle name="Euro" xfId="153" xr:uid="{00000000-0005-0000-0000-000098000000}"/>
    <cellStyle name="Explanatory Text" xfId="154" builtinId="53" customBuiltin="1"/>
    <cellStyle name="Explanatory Text 2" xfId="155" xr:uid="{00000000-0005-0000-0000-00009A000000}"/>
    <cellStyle name="Fixed" xfId="156" xr:uid="{00000000-0005-0000-0000-00009B000000}"/>
    <cellStyle name="Fixed 2" xfId="157" xr:uid="{00000000-0005-0000-0000-00009C000000}"/>
    <cellStyle name="Fixed 2 2" xfId="158" xr:uid="{00000000-0005-0000-0000-00009D000000}"/>
    <cellStyle name="Fixed 2 3" xfId="159" xr:uid="{00000000-0005-0000-0000-00009E000000}"/>
    <cellStyle name="Good" xfId="160" builtinId="26" customBuiltin="1"/>
    <cellStyle name="Good 2" xfId="161" xr:uid="{00000000-0005-0000-0000-0000A0000000}"/>
    <cellStyle name="Good 2 2" xfId="162" xr:uid="{00000000-0005-0000-0000-0000A1000000}"/>
    <cellStyle name="Heading 1" xfId="163" builtinId="16" customBuiltin="1"/>
    <cellStyle name="Heading 1 2" xfId="164" xr:uid="{00000000-0005-0000-0000-0000A3000000}"/>
    <cellStyle name="Heading 2" xfId="165" builtinId="17" customBuiltin="1"/>
    <cellStyle name="Heading 2 2" xfId="166" xr:uid="{00000000-0005-0000-0000-0000A5000000}"/>
    <cellStyle name="Heading 3" xfId="167" builtinId="18" customBuiltin="1"/>
    <cellStyle name="Heading 3 2" xfId="168" xr:uid="{00000000-0005-0000-0000-0000A7000000}"/>
    <cellStyle name="Heading 4" xfId="169" builtinId="19" customBuiltin="1"/>
    <cellStyle name="Heading 4 2" xfId="170" xr:uid="{00000000-0005-0000-0000-0000A9000000}"/>
    <cellStyle name="Heading1" xfId="171" xr:uid="{00000000-0005-0000-0000-0000AA000000}"/>
    <cellStyle name="Heading1 2" xfId="172" xr:uid="{00000000-0005-0000-0000-0000AB000000}"/>
    <cellStyle name="Heading1 2 2" xfId="173" xr:uid="{00000000-0005-0000-0000-0000AC000000}"/>
    <cellStyle name="Heading1 2 3" xfId="174" xr:uid="{00000000-0005-0000-0000-0000AD000000}"/>
    <cellStyle name="Heading2" xfId="175" xr:uid="{00000000-0005-0000-0000-0000AE000000}"/>
    <cellStyle name="Heading2 2" xfId="176" xr:uid="{00000000-0005-0000-0000-0000AF000000}"/>
    <cellStyle name="Heading2 2 2" xfId="177" xr:uid="{00000000-0005-0000-0000-0000B0000000}"/>
    <cellStyle name="Heading2 2 3" xfId="178" xr:uid="{00000000-0005-0000-0000-0000B1000000}"/>
    <cellStyle name="Hyperlink 2" xfId="179" xr:uid="{00000000-0005-0000-0000-0000B2000000}"/>
    <cellStyle name="Hyperlink 2 2" xfId="180" xr:uid="{00000000-0005-0000-0000-0000B3000000}"/>
    <cellStyle name="Hyperlink 2 2 2" xfId="181" xr:uid="{00000000-0005-0000-0000-0000B4000000}"/>
    <cellStyle name="Hyperlink 2 2 3" xfId="182" xr:uid="{00000000-0005-0000-0000-0000B5000000}"/>
    <cellStyle name="Hyperlink 2 3" xfId="183" xr:uid="{00000000-0005-0000-0000-0000B6000000}"/>
    <cellStyle name="Hyperlink 2 3 2" xfId="184" xr:uid="{00000000-0005-0000-0000-0000B7000000}"/>
    <cellStyle name="Hyperlink 2 3 2 2" xfId="185" xr:uid="{00000000-0005-0000-0000-0000B8000000}"/>
    <cellStyle name="Hyperlink 2 3 3" xfId="186" xr:uid="{00000000-0005-0000-0000-0000B9000000}"/>
    <cellStyle name="Hyperlink 2 3 4" xfId="187" xr:uid="{00000000-0005-0000-0000-0000BA000000}"/>
    <cellStyle name="Hyperlink 2 4" xfId="188" xr:uid="{00000000-0005-0000-0000-0000BB000000}"/>
    <cellStyle name="Hyperlink 2 5" xfId="189" xr:uid="{00000000-0005-0000-0000-0000BC000000}"/>
    <cellStyle name="Hyperlink 3" xfId="190" xr:uid="{00000000-0005-0000-0000-0000BD000000}"/>
    <cellStyle name="Hyperlink 3 2" xfId="191" xr:uid="{00000000-0005-0000-0000-0000BE000000}"/>
    <cellStyle name="Hyperlink 4" xfId="192" xr:uid="{00000000-0005-0000-0000-0000BF000000}"/>
    <cellStyle name="Hyperlink 4 2" xfId="193" xr:uid="{00000000-0005-0000-0000-0000C0000000}"/>
    <cellStyle name="Input" xfId="194" builtinId="20" customBuiltin="1"/>
    <cellStyle name="Input 2" xfId="195" xr:uid="{00000000-0005-0000-0000-0000C2000000}"/>
    <cellStyle name="Linked Cell" xfId="196" builtinId="24" customBuiltin="1"/>
    <cellStyle name="Linked Cell 2" xfId="197" xr:uid="{00000000-0005-0000-0000-0000C4000000}"/>
    <cellStyle name="Neutral" xfId="198" builtinId="28" customBuiltin="1"/>
    <cellStyle name="Neutral 2" xfId="199" xr:uid="{00000000-0005-0000-0000-0000C6000000}"/>
    <cellStyle name="Normal" xfId="0" builtinId="0"/>
    <cellStyle name="Normal 10" xfId="200" xr:uid="{00000000-0005-0000-0000-0000C8000000}"/>
    <cellStyle name="Normal 10 2" xfId="201" xr:uid="{00000000-0005-0000-0000-0000C9000000}"/>
    <cellStyle name="Normal 100" xfId="202" xr:uid="{00000000-0005-0000-0000-0000CA000000}"/>
    <cellStyle name="Normal 101" xfId="203" xr:uid="{00000000-0005-0000-0000-0000CB000000}"/>
    <cellStyle name="Normal 102" xfId="204" xr:uid="{00000000-0005-0000-0000-0000CC000000}"/>
    <cellStyle name="Normal 103" xfId="205" xr:uid="{00000000-0005-0000-0000-0000CD000000}"/>
    <cellStyle name="Normal 104" xfId="206" xr:uid="{00000000-0005-0000-0000-0000CE000000}"/>
    <cellStyle name="Normal 105" xfId="207" xr:uid="{00000000-0005-0000-0000-0000CF000000}"/>
    <cellStyle name="Normal 106" xfId="208" xr:uid="{00000000-0005-0000-0000-0000D0000000}"/>
    <cellStyle name="Normal 107" xfId="209" xr:uid="{00000000-0005-0000-0000-0000D1000000}"/>
    <cellStyle name="Normal 11" xfId="210" xr:uid="{00000000-0005-0000-0000-0000D2000000}"/>
    <cellStyle name="Normal 11 2" xfId="211" xr:uid="{00000000-0005-0000-0000-0000D3000000}"/>
    <cellStyle name="Normal 12" xfId="212" xr:uid="{00000000-0005-0000-0000-0000D4000000}"/>
    <cellStyle name="Normal 12 2" xfId="213" xr:uid="{00000000-0005-0000-0000-0000D5000000}"/>
    <cellStyle name="Normal 13" xfId="214" xr:uid="{00000000-0005-0000-0000-0000D6000000}"/>
    <cellStyle name="Normal 13 2" xfId="215" xr:uid="{00000000-0005-0000-0000-0000D7000000}"/>
    <cellStyle name="Normal 14" xfId="216" xr:uid="{00000000-0005-0000-0000-0000D8000000}"/>
    <cellStyle name="Normal 14 2" xfId="217" xr:uid="{00000000-0005-0000-0000-0000D9000000}"/>
    <cellStyle name="Normal 15" xfId="218" xr:uid="{00000000-0005-0000-0000-0000DA000000}"/>
    <cellStyle name="Normal 15 2" xfId="219" xr:uid="{00000000-0005-0000-0000-0000DB000000}"/>
    <cellStyle name="Normal 16" xfId="220" xr:uid="{00000000-0005-0000-0000-0000DC000000}"/>
    <cellStyle name="Normal 16 2" xfId="221" xr:uid="{00000000-0005-0000-0000-0000DD000000}"/>
    <cellStyle name="Normal 17" xfId="222" xr:uid="{00000000-0005-0000-0000-0000DE000000}"/>
    <cellStyle name="Normal 17 2" xfId="223" xr:uid="{00000000-0005-0000-0000-0000DF000000}"/>
    <cellStyle name="Normal 18" xfId="224" xr:uid="{00000000-0005-0000-0000-0000E0000000}"/>
    <cellStyle name="Normal 19" xfId="225" xr:uid="{00000000-0005-0000-0000-0000E1000000}"/>
    <cellStyle name="Normal 19 2" xfId="226" xr:uid="{00000000-0005-0000-0000-0000E2000000}"/>
    <cellStyle name="Normal 2" xfId="227" xr:uid="{00000000-0005-0000-0000-0000E3000000}"/>
    <cellStyle name="Normal 2 2" xfId="228" xr:uid="{00000000-0005-0000-0000-0000E4000000}"/>
    <cellStyle name="Normal 2 2 2" xfId="229" xr:uid="{00000000-0005-0000-0000-0000E5000000}"/>
    <cellStyle name="Normal 2 2 2 2" xfId="230" xr:uid="{00000000-0005-0000-0000-0000E6000000}"/>
    <cellStyle name="Normal 2 2 3" xfId="231" xr:uid="{00000000-0005-0000-0000-0000E7000000}"/>
    <cellStyle name="Normal 2 2 3 2" xfId="232" xr:uid="{00000000-0005-0000-0000-0000E8000000}"/>
    <cellStyle name="Normal 2 2 3 3" xfId="233" xr:uid="{00000000-0005-0000-0000-0000E9000000}"/>
    <cellStyle name="Normal 2 2 4" xfId="234" xr:uid="{00000000-0005-0000-0000-0000EA000000}"/>
    <cellStyle name="Normal 2 3" xfId="235" xr:uid="{00000000-0005-0000-0000-0000EB000000}"/>
    <cellStyle name="Normal 2 3 2" xfId="236" xr:uid="{00000000-0005-0000-0000-0000EC000000}"/>
    <cellStyle name="Normal 2 3 2 2" xfId="237" xr:uid="{00000000-0005-0000-0000-0000ED000000}"/>
    <cellStyle name="Normal 2 3 3" xfId="238" xr:uid="{00000000-0005-0000-0000-0000EE000000}"/>
    <cellStyle name="Normal 2 3 4" xfId="239" xr:uid="{00000000-0005-0000-0000-0000EF000000}"/>
    <cellStyle name="Normal 2 4" xfId="240" xr:uid="{00000000-0005-0000-0000-0000F0000000}"/>
    <cellStyle name="Normal 2 4 2" xfId="241" xr:uid="{00000000-0005-0000-0000-0000F1000000}"/>
    <cellStyle name="Normal 2 4 2 2" xfId="242" xr:uid="{00000000-0005-0000-0000-0000F2000000}"/>
    <cellStyle name="Normal 2 4 2 3" xfId="243" xr:uid="{00000000-0005-0000-0000-0000F3000000}"/>
    <cellStyle name="Normal 2 4 3" xfId="244" xr:uid="{00000000-0005-0000-0000-0000F4000000}"/>
    <cellStyle name="Normal 2 4 3 2" xfId="245" xr:uid="{00000000-0005-0000-0000-0000F5000000}"/>
    <cellStyle name="Normal 2 4 4" xfId="246" xr:uid="{00000000-0005-0000-0000-0000F6000000}"/>
    <cellStyle name="Normal 2 41" xfId="247" xr:uid="{00000000-0005-0000-0000-0000F7000000}"/>
    <cellStyle name="Normal 2 5" xfId="248" xr:uid="{00000000-0005-0000-0000-0000F8000000}"/>
    <cellStyle name="Normal 2 6" xfId="249" xr:uid="{00000000-0005-0000-0000-0000F9000000}"/>
    <cellStyle name="Normal 2 7" xfId="250" xr:uid="{00000000-0005-0000-0000-0000FA000000}"/>
    <cellStyle name="Normal 20" xfId="251" xr:uid="{00000000-0005-0000-0000-0000FB000000}"/>
    <cellStyle name="Normal 20 2" xfId="252" xr:uid="{00000000-0005-0000-0000-0000FC000000}"/>
    <cellStyle name="Normal 21" xfId="253" xr:uid="{00000000-0005-0000-0000-0000FD000000}"/>
    <cellStyle name="Normal 21 2" xfId="254" xr:uid="{00000000-0005-0000-0000-0000FE000000}"/>
    <cellStyle name="Normal 22" xfId="255" xr:uid="{00000000-0005-0000-0000-0000FF000000}"/>
    <cellStyle name="Normal 22 2" xfId="256" xr:uid="{00000000-0005-0000-0000-000000010000}"/>
    <cellStyle name="Normal 23" xfId="257" xr:uid="{00000000-0005-0000-0000-000001010000}"/>
    <cellStyle name="Normal 24" xfId="258" xr:uid="{00000000-0005-0000-0000-000002010000}"/>
    <cellStyle name="Normal 25" xfId="259" xr:uid="{00000000-0005-0000-0000-000003010000}"/>
    <cellStyle name="Normal 25 2" xfId="260" xr:uid="{00000000-0005-0000-0000-000004010000}"/>
    <cellStyle name="Normal 26" xfId="261" xr:uid="{00000000-0005-0000-0000-000005010000}"/>
    <cellStyle name="Normal 26 2" xfId="262" xr:uid="{00000000-0005-0000-0000-000006010000}"/>
    <cellStyle name="Normal 27" xfId="263" xr:uid="{00000000-0005-0000-0000-000007010000}"/>
    <cellStyle name="Normal 28" xfId="264" xr:uid="{00000000-0005-0000-0000-000008010000}"/>
    <cellStyle name="Normal 28 2" xfId="265" xr:uid="{00000000-0005-0000-0000-000009010000}"/>
    <cellStyle name="Normal 29" xfId="266" xr:uid="{00000000-0005-0000-0000-00000A010000}"/>
    <cellStyle name="Normal 29 2" xfId="267" xr:uid="{00000000-0005-0000-0000-00000B010000}"/>
    <cellStyle name="Normal 3" xfId="268" xr:uid="{00000000-0005-0000-0000-00000C010000}"/>
    <cellStyle name="Normal 3 2" xfId="269" xr:uid="{00000000-0005-0000-0000-00000D010000}"/>
    <cellStyle name="Normal 3 2 2" xfId="270" xr:uid="{00000000-0005-0000-0000-00000E010000}"/>
    <cellStyle name="Normal 3 2 2 2" xfId="271" xr:uid="{00000000-0005-0000-0000-00000F010000}"/>
    <cellStyle name="Normal 3 2 3" xfId="272" xr:uid="{00000000-0005-0000-0000-000010010000}"/>
    <cellStyle name="Normal 3 2 3 2" xfId="273" xr:uid="{00000000-0005-0000-0000-000011010000}"/>
    <cellStyle name="Normal 3 2 4" xfId="274" xr:uid="{00000000-0005-0000-0000-000012010000}"/>
    <cellStyle name="Normal 3 2 4 2" xfId="275" xr:uid="{00000000-0005-0000-0000-000013010000}"/>
    <cellStyle name="Normal 3 2 5" xfId="276" xr:uid="{00000000-0005-0000-0000-000014010000}"/>
    <cellStyle name="Normal 3 2 5 2" xfId="277" xr:uid="{00000000-0005-0000-0000-000015010000}"/>
    <cellStyle name="Normal 3 2 6" xfId="278" xr:uid="{00000000-0005-0000-0000-000016010000}"/>
    <cellStyle name="Normal 3 2 6 2" xfId="279" xr:uid="{00000000-0005-0000-0000-000017010000}"/>
    <cellStyle name="Normal 3 2 7" xfId="280" xr:uid="{00000000-0005-0000-0000-000018010000}"/>
    <cellStyle name="Normal 3 2 8" xfId="281" xr:uid="{00000000-0005-0000-0000-000019010000}"/>
    <cellStyle name="Normal 3 3" xfId="282" xr:uid="{00000000-0005-0000-0000-00001A010000}"/>
    <cellStyle name="Normal 3 3 2" xfId="283" xr:uid="{00000000-0005-0000-0000-00001B010000}"/>
    <cellStyle name="Normal 3 3 2 2" xfId="284" xr:uid="{00000000-0005-0000-0000-00001C010000}"/>
    <cellStyle name="Normal 3 3 3" xfId="285" xr:uid="{00000000-0005-0000-0000-00001D010000}"/>
    <cellStyle name="Normal 3 4" xfId="286" xr:uid="{00000000-0005-0000-0000-00001E010000}"/>
    <cellStyle name="Normal 3 4 2" xfId="287" xr:uid="{00000000-0005-0000-0000-00001F010000}"/>
    <cellStyle name="Normal 3 5" xfId="288" xr:uid="{00000000-0005-0000-0000-000020010000}"/>
    <cellStyle name="Normal 3 5 2" xfId="289" xr:uid="{00000000-0005-0000-0000-000021010000}"/>
    <cellStyle name="Normal 3 5 3" xfId="290" xr:uid="{00000000-0005-0000-0000-000022010000}"/>
    <cellStyle name="Normal 3 5 4" xfId="291" xr:uid="{00000000-0005-0000-0000-000023010000}"/>
    <cellStyle name="Normal 3 5 5" xfId="292" xr:uid="{00000000-0005-0000-0000-000024010000}"/>
    <cellStyle name="Normal 30" xfId="293" xr:uid="{00000000-0005-0000-0000-000025010000}"/>
    <cellStyle name="Normal 30 2" xfId="294" xr:uid="{00000000-0005-0000-0000-000026010000}"/>
    <cellStyle name="Normal 31" xfId="295" xr:uid="{00000000-0005-0000-0000-000027010000}"/>
    <cellStyle name="Normal 32" xfId="296" xr:uid="{00000000-0005-0000-0000-000028010000}"/>
    <cellStyle name="Normal 32 2" xfId="297" xr:uid="{00000000-0005-0000-0000-000029010000}"/>
    <cellStyle name="Normal 33" xfId="298" xr:uid="{00000000-0005-0000-0000-00002A010000}"/>
    <cellStyle name="Normal 33 2" xfId="299" xr:uid="{00000000-0005-0000-0000-00002B010000}"/>
    <cellStyle name="Normal 34" xfId="300" xr:uid="{00000000-0005-0000-0000-00002C010000}"/>
    <cellStyle name="Normal 34 2" xfId="301" xr:uid="{00000000-0005-0000-0000-00002D010000}"/>
    <cellStyle name="Normal 35" xfId="302" xr:uid="{00000000-0005-0000-0000-00002E010000}"/>
    <cellStyle name="Normal 35 2" xfId="303" xr:uid="{00000000-0005-0000-0000-00002F010000}"/>
    <cellStyle name="Normal 36" xfId="304" xr:uid="{00000000-0005-0000-0000-000030010000}"/>
    <cellStyle name="Normal 36 2" xfId="305" xr:uid="{00000000-0005-0000-0000-000031010000}"/>
    <cellStyle name="Normal 37" xfId="306" xr:uid="{00000000-0005-0000-0000-000032010000}"/>
    <cellStyle name="Normal 38" xfId="307" xr:uid="{00000000-0005-0000-0000-000033010000}"/>
    <cellStyle name="Normal 38 2" xfId="308" xr:uid="{00000000-0005-0000-0000-000034010000}"/>
    <cellStyle name="Normal 39" xfId="309" xr:uid="{00000000-0005-0000-0000-000035010000}"/>
    <cellStyle name="Normal 39 2" xfId="310" xr:uid="{00000000-0005-0000-0000-000036010000}"/>
    <cellStyle name="Normal 4" xfId="311" xr:uid="{00000000-0005-0000-0000-000037010000}"/>
    <cellStyle name="Normal 4 2" xfId="312" xr:uid="{00000000-0005-0000-0000-000038010000}"/>
    <cellStyle name="Normal 4 2 2" xfId="313" xr:uid="{00000000-0005-0000-0000-000039010000}"/>
    <cellStyle name="Normal 4 3" xfId="314" xr:uid="{00000000-0005-0000-0000-00003A010000}"/>
    <cellStyle name="Normal 4 3 2" xfId="315" xr:uid="{00000000-0005-0000-0000-00003B010000}"/>
    <cellStyle name="Normal 4 3 2 2" xfId="316" xr:uid="{00000000-0005-0000-0000-00003C010000}"/>
    <cellStyle name="Normal 4 3 3" xfId="317" xr:uid="{00000000-0005-0000-0000-00003D010000}"/>
    <cellStyle name="Normal 4 3 4" xfId="318" xr:uid="{00000000-0005-0000-0000-00003E010000}"/>
    <cellStyle name="Normal 4 4" xfId="319" xr:uid="{00000000-0005-0000-0000-00003F010000}"/>
    <cellStyle name="Normal 4 4 2" xfId="320" xr:uid="{00000000-0005-0000-0000-000040010000}"/>
    <cellStyle name="Normal 4 4 3" xfId="321" xr:uid="{00000000-0005-0000-0000-000041010000}"/>
    <cellStyle name="Normal 4 5" xfId="322" xr:uid="{00000000-0005-0000-0000-000042010000}"/>
    <cellStyle name="Normal 4 6" xfId="323" xr:uid="{00000000-0005-0000-0000-000043010000}"/>
    <cellStyle name="Normal 40" xfId="324" xr:uid="{00000000-0005-0000-0000-000044010000}"/>
    <cellStyle name="Normal 40 2" xfId="325" xr:uid="{00000000-0005-0000-0000-000045010000}"/>
    <cellStyle name="Normal 41" xfId="326" xr:uid="{00000000-0005-0000-0000-000046010000}"/>
    <cellStyle name="Normal 41 2" xfId="327" xr:uid="{00000000-0005-0000-0000-000047010000}"/>
    <cellStyle name="Normal 42" xfId="328" xr:uid="{00000000-0005-0000-0000-000048010000}"/>
    <cellStyle name="Normal 42 2" xfId="329" xr:uid="{00000000-0005-0000-0000-000049010000}"/>
    <cellStyle name="Normal 43" xfId="330" xr:uid="{00000000-0005-0000-0000-00004A010000}"/>
    <cellStyle name="Normal 43 2" xfId="331" xr:uid="{00000000-0005-0000-0000-00004B010000}"/>
    <cellStyle name="Normal 44" xfId="332" xr:uid="{00000000-0005-0000-0000-00004C010000}"/>
    <cellStyle name="Normal 44 2" xfId="333" xr:uid="{00000000-0005-0000-0000-00004D010000}"/>
    <cellStyle name="Normal 45" xfId="334" xr:uid="{00000000-0005-0000-0000-00004E010000}"/>
    <cellStyle name="Normal 45 2" xfId="335" xr:uid="{00000000-0005-0000-0000-00004F010000}"/>
    <cellStyle name="Normal 46" xfId="336" xr:uid="{00000000-0005-0000-0000-000050010000}"/>
    <cellStyle name="Normal 47" xfId="337" xr:uid="{00000000-0005-0000-0000-000051010000}"/>
    <cellStyle name="Normal 47 2" xfId="338" xr:uid="{00000000-0005-0000-0000-000052010000}"/>
    <cellStyle name="Normal 48" xfId="339" xr:uid="{00000000-0005-0000-0000-000053010000}"/>
    <cellStyle name="Normal 48 2" xfId="340" xr:uid="{00000000-0005-0000-0000-000054010000}"/>
    <cellStyle name="Normal 49" xfId="341" xr:uid="{00000000-0005-0000-0000-000055010000}"/>
    <cellStyle name="Normal 49 2" xfId="342" xr:uid="{00000000-0005-0000-0000-000056010000}"/>
    <cellStyle name="Normal 5" xfId="343" xr:uid="{00000000-0005-0000-0000-000057010000}"/>
    <cellStyle name="Normal 5 2" xfId="344" xr:uid="{00000000-0005-0000-0000-000058010000}"/>
    <cellStyle name="Normal 5 2 2" xfId="345" xr:uid="{00000000-0005-0000-0000-000059010000}"/>
    <cellStyle name="Normal 5 2 2 2" xfId="346" xr:uid="{00000000-0005-0000-0000-00005A010000}"/>
    <cellStyle name="Normal 5 2 3" xfId="347" xr:uid="{00000000-0005-0000-0000-00005B010000}"/>
    <cellStyle name="Normal 5 2 4" xfId="348" xr:uid="{00000000-0005-0000-0000-00005C010000}"/>
    <cellStyle name="Normal 5 3" xfId="349" xr:uid="{00000000-0005-0000-0000-00005D010000}"/>
    <cellStyle name="Normal 5 3 2" xfId="350" xr:uid="{00000000-0005-0000-0000-00005E010000}"/>
    <cellStyle name="Normal 5 3 3" xfId="351" xr:uid="{00000000-0005-0000-0000-00005F010000}"/>
    <cellStyle name="Normal 5 4" xfId="352" xr:uid="{00000000-0005-0000-0000-000060010000}"/>
    <cellStyle name="Normal 5 5" xfId="353" xr:uid="{00000000-0005-0000-0000-000061010000}"/>
    <cellStyle name="Normal 5 6" xfId="354" xr:uid="{00000000-0005-0000-0000-000062010000}"/>
    <cellStyle name="Normal 50" xfId="355" xr:uid="{00000000-0005-0000-0000-000063010000}"/>
    <cellStyle name="Normal 50 2" xfId="356" xr:uid="{00000000-0005-0000-0000-000064010000}"/>
    <cellStyle name="Normal 51" xfId="357" xr:uid="{00000000-0005-0000-0000-000065010000}"/>
    <cellStyle name="Normal 51 2" xfId="358" xr:uid="{00000000-0005-0000-0000-000066010000}"/>
    <cellStyle name="Normal 52" xfId="359" xr:uid="{00000000-0005-0000-0000-000067010000}"/>
    <cellStyle name="Normal 52 2" xfId="360" xr:uid="{00000000-0005-0000-0000-000068010000}"/>
    <cellStyle name="Normal 53" xfId="361" xr:uid="{00000000-0005-0000-0000-000069010000}"/>
    <cellStyle name="Normal 54" xfId="362" xr:uid="{00000000-0005-0000-0000-00006A010000}"/>
    <cellStyle name="Normal 54 2" xfId="363" xr:uid="{00000000-0005-0000-0000-00006B010000}"/>
    <cellStyle name="Normal 55" xfId="364" xr:uid="{00000000-0005-0000-0000-00006C010000}"/>
    <cellStyle name="Normal 55 2" xfId="365" xr:uid="{00000000-0005-0000-0000-00006D010000}"/>
    <cellStyle name="Normal 56" xfId="366" xr:uid="{00000000-0005-0000-0000-00006E010000}"/>
    <cellStyle name="Normal 56 2" xfId="367" xr:uid="{00000000-0005-0000-0000-00006F010000}"/>
    <cellStyle name="Normal 57" xfId="368" xr:uid="{00000000-0005-0000-0000-000070010000}"/>
    <cellStyle name="Normal 57 2" xfId="369" xr:uid="{00000000-0005-0000-0000-000071010000}"/>
    <cellStyle name="Normal 58" xfId="370" xr:uid="{00000000-0005-0000-0000-000072010000}"/>
    <cellStyle name="Normal 58 2" xfId="371" xr:uid="{00000000-0005-0000-0000-000073010000}"/>
    <cellStyle name="Normal 59" xfId="372" xr:uid="{00000000-0005-0000-0000-000074010000}"/>
    <cellStyle name="Normal 6" xfId="373" xr:uid="{00000000-0005-0000-0000-000075010000}"/>
    <cellStyle name="Normal 6 2" xfId="374" xr:uid="{00000000-0005-0000-0000-000076010000}"/>
    <cellStyle name="Normal 6 2 2" xfId="375" xr:uid="{00000000-0005-0000-0000-000077010000}"/>
    <cellStyle name="Normal 6 2 2 2" xfId="376" xr:uid="{00000000-0005-0000-0000-000078010000}"/>
    <cellStyle name="Normal 6 2 3" xfId="377" xr:uid="{00000000-0005-0000-0000-000079010000}"/>
    <cellStyle name="Normal 6 2 4" xfId="378" xr:uid="{00000000-0005-0000-0000-00007A010000}"/>
    <cellStyle name="Normal 6 3" xfId="379" xr:uid="{00000000-0005-0000-0000-00007B010000}"/>
    <cellStyle name="Normal 6 3 2" xfId="380" xr:uid="{00000000-0005-0000-0000-00007C010000}"/>
    <cellStyle name="Normal 6 4" xfId="381" xr:uid="{00000000-0005-0000-0000-00007D010000}"/>
    <cellStyle name="Normal 6 5" xfId="382" xr:uid="{00000000-0005-0000-0000-00007E010000}"/>
    <cellStyle name="Normal 60" xfId="383" xr:uid="{00000000-0005-0000-0000-00007F010000}"/>
    <cellStyle name="Normal 60 2" xfId="384" xr:uid="{00000000-0005-0000-0000-000080010000}"/>
    <cellStyle name="Normal 61" xfId="385" xr:uid="{00000000-0005-0000-0000-000081010000}"/>
    <cellStyle name="Normal 61 2" xfId="386" xr:uid="{00000000-0005-0000-0000-000082010000}"/>
    <cellStyle name="Normal 62" xfId="387" xr:uid="{00000000-0005-0000-0000-000083010000}"/>
    <cellStyle name="Normal 62 2" xfId="388" xr:uid="{00000000-0005-0000-0000-000084010000}"/>
    <cellStyle name="Normal 63" xfId="389" xr:uid="{00000000-0005-0000-0000-000085010000}"/>
    <cellStyle name="Normal 63 2" xfId="390" xr:uid="{00000000-0005-0000-0000-000086010000}"/>
    <cellStyle name="Normal 64" xfId="391" xr:uid="{00000000-0005-0000-0000-000087010000}"/>
    <cellStyle name="Normal 64 2" xfId="392" xr:uid="{00000000-0005-0000-0000-000088010000}"/>
    <cellStyle name="Normal 65" xfId="393" xr:uid="{00000000-0005-0000-0000-000089010000}"/>
    <cellStyle name="Normal 65 2" xfId="394" xr:uid="{00000000-0005-0000-0000-00008A010000}"/>
    <cellStyle name="Normal 66" xfId="395" xr:uid="{00000000-0005-0000-0000-00008B010000}"/>
    <cellStyle name="Normal 66 2" xfId="396" xr:uid="{00000000-0005-0000-0000-00008C010000}"/>
    <cellStyle name="Normal 67" xfId="397" xr:uid="{00000000-0005-0000-0000-00008D010000}"/>
    <cellStyle name="Normal 68" xfId="398" xr:uid="{00000000-0005-0000-0000-00008E010000}"/>
    <cellStyle name="Normal 69" xfId="399" xr:uid="{00000000-0005-0000-0000-00008F010000}"/>
    <cellStyle name="Normal 7" xfId="400" xr:uid="{00000000-0005-0000-0000-000090010000}"/>
    <cellStyle name="Normal 7 2" xfId="401" xr:uid="{00000000-0005-0000-0000-000091010000}"/>
    <cellStyle name="Normal 7 2 2" xfId="402" xr:uid="{00000000-0005-0000-0000-000092010000}"/>
    <cellStyle name="Normal 7 3" xfId="403" xr:uid="{00000000-0005-0000-0000-000093010000}"/>
    <cellStyle name="Normal 7 3 2" xfId="404" xr:uid="{00000000-0005-0000-0000-000094010000}"/>
    <cellStyle name="Normal 7 4" xfId="405" xr:uid="{00000000-0005-0000-0000-000095010000}"/>
    <cellStyle name="Normal 70" xfId="406" xr:uid="{00000000-0005-0000-0000-000096010000}"/>
    <cellStyle name="Normal 71" xfId="407" xr:uid="{00000000-0005-0000-0000-000097010000}"/>
    <cellStyle name="Normal 72" xfId="408" xr:uid="{00000000-0005-0000-0000-000098010000}"/>
    <cellStyle name="Normal 73" xfId="409" xr:uid="{00000000-0005-0000-0000-000099010000}"/>
    <cellStyle name="Normal 74" xfId="410" xr:uid="{00000000-0005-0000-0000-00009A010000}"/>
    <cellStyle name="Normal 75" xfId="411" xr:uid="{00000000-0005-0000-0000-00009B010000}"/>
    <cellStyle name="Normal 76" xfId="412" xr:uid="{00000000-0005-0000-0000-00009C010000}"/>
    <cellStyle name="Normal 77" xfId="413" xr:uid="{00000000-0005-0000-0000-00009D010000}"/>
    <cellStyle name="Normal 78" xfId="414" xr:uid="{00000000-0005-0000-0000-00009E010000}"/>
    <cellStyle name="Normal 79" xfId="415" xr:uid="{00000000-0005-0000-0000-00009F010000}"/>
    <cellStyle name="Normal 8" xfId="416" xr:uid="{00000000-0005-0000-0000-0000A0010000}"/>
    <cellStyle name="Normal 8 2" xfId="417" xr:uid="{00000000-0005-0000-0000-0000A1010000}"/>
    <cellStyle name="Normal 8 2 2" xfId="418" xr:uid="{00000000-0005-0000-0000-0000A2010000}"/>
    <cellStyle name="Normal 8 3" xfId="419" xr:uid="{00000000-0005-0000-0000-0000A3010000}"/>
    <cellStyle name="Normal 80" xfId="420" xr:uid="{00000000-0005-0000-0000-0000A4010000}"/>
    <cellStyle name="Normal 81" xfId="421" xr:uid="{00000000-0005-0000-0000-0000A5010000}"/>
    <cellStyle name="Normal 82" xfId="422" xr:uid="{00000000-0005-0000-0000-0000A6010000}"/>
    <cellStyle name="Normal 83" xfId="423" xr:uid="{00000000-0005-0000-0000-0000A7010000}"/>
    <cellStyle name="Normal 84" xfId="424" xr:uid="{00000000-0005-0000-0000-0000A8010000}"/>
    <cellStyle name="Normal 85" xfId="425" xr:uid="{00000000-0005-0000-0000-0000A9010000}"/>
    <cellStyle name="Normal 86" xfId="426" xr:uid="{00000000-0005-0000-0000-0000AA010000}"/>
    <cellStyle name="Normal 87" xfId="427" xr:uid="{00000000-0005-0000-0000-0000AB010000}"/>
    <cellStyle name="Normal 88" xfId="428" xr:uid="{00000000-0005-0000-0000-0000AC010000}"/>
    <cellStyle name="Normal 89" xfId="429" xr:uid="{00000000-0005-0000-0000-0000AD010000}"/>
    <cellStyle name="Normal 9" xfId="430" xr:uid="{00000000-0005-0000-0000-0000AE010000}"/>
    <cellStyle name="Normal 9 2" xfId="431" xr:uid="{00000000-0005-0000-0000-0000AF010000}"/>
    <cellStyle name="Normal 9 3" xfId="432" xr:uid="{00000000-0005-0000-0000-0000B0010000}"/>
    <cellStyle name="Normal 90" xfId="433" xr:uid="{00000000-0005-0000-0000-0000B1010000}"/>
    <cellStyle name="Normal 91" xfId="434" xr:uid="{00000000-0005-0000-0000-0000B2010000}"/>
    <cellStyle name="Normal 92" xfId="435" xr:uid="{00000000-0005-0000-0000-0000B3010000}"/>
    <cellStyle name="Normal 93" xfId="436" xr:uid="{00000000-0005-0000-0000-0000B4010000}"/>
    <cellStyle name="Normal 94" xfId="437" xr:uid="{00000000-0005-0000-0000-0000B5010000}"/>
    <cellStyle name="Normal 95" xfId="438" xr:uid="{00000000-0005-0000-0000-0000B6010000}"/>
    <cellStyle name="Normal 96" xfId="439" xr:uid="{00000000-0005-0000-0000-0000B7010000}"/>
    <cellStyle name="Normal 97" xfId="440" xr:uid="{00000000-0005-0000-0000-0000B8010000}"/>
    <cellStyle name="Normal 98" xfId="441" xr:uid="{00000000-0005-0000-0000-0000B9010000}"/>
    <cellStyle name="Normal 99" xfId="442" xr:uid="{00000000-0005-0000-0000-0000BA010000}"/>
    <cellStyle name="Normale_B2020" xfId="443" xr:uid="{00000000-0005-0000-0000-0000BC010000}"/>
    <cellStyle name="Note" xfId="444" builtinId="10" customBuiltin="1"/>
    <cellStyle name="Note 2" xfId="445" xr:uid="{00000000-0005-0000-0000-0000BF010000}"/>
    <cellStyle name="Note 2 2" xfId="446" xr:uid="{00000000-0005-0000-0000-0000C0010000}"/>
    <cellStyle name="Note 2 3" xfId="447" xr:uid="{00000000-0005-0000-0000-0000C1010000}"/>
    <cellStyle name="Note 3" xfId="448" xr:uid="{00000000-0005-0000-0000-0000C2010000}"/>
    <cellStyle name="Note 4" xfId="449" xr:uid="{00000000-0005-0000-0000-0000C3010000}"/>
    <cellStyle name="Output" xfId="450" builtinId="21" customBuiltin="1"/>
    <cellStyle name="Output 2" xfId="451" xr:uid="{00000000-0005-0000-0000-0000C5010000}"/>
    <cellStyle name="Percent 10" xfId="452" xr:uid="{00000000-0005-0000-0000-0000C6010000}"/>
    <cellStyle name="Percent 11" xfId="453" xr:uid="{00000000-0005-0000-0000-0000C7010000}"/>
    <cellStyle name="Percent 11 2" xfId="454" xr:uid="{00000000-0005-0000-0000-0000C8010000}"/>
    <cellStyle name="Percent 12" xfId="455" xr:uid="{00000000-0005-0000-0000-0000C9010000}"/>
    <cellStyle name="Percent 12 2" xfId="456" xr:uid="{00000000-0005-0000-0000-0000CA010000}"/>
    <cellStyle name="Percent 13" xfId="457" xr:uid="{00000000-0005-0000-0000-0000CB010000}"/>
    <cellStyle name="Percent 13 2" xfId="458" xr:uid="{00000000-0005-0000-0000-0000CC010000}"/>
    <cellStyle name="Percent 14" xfId="459" xr:uid="{00000000-0005-0000-0000-0000CD010000}"/>
    <cellStyle name="Percent 14 2" xfId="460" xr:uid="{00000000-0005-0000-0000-0000CE010000}"/>
    <cellStyle name="Percent 15" xfId="461" xr:uid="{00000000-0005-0000-0000-0000CF010000}"/>
    <cellStyle name="Percent 15 2" xfId="462" xr:uid="{00000000-0005-0000-0000-0000D0010000}"/>
    <cellStyle name="Percent 16" xfId="463" xr:uid="{00000000-0005-0000-0000-0000D1010000}"/>
    <cellStyle name="Percent 16 2" xfId="464" xr:uid="{00000000-0005-0000-0000-0000D2010000}"/>
    <cellStyle name="Percent 17" xfId="465" xr:uid="{00000000-0005-0000-0000-0000D3010000}"/>
    <cellStyle name="Percent 17 2" xfId="466" xr:uid="{00000000-0005-0000-0000-0000D4010000}"/>
    <cellStyle name="Percent 18" xfId="467" xr:uid="{00000000-0005-0000-0000-0000D5010000}"/>
    <cellStyle name="Percent 18 2" xfId="468" xr:uid="{00000000-0005-0000-0000-0000D6010000}"/>
    <cellStyle name="Percent 19" xfId="469" xr:uid="{00000000-0005-0000-0000-0000D7010000}"/>
    <cellStyle name="Percent 19 2" xfId="470" xr:uid="{00000000-0005-0000-0000-0000D8010000}"/>
    <cellStyle name="Percent 2" xfId="471" xr:uid="{00000000-0005-0000-0000-0000D9010000}"/>
    <cellStyle name="Percent 2 2" xfId="472" xr:uid="{00000000-0005-0000-0000-0000DA010000}"/>
    <cellStyle name="Percent 2 2 2" xfId="473" xr:uid="{00000000-0005-0000-0000-0000DB010000}"/>
    <cellStyle name="Percent 2 2 2 2" xfId="474" xr:uid="{00000000-0005-0000-0000-0000DC010000}"/>
    <cellStyle name="Percent 2 2 3" xfId="475" xr:uid="{00000000-0005-0000-0000-0000DD010000}"/>
    <cellStyle name="Percent 2 2 3 2" xfId="476" xr:uid="{00000000-0005-0000-0000-0000DE010000}"/>
    <cellStyle name="Percent 2 3" xfId="477" xr:uid="{00000000-0005-0000-0000-0000DF010000}"/>
    <cellStyle name="Percent 2 4" xfId="478" xr:uid="{00000000-0005-0000-0000-0000E0010000}"/>
    <cellStyle name="Percent 2 5" xfId="479" xr:uid="{00000000-0005-0000-0000-0000E1010000}"/>
    <cellStyle name="Percent 20" xfId="480" xr:uid="{00000000-0005-0000-0000-0000E2010000}"/>
    <cellStyle name="Percent 20 2" xfId="481" xr:uid="{00000000-0005-0000-0000-0000E3010000}"/>
    <cellStyle name="Percent 21" xfId="482" xr:uid="{00000000-0005-0000-0000-0000E4010000}"/>
    <cellStyle name="Percent 21 2" xfId="483" xr:uid="{00000000-0005-0000-0000-0000E5010000}"/>
    <cellStyle name="Percent 22" xfId="484" xr:uid="{00000000-0005-0000-0000-0000E6010000}"/>
    <cellStyle name="Percent 22 2" xfId="485" xr:uid="{00000000-0005-0000-0000-0000E7010000}"/>
    <cellStyle name="Percent 23" xfId="486" xr:uid="{00000000-0005-0000-0000-0000E8010000}"/>
    <cellStyle name="Percent 23 2" xfId="487" xr:uid="{00000000-0005-0000-0000-0000E9010000}"/>
    <cellStyle name="Percent 24" xfId="488" xr:uid="{00000000-0005-0000-0000-0000EA010000}"/>
    <cellStyle name="Percent 24 2" xfId="489" xr:uid="{00000000-0005-0000-0000-0000EB010000}"/>
    <cellStyle name="Percent 25" xfId="490" xr:uid="{00000000-0005-0000-0000-0000EC010000}"/>
    <cellStyle name="Percent 25 2" xfId="491" xr:uid="{00000000-0005-0000-0000-0000ED010000}"/>
    <cellStyle name="Percent 26" xfId="492" xr:uid="{00000000-0005-0000-0000-0000EE010000}"/>
    <cellStyle name="Percent 26 2" xfId="493" xr:uid="{00000000-0005-0000-0000-0000EF010000}"/>
    <cellStyle name="Percent 27" xfId="494" xr:uid="{00000000-0005-0000-0000-0000F0010000}"/>
    <cellStyle name="Percent 27 2" xfId="495" xr:uid="{00000000-0005-0000-0000-0000F1010000}"/>
    <cellStyle name="Percent 28" xfId="496" xr:uid="{00000000-0005-0000-0000-0000F2010000}"/>
    <cellStyle name="Percent 28 2" xfId="497" xr:uid="{00000000-0005-0000-0000-0000F3010000}"/>
    <cellStyle name="Percent 29" xfId="498" xr:uid="{00000000-0005-0000-0000-0000F4010000}"/>
    <cellStyle name="Percent 29 2" xfId="499" xr:uid="{00000000-0005-0000-0000-0000F5010000}"/>
    <cellStyle name="Percent 3" xfId="500" xr:uid="{00000000-0005-0000-0000-0000F6010000}"/>
    <cellStyle name="Percent 3 2" xfId="501" xr:uid="{00000000-0005-0000-0000-0000F7010000}"/>
    <cellStyle name="Percent 3 2 2" xfId="502" xr:uid="{00000000-0005-0000-0000-0000F8010000}"/>
    <cellStyle name="Percent 3 2 2 2" xfId="503" xr:uid="{00000000-0005-0000-0000-0000F9010000}"/>
    <cellStyle name="Percent 3 2 2 3" xfId="504" xr:uid="{00000000-0005-0000-0000-0000FA010000}"/>
    <cellStyle name="Percent 3 2 3" xfId="505" xr:uid="{00000000-0005-0000-0000-0000FB010000}"/>
    <cellStyle name="Percent 3 2 3 2" xfId="506" xr:uid="{00000000-0005-0000-0000-0000FC010000}"/>
    <cellStyle name="Percent 3 3" xfId="507" xr:uid="{00000000-0005-0000-0000-0000FD010000}"/>
    <cellStyle name="Percent 3 3 2" xfId="508" xr:uid="{00000000-0005-0000-0000-0000FE010000}"/>
    <cellStyle name="Percent 3 3 3" xfId="509" xr:uid="{00000000-0005-0000-0000-0000FF010000}"/>
    <cellStyle name="Percent 3 4" xfId="510" xr:uid="{00000000-0005-0000-0000-000000020000}"/>
    <cellStyle name="Percent 3 4 2" xfId="511" xr:uid="{00000000-0005-0000-0000-000001020000}"/>
    <cellStyle name="Percent 3 4 3" xfId="512" xr:uid="{00000000-0005-0000-0000-000002020000}"/>
    <cellStyle name="Percent 30" xfId="513" xr:uid="{00000000-0005-0000-0000-000003020000}"/>
    <cellStyle name="Percent 30 2" xfId="514" xr:uid="{00000000-0005-0000-0000-000004020000}"/>
    <cellStyle name="Percent 31" xfId="515" xr:uid="{00000000-0005-0000-0000-000005020000}"/>
    <cellStyle name="Percent 32" xfId="516" xr:uid="{00000000-0005-0000-0000-000006020000}"/>
    <cellStyle name="Percent 33" xfId="517" xr:uid="{00000000-0005-0000-0000-000007020000}"/>
    <cellStyle name="Percent 34" xfId="518" xr:uid="{00000000-0005-0000-0000-000008020000}"/>
    <cellStyle name="Percent 35" xfId="519" xr:uid="{00000000-0005-0000-0000-000009020000}"/>
    <cellStyle name="Percent 36" xfId="520" xr:uid="{00000000-0005-0000-0000-00000A020000}"/>
    <cellStyle name="Percent 37" xfId="521" xr:uid="{00000000-0005-0000-0000-00000B020000}"/>
    <cellStyle name="Percent 4" xfId="522" xr:uid="{00000000-0005-0000-0000-00000C020000}"/>
    <cellStyle name="Percent 4 2" xfId="523" xr:uid="{00000000-0005-0000-0000-00000D020000}"/>
    <cellStyle name="Percent 4 2 2" xfId="524" xr:uid="{00000000-0005-0000-0000-00000E020000}"/>
    <cellStyle name="Percent 4 3" xfId="525" xr:uid="{00000000-0005-0000-0000-00000F020000}"/>
    <cellStyle name="Percent 40" xfId="526" xr:uid="{00000000-0005-0000-0000-000010020000}"/>
    <cellStyle name="Percent 41" xfId="527" xr:uid="{00000000-0005-0000-0000-000011020000}"/>
    <cellStyle name="Percent 42" xfId="528" xr:uid="{00000000-0005-0000-0000-000012020000}"/>
    <cellStyle name="Percent 43" xfId="529" xr:uid="{00000000-0005-0000-0000-000013020000}"/>
    <cellStyle name="Percent 44" xfId="530" xr:uid="{00000000-0005-0000-0000-000014020000}"/>
    <cellStyle name="Percent 45" xfId="531" xr:uid="{00000000-0005-0000-0000-000015020000}"/>
    <cellStyle name="Percent 46" xfId="532" xr:uid="{00000000-0005-0000-0000-000016020000}"/>
    <cellStyle name="Percent 47" xfId="533" xr:uid="{00000000-0005-0000-0000-000017020000}"/>
    <cellStyle name="Percent 48" xfId="534" xr:uid="{00000000-0005-0000-0000-000018020000}"/>
    <cellStyle name="Percent 49" xfId="535" xr:uid="{00000000-0005-0000-0000-000019020000}"/>
    <cellStyle name="Percent 5" xfId="536" xr:uid="{00000000-0005-0000-0000-00001A020000}"/>
    <cellStyle name="Percent 5 2" xfId="537" xr:uid="{00000000-0005-0000-0000-00001B020000}"/>
    <cellStyle name="Percent 5 3" xfId="538" xr:uid="{00000000-0005-0000-0000-00001C020000}"/>
    <cellStyle name="Percent 5 3 2" xfId="539" xr:uid="{00000000-0005-0000-0000-00001D020000}"/>
    <cellStyle name="Percent 50" xfId="540" xr:uid="{00000000-0005-0000-0000-00001E020000}"/>
    <cellStyle name="Percent 51" xfId="541" xr:uid="{00000000-0005-0000-0000-00001F020000}"/>
    <cellStyle name="Percent 52" xfId="542" xr:uid="{00000000-0005-0000-0000-000020020000}"/>
    <cellStyle name="Percent 53" xfId="543" xr:uid="{00000000-0005-0000-0000-000021020000}"/>
    <cellStyle name="Percent 54" xfId="544" xr:uid="{00000000-0005-0000-0000-000022020000}"/>
    <cellStyle name="Percent 55" xfId="545" xr:uid="{00000000-0005-0000-0000-000023020000}"/>
    <cellStyle name="Percent 56" xfId="546" xr:uid="{00000000-0005-0000-0000-000024020000}"/>
    <cellStyle name="Percent 57" xfId="547" xr:uid="{00000000-0005-0000-0000-000025020000}"/>
    <cellStyle name="Percent 58" xfId="548" xr:uid="{00000000-0005-0000-0000-000026020000}"/>
    <cellStyle name="Percent 59" xfId="549" xr:uid="{00000000-0005-0000-0000-000027020000}"/>
    <cellStyle name="Percent 6" xfId="550" xr:uid="{00000000-0005-0000-0000-000028020000}"/>
    <cellStyle name="Percent 6 2" xfId="551" xr:uid="{00000000-0005-0000-0000-000029020000}"/>
    <cellStyle name="Percent 6 3" xfId="552" xr:uid="{00000000-0005-0000-0000-00002A020000}"/>
    <cellStyle name="Percent 60" xfId="553" xr:uid="{00000000-0005-0000-0000-00002B020000}"/>
    <cellStyle name="Percent 61" xfId="554" xr:uid="{00000000-0005-0000-0000-00002C020000}"/>
    <cellStyle name="Percent 62" xfId="555" xr:uid="{00000000-0005-0000-0000-00002D020000}"/>
    <cellStyle name="Percent 63" xfId="556" xr:uid="{00000000-0005-0000-0000-00002E020000}"/>
    <cellStyle name="Percent 64" xfId="557" xr:uid="{00000000-0005-0000-0000-00002F020000}"/>
    <cellStyle name="Percent 65" xfId="558" xr:uid="{00000000-0005-0000-0000-000030020000}"/>
    <cellStyle name="Percent 66" xfId="559" xr:uid="{00000000-0005-0000-0000-000031020000}"/>
    <cellStyle name="Percent 67" xfId="560" xr:uid="{00000000-0005-0000-0000-000032020000}"/>
    <cellStyle name="Percent 68" xfId="561" xr:uid="{00000000-0005-0000-0000-000033020000}"/>
    <cellStyle name="Percent 69" xfId="562" xr:uid="{00000000-0005-0000-0000-000034020000}"/>
    <cellStyle name="Percent 7" xfId="563" xr:uid="{00000000-0005-0000-0000-000035020000}"/>
    <cellStyle name="Percent 7 2" xfId="564" xr:uid="{00000000-0005-0000-0000-000036020000}"/>
    <cellStyle name="Percent 7 2 2" xfId="565" xr:uid="{00000000-0005-0000-0000-000037020000}"/>
    <cellStyle name="Percent 70" xfId="566" xr:uid="{00000000-0005-0000-0000-000038020000}"/>
    <cellStyle name="Percent 8" xfId="567" xr:uid="{00000000-0005-0000-0000-000039020000}"/>
    <cellStyle name="Percent 8 2" xfId="568" xr:uid="{00000000-0005-0000-0000-00003A020000}"/>
    <cellStyle name="Percent 8 3" xfId="569" xr:uid="{00000000-0005-0000-0000-00003B020000}"/>
    <cellStyle name="Percent 9" xfId="570" xr:uid="{00000000-0005-0000-0000-00003C020000}"/>
    <cellStyle name="Percent 9 2" xfId="571" xr:uid="{00000000-0005-0000-0000-00003D020000}"/>
    <cellStyle name="Source Superscript" xfId="572" xr:uid="{00000000-0005-0000-0000-00003E020000}"/>
    <cellStyle name="Source Text" xfId="573" xr:uid="{00000000-0005-0000-0000-00003F020000}"/>
    <cellStyle name="Standard_Sce_D_Extraction" xfId="574" xr:uid="{00000000-0005-0000-0000-000040020000}"/>
    <cellStyle name="Style 29" xfId="575" xr:uid="{00000000-0005-0000-0000-000041020000}"/>
    <cellStyle name="Style 29 2" xfId="576" xr:uid="{00000000-0005-0000-0000-000042020000}"/>
    <cellStyle name="Style 35" xfId="577" xr:uid="{00000000-0005-0000-0000-000043020000}"/>
    <cellStyle name="Style 36" xfId="578" xr:uid="{00000000-0005-0000-0000-000044020000}"/>
    <cellStyle name="Title" xfId="579" builtinId="15" customBuiltin="1"/>
    <cellStyle name="Title 2" xfId="580" xr:uid="{00000000-0005-0000-0000-000046020000}"/>
    <cellStyle name="Title-2" xfId="581" xr:uid="{00000000-0005-0000-0000-000047020000}"/>
    <cellStyle name="Total" xfId="582" builtinId="25" customBuiltin="1"/>
    <cellStyle name="Total 2" xfId="583" xr:uid="{00000000-0005-0000-0000-000049020000}"/>
    <cellStyle name="Total 2 2" xfId="584" xr:uid="{00000000-0005-0000-0000-00004A020000}"/>
    <cellStyle name="Total 2 2 2" xfId="585" xr:uid="{00000000-0005-0000-0000-00004B020000}"/>
    <cellStyle name="Total 2 2 3" xfId="586" xr:uid="{00000000-0005-0000-0000-00004C020000}"/>
    <cellStyle name="Total 2 3" xfId="587" xr:uid="{00000000-0005-0000-0000-00004D020000}"/>
    <cellStyle name="Total 3" xfId="588" xr:uid="{00000000-0005-0000-0000-00004E020000}"/>
    <cellStyle name="Total 3 2" xfId="589" xr:uid="{00000000-0005-0000-0000-00004F020000}"/>
    <cellStyle name="Total 4" xfId="590" xr:uid="{00000000-0005-0000-0000-000050020000}"/>
    <cellStyle name="Total 4 2" xfId="591" xr:uid="{00000000-0005-0000-0000-000051020000}"/>
    <cellStyle name="Warning Text" xfId="592" builtinId="11" customBuiltin="1"/>
    <cellStyle name="Warning Text 2" xfId="593" xr:uid="{00000000-0005-0000-0000-000053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eia.gov/electricity/data/browser/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6"/>
  <sheetViews>
    <sheetView tabSelected="1" topLeftCell="D29" zoomScaleNormal="100" workbookViewId="0">
      <selection activeCell="I39" sqref="I39"/>
    </sheetView>
  </sheetViews>
  <sheetFormatPr defaultRowHeight="14.4" x14ac:dyDescent="0.3"/>
  <cols>
    <col min="2" max="2" width="13.109375" customWidth="1"/>
    <col min="3" max="3" width="11.6640625" customWidth="1"/>
    <col min="4" max="4" width="10.109375" bestFit="1" customWidth="1"/>
    <col min="5" max="5" width="8.88671875" customWidth="1"/>
    <col min="18" max="18" width="8.77734375" customWidth="1"/>
    <col min="19" max="19" width="8.77734375" style="3" customWidth="1"/>
    <col min="20" max="22" width="8.77734375" customWidth="1"/>
  </cols>
  <sheetData>
    <row r="1" spans="2:22" s="3" customFormat="1" x14ac:dyDescent="0.3">
      <c r="B1" s="2" t="s">
        <v>16</v>
      </c>
      <c r="C1" s="2"/>
      <c r="D1" s="2"/>
    </row>
    <row r="2" spans="2:22" s="3" customFormat="1" x14ac:dyDescent="0.3">
      <c r="B2" s="2" t="s">
        <v>17</v>
      </c>
      <c r="C2" s="2"/>
      <c r="D2" s="2"/>
    </row>
    <row r="3" spans="2:22" x14ac:dyDescent="0.3">
      <c r="E3" s="3"/>
    </row>
    <row r="4" spans="2:22" s="3" customFormat="1" x14ac:dyDescent="0.3">
      <c r="H4" s="3" t="s">
        <v>20</v>
      </c>
    </row>
    <row r="5" spans="2:22" s="3" customFormat="1" ht="15" thickBot="1" x14ac:dyDescent="0.35">
      <c r="C5" s="1" t="s">
        <v>11</v>
      </c>
      <c r="D5" s="1" t="s">
        <v>12</v>
      </c>
      <c r="E5" s="1" t="s">
        <v>38</v>
      </c>
      <c r="F5" s="1" t="s">
        <v>36</v>
      </c>
      <c r="G5" s="16" t="s">
        <v>19</v>
      </c>
      <c r="H5" s="16" t="s">
        <v>14</v>
      </c>
      <c r="I5" s="16" t="s">
        <v>35</v>
      </c>
      <c r="J5" s="16" t="s">
        <v>0</v>
      </c>
      <c r="K5" s="16" t="s">
        <v>1</v>
      </c>
      <c r="L5" s="16" t="s">
        <v>2</v>
      </c>
      <c r="M5" s="16" t="s">
        <v>3</v>
      </c>
      <c r="N5" s="16" t="s">
        <v>4</v>
      </c>
      <c r="O5" s="16" t="s">
        <v>5</v>
      </c>
      <c r="P5" s="16" t="s">
        <v>6</v>
      </c>
      <c r="Q5" s="16" t="s">
        <v>7</v>
      </c>
      <c r="R5" s="16" t="s">
        <v>8</v>
      </c>
      <c r="S5" s="16" t="s">
        <v>13</v>
      </c>
      <c r="T5" s="16" t="s">
        <v>10</v>
      </c>
    </row>
    <row r="6" spans="2:22" s="3" customFormat="1" x14ac:dyDescent="0.3">
      <c r="C6" s="27" t="s">
        <v>37</v>
      </c>
      <c r="D6" s="27" t="s">
        <v>18</v>
      </c>
      <c r="E6" s="27" t="s">
        <v>33</v>
      </c>
      <c r="F6" s="27" t="s">
        <v>33</v>
      </c>
      <c r="G6" s="27">
        <v>2010</v>
      </c>
      <c r="H6" s="28" t="s">
        <v>15</v>
      </c>
      <c r="I6" s="28">
        <v>1</v>
      </c>
      <c r="J6" s="29">
        <f>NetGenbyRegion!$H26*0.9</f>
        <v>45.424800000000005</v>
      </c>
      <c r="K6" s="29">
        <f>NetGenbyRegion!$H27*0.95</f>
        <v>441.00899999999996</v>
      </c>
      <c r="L6" s="29">
        <f>NetGenbyRegion!$H28*0.95</f>
        <v>1455.7332600000002</v>
      </c>
      <c r="M6" s="29">
        <f>NetGenbyRegion!$H29*0.95</f>
        <v>782.29079999999999</v>
      </c>
      <c r="N6" s="29">
        <f>NetGenbyRegion!$H30*0.95</f>
        <v>1263.95334</v>
      </c>
      <c r="O6" s="29">
        <f>NetGenbyRegion!$H31*0.95</f>
        <v>716.68493999999987</v>
      </c>
      <c r="P6" s="29">
        <f>NetGenbyRegion!$H32*0.95</f>
        <v>786.18959999999993</v>
      </c>
      <c r="Q6" s="29">
        <f>NetGenbyRegion!$H33*0.95</f>
        <v>701.46252000000004</v>
      </c>
      <c r="R6" s="29">
        <f>NetGenbyRegion!$H34*0.95</f>
        <v>55.588680000000004</v>
      </c>
      <c r="S6" s="30">
        <v>1</v>
      </c>
      <c r="T6" s="27" t="s">
        <v>31</v>
      </c>
      <c r="U6" s="27"/>
      <c r="V6" s="27"/>
    </row>
    <row r="7" spans="2:22" x14ac:dyDescent="0.3">
      <c r="C7" s="27" t="s">
        <v>37</v>
      </c>
      <c r="D7" s="27" t="s">
        <v>18</v>
      </c>
      <c r="E7" s="27" t="s">
        <v>33</v>
      </c>
      <c r="F7" s="27" t="s">
        <v>33</v>
      </c>
      <c r="G7" s="27">
        <v>2010</v>
      </c>
      <c r="H7" s="28" t="s">
        <v>9</v>
      </c>
      <c r="I7" s="28">
        <v>1</v>
      </c>
      <c r="J7" s="29">
        <f>NetGenbyRegion!$H26*1.1</f>
        <v>55.519200000000005</v>
      </c>
      <c r="K7" s="29">
        <f>NetGenbyRegion!$H27*1.1</f>
        <v>510.642</v>
      </c>
      <c r="L7" s="29">
        <f>NetGenbyRegion!$H28*1.1</f>
        <v>1685.5858800000003</v>
      </c>
      <c r="M7" s="29">
        <f>NetGenbyRegion!$H29*1.1</f>
        <v>905.81040000000019</v>
      </c>
      <c r="N7" s="29">
        <f>NetGenbyRegion!$H30*1.1</f>
        <v>1463.5249200000001</v>
      </c>
      <c r="O7" s="29">
        <f>NetGenbyRegion!$H31*1.1</f>
        <v>829.84572000000003</v>
      </c>
      <c r="P7" s="29">
        <f>NetGenbyRegion!$H32*1.1</f>
        <v>910.3248000000001</v>
      </c>
      <c r="Q7" s="29">
        <f>NetGenbyRegion!$H33*1.1</f>
        <v>812.21976000000006</v>
      </c>
      <c r="R7" s="29">
        <f>NetGenbyRegion!$H34*1.7</f>
        <v>99.474480000000014</v>
      </c>
      <c r="S7" s="30">
        <v>1</v>
      </c>
      <c r="T7" s="27" t="s">
        <v>31</v>
      </c>
      <c r="U7" s="27"/>
      <c r="V7" s="27"/>
    </row>
    <row r="8" spans="2:22" s="3" customFormat="1" x14ac:dyDescent="0.3">
      <c r="C8" s="27" t="s">
        <v>37</v>
      </c>
      <c r="D8" s="27" t="s">
        <v>18</v>
      </c>
      <c r="E8" s="27" t="s">
        <v>33</v>
      </c>
      <c r="F8" s="27" t="s">
        <v>33</v>
      </c>
      <c r="G8" s="27">
        <v>2011</v>
      </c>
      <c r="H8" s="28" t="s">
        <v>15</v>
      </c>
      <c r="I8" s="28">
        <v>1</v>
      </c>
      <c r="J8" s="29">
        <f>NetGenbyRegion!$I26*0.95</f>
        <v>23.259420000000002</v>
      </c>
      <c r="K8" s="29">
        <f>NetGenbyRegion!$I27*0.95</f>
        <v>386.38475999999997</v>
      </c>
      <c r="L8" s="29">
        <f>NetGenbyRegion!$I28*0.95</f>
        <v>1349.5080600000001</v>
      </c>
      <c r="M8" s="29">
        <f>NetGenbyRegion!$I29*0.95</f>
        <v>782.06849999999997</v>
      </c>
      <c r="N8" s="29">
        <f>NetGenbyRegion!$I30*0.95</f>
        <v>1099.4547599999999</v>
      </c>
      <c r="O8" s="29">
        <f>NetGenbyRegion!$I31*0.95</f>
        <v>675.12851999999998</v>
      </c>
      <c r="P8" s="29">
        <f>NetGenbyRegion!$I32*0.95</f>
        <v>840.98483999999996</v>
      </c>
      <c r="Q8" s="29">
        <f>NetGenbyRegion!$I33*0.95</f>
        <v>677.6832599999999</v>
      </c>
      <c r="R8" s="29">
        <f>NetGenbyRegion!$I34*0.95</f>
        <v>40.718519999999998</v>
      </c>
      <c r="S8" s="30">
        <v>1</v>
      </c>
      <c r="T8" s="27" t="s">
        <v>31</v>
      </c>
      <c r="U8" s="27"/>
      <c r="V8" s="27"/>
    </row>
    <row r="9" spans="2:22" s="3" customFormat="1" x14ac:dyDescent="0.3">
      <c r="C9" s="27" t="s">
        <v>37</v>
      </c>
      <c r="D9" s="27" t="s">
        <v>18</v>
      </c>
      <c r="E9" s="27" t="s">
        <v>33</v>
      </c>
      <c r="F9" s="27" t="s">
        <v>33</v>
      </c>
      <c r="G9" s="27">
        <v>2011</v>
      </c>
      <c r="H9" s="28" t="s">
        <v>9</v>
      </c>
      <c r="I9" s="28">
        <v>1</v>
      </c>
      <c r="J9" s="29">
        <f>NetGenbyRegion!$I26*1.1</f>
        <v>26.931960000000004</v>
      </c>
      <c r="K9" s="29">
        <f>NetGenbyRegion!$I27*1.1</f>
        <v>447.39288000000005</v>
      </c>
      <c r="L9" s="29">
        <f>NetGenbyRegion!$I28*1.1</f>
        <v>1562.5882800000002</v>
      </c>
      <c r="M9" s="29">
        <f>NetGenbyRegion!$I29*1.1</f>
        <v>905.55300000000011</v>
      </c>
      <c r="N9" s="29">
        <f>NetGenbyRegion!$I30*1.1</f>
        <v>1273.05288</v>
      </c>
      <c r="O9" s="29">
        <f>NetGenbyRegion!$I31*1.1</f>
        <v>781.7277600000001</v>
      </c>
      <c r="P9" s="29">
        <f>NetGenbyRegion!$I32*1.1</f>
        <v>973.77192000000014</v>
      </c>
      <c r="Q9" s="29">
        <f>NetGenbyRegion!$I33*1.1</f>
        <v>784.68588</v>
      </c>
      <c r="R9" s="29">
        <f>NetGenbyRegion!$I34*1.1</f>
        <v>47.147760000000005</v>
      </c>
      <c r="S9" s="30">
        <v>1</v>
      </c>
      <c r="T9" s="27" t="s">
        <v>31</v>
      </c>
      <c r="U9" s="27"/>
      <c r="V9" s="27"/>
    </row>
    <row r="10" spans="2:22" x14ac:dyDescent="0.3">
      <c r="C10" s="27" t="s">
        <v>37</v>
      </c>
      <c r="D10" s="27" t="s">
        <v>18</v>
      </c>
      <c r="E10" s="27" t="s">
        <v>33</v>
      </c>
      <c r="F10" s="27" t="s">
        <v>33</v>
      </c>
      <c r="G10" s="27">
        <v>2015</v>
      </c>
      <c r="H10" s="28" t="s">
        <v>15</v>
      </c>
      <c r="I10" s="28">
        <v>1</v>
      </c>
      <c r="J10" s="29">
        <f>NetGenbyRegion!$J26*0.95</f>
        <v>13.125959999999999</v>
      </c>
      <c r="K10" s="29">
        <f>NetGenbyRegion!$J27*0.95</f>
        <v>232.52579999999998</v>
      </c>
      <c r="L10" s="29">
        <f>NetGenbyRegion!$J28*0.95</f>
        <v>1063.6131599999999</v>
      </c>
      <c r="M10" s="29">
        <f>NetGenbyRegion!$J29*0.95</f>
        <v>666.08603999999991</v>
      </c>
      <c r="N10" s="29">
        <f>NetGenbyRegion!$J30*0.95</f>
        <v>822.96144000000004</v>
      </c>
      <c r="O10" s="29">
        <f>NetGenbyRegion!$J31*0.95</f>
        <v>512.70929999999998</v>
      </c>
      <c r="P10" s="29">
        <f>NetGenbyRegion!$J32*0.95</f>
        <v>625.50431999999989</v>
      </c>
      <c r="Q10" s="29">
        <f>NetGenbyRegion!$J33*0.95</f>
        <v>618.02135999999996</v>
      </c>
      <c r="R10" s="29">
        <f>NetGenbyRegion!$J34*0.95</f>
        <v>31.652100000000004</v>
      </c>
      <c r="S10" s="30">
        <v>1</v>
      </c>
      <c r="T10" s="27" t="s">
        <v>31</v>
      </c>
      <c r="U10" s="27"/>
      <c r="V10" s="27"/>
    </row>
    <row r="11" spans="2:22" x14ac:dyDescent="0.3">
      <c r="C11" s="27" t="s">
        <v>37</v>
      </c>
      <c r="D11" s="27" t="s">
        <v>18</v>
      </c>
      <c r="E11" s="27" t="s">
        <v>33</v>
      </c>
      <c r="F11" s="27" t="s">
        <v>33</v>
      </c>
      <c r="G11" s="27">
        <v>2015</v>
      </c>
      <c r="H11" s="28" t="s">
        <v>9</v>
      </c>
      <c r="I11" s="28">
        <v>1</v>
      </c>
      <c r="J11" s="29">
        <f>NetGenbyRegion!$J26*1.02</f>
        <v>14.093136000000001</v>
      </c>
      <c r="K11" s="29">
        <f>NetGenbyRegion!$J27*1.02</f>
        <v>249.65928</v>
      </c>
      <c r="L11" s="29">
        <f>NetGenbyRegion!$J28*1.02</f>
        <v>1141.9846559999999</v>
      </c>
      <c r="M11" s="29">
        <f>NetGenbyRegion!$J29*1.02</f>
        <v>715.16606400000001</v>
      </c>
      <c r="N11" s="29">
        <f>NetGenbyRegion!$J30*1.02</f>
        <v>883.60070400000006</v>
      </c>
      <c r="O11" s="29">
        <f>NetGenbyRegion!$J31*1.02</f>
        <v>550.48788000000002</v>
      </c>
      <c r="P11" s="29">
        <f>NetGenbyRegion!$J32*1.02</f>
        <v>671.59411199999988</v>
      </c>
      <c r="Q11" s="29">
        <f>NetGenbyRegion!$J33*1.02</f>
        <v>663.55977600000006</v>
      </c>
      <c r="R11" s="29">
        <f>NetGenbyRegion!$J34*1.02</f>
        <v>33.984360000000002</v>
      </c>
      <c r="S11" s="30">
        <v>1</v>
      </c>
      <c r="T11" s="27" t="s">
        <v>31</v>
      </c>
      <c r="U11" s="27"/>
      <c r="V11" s="27"/>
    </row>
    <row r="12" spans="2:22" x14ac:dyDescent="0.3">
      <c r="C12" s="27" t="s">
        <v>37</v>
      </c>
      <c r="D12" s="27" t="s">
        <v>18</v>
      </c>
      <c r="E12" s="27" t="s">
        <v>33</v>
      </c>
      <c r="F12" s="27" t="s">
        <v>33</v>
      </c>
      <c r="G12" s="27">
        <v>2020</v>
      </c>
      <c r="H12" s="28" t="s">
        <v>15</v>
      </c>
      <c r="I12" s="28">
        <v>1</v>
      </c>
      <c r="J12" s="29">
        <f>NetGenbyRegion!$K26*0.95</f>
        <v>1.56294</v>
      </c>
      <c r="K12" s="29">
        <f>NetGenbyRegion!$K27*0.95</f>
        <v>137.25486000000001</v>
      </c>
      <c r="L12" s="29">
        <f>NetGenbyRegion!$K28*0.95</f>
        <v>745.94988000000001</v>
      </c>
      <c r="M12" s="29">
        <f>NetGenbyRegion!$K29*0.95</f>
        <v>544.37166000000002</v>
      </c>
      <c r="N12" s="29">
        <f>NetGenbyRegion!$K30*0.95</f>
        <v>543.71159999999998</v>
      </c>
      <c r="O12" s="29">
        <f>NetGenbyRegion!$K31*0.95</f>
        <v>345.33792</v>
      </c>
      <c r="P12" s="29">
        <f>NetGenbyRegion!$K32*0.95</f>
        <v>445.36949999999996</v>
      </c>
      <c r="Q12" s="29">
        <f>NetGenbyRegion!$K33*0.95</f>
        <v>478.26990000000001</v>
      </c>
      <c r="R12" s="29">
        <f>NetGenbyRegion!$K34*0.95</f>
        <v>39.689100000000003</v>
      </c>
      <c r="S12" s="30">
        <v>1</v>
      </c>
      <c r="T12" s="27" t="s">
        <v>31</v>
      </c>
      <c r="U12" s="27"/>
      <c r="V12" s="27"/>
    </row>
    <row r="13" spans="2:22" x14ac:dyDescent="0.3">
      <c r="C13" s="24" t="s">
        <v>24</v>
      </c>
      <c r="D13" s="24" t="s">
        <v>25</v>
      </c>
      <c r="E13" s="24" t="s">
        <v>33</v>
      </c>
      <c r="F13" s="24" t="s">
        <v>33</v>
      </c>
      <c r="G13" s="24">
        <v>2010</v>
      </c>
      <c r="H13" s="26" t="s">
        <v>15</v>
      </c>
      <c r="I13" s="26">
        <v>1</v>
      </c>
      <c r="J13" s="31">
        <f>NetGenbyRegion!$L26*0.95</f>
        <v>188.4933</v>
      </c>
      <c r="K13" s="31">
        <f>NetGenbyRegion!$L27*0.95</f>
        <v>360.70398</v>
      </c>
      <c r="L13" s="31">
        <f>NetGenbyRegion!$L28*0.95</f>
        <v>120.49002</v>
      </c>
      <c r="M13" s="31">
        <f>NetGenbyRegion!$L29*0.95</f>
        <v>44.247960000000006</v>
      </c>
      <c r="N13" s="31">
        <f>NetGenbyRegion!$L30*0.95</f>
        <v>658.50389999999993</v>
      </c>
      <c r="O13" s="31">
        <f>NetGenbyRegion!$L31*0.95</f>
        <v>244.09566000000001</v>
      </c>
      <c r="P13" s="31">
        <f>NetGenbyRegion!$L32*0.95</f>
        <v>771.88715999999999</v>
      </c>
      <c r="Q13" s="31">
        <f>NetGenbyRegion!$L33*0.95</f>
        <v>275.57675999999998</v>
      </c>
      <c r="R13" s="31">
        <f>NetGenbyRegion!$L34*0.95</f>
        <v>418.75506000000001</v>
      </c>
      <c r="S13" s="32">
        <v>1</v>
      </c>
      <c r="T13" s="24" t="s">
        <v>32</v>
      </c>
      <c r="U13" s="24"/>
      <c r="V13" s="24"/>
    </row>
    <row r="14" spans="2:22" s="3" customFormat="1" x14ac:dyDescent="0.3">
      <c r="C14" s="24" t="s">
        <v>24</v>
      </c>
      <c r="D14" s="24" t="s">
        <v>25</v>
      </c>
      <c r="E14" s="24" t="s">
        <v>33</v>
      </c>
      <c r="F14" s="24" t="s">
        <v>33</v>
      </c>
      <c r="G14" s="24">
        <v>2010</v>
      </c>
      <c r="H14" s="26" t="s">
        <v>9</v>
      </c>
      <c r="I14" s="26">
        <v>1</v>
      </c>
      <c r="J14" s="31">
        <f>NetGenbyRegion!$L26*1.1</f>
        <v>218.25540000000004</v>
      </c>
      <c r="K14" s="31">
        <f>NetGenbyRegion!$L27*1.1</f>
        <v>417.65724000000006</v>
      </c>
      <c r="L14" s="31">
        <f>NetGenbyRegion!$L28*1.1</f>
        <v>139.51476000000002</v>
      </c>
      <c r="M14" s="31">
        <f>NetGenbyRegion!$L29*1.1</f>
        <v>51.234480000000012</v>
      </c>
      <c r="N14" s="31">
        <f>NetGenbyRegion!$L30*1.1</f>
        <v>762.47820000000002</v>
      </c>
      <c r="O14" s="31">
        <f>NetGenbyRegion!$L31*1.1</f>
        <v>282.63708000000008</v>
      </c>
      <c r="P14" s="31">
        <f>NetGenbyRegion!$L32*1.1</f>
        <v>893.76408000000015</v>
      </c>
      <c r="Q14" s="31">
        <f>NetGenbyRegion!$L33*1.1</f>
        <v>319.08888000000002</v>
      </c>
      <c r="R14" s="31">
        <f>NetGenbyRegion!$L34*1.7</f>
        <v>749.35116000000005</v>
      </c>
      <c r="S14" s="32">
        <v>1</v>
      </c>
      <c r="T14" s="24" t="s">
        <v>32</v>
      </c>
      <c r="U14" s="24"/>
      <c r="V14" s="24"/>
    </row>
    <row r="15" spans="2:22" s="3" customFormat="1" x14ac:dyDescent="0.3">
      <c r="C15" s="24" t="s">
        <v>24</v>
      </c>
      <c r="D15" s="24" t="s">
        <v>25</v>
      </c>
      <c r="E15" s="24" t="s">
        <v>33</v>
      </c>
      <c r="F15" s="24" t="s">
        <v>33</v>
      </c>
      <c r="G15" s="24">
        <v>2011</v>
      </c>
      <c r="H15" s="26" t="s">
        <v>15</v>
      </c>
      <c r="I15" s="26">
        <v>1</v>
      </c>
      <c r="J15" s="31">
        <f>NetGenbyRegion!$M26*0.95</f>
        <v>205.61382</v>
      </c>
      <c r="K15" s="31">
        <f>NetGenbyRegion!$M27*0.95</f>
        <v>395.61876000000001</v>
      </c>
      <c r="L15" s="31">
        <f>NetGenbyRegion!$M28*0.95</f>
        <v>155.31588000000002</v>
      </c>
      <c r="M15" s="31">
        <f>NetGenbyRegion!$M29*0.95</f>
        <v>40.061880000000002</v>
      </c>
      <c r="N15" s="31">
        <f>NetGenbyRegion!$M30*0.95</f>
        <v>718.71983999999998</v>
      </c>
      <c r="O15" s="31">
        <f>NetGenbyRegion!$M31*0.95</f>
        <v>276.59592000000004</v>
      </c>
      <c r="P15" s="31">
        <f>NetGenbyRegion!$M32*0.95</f>
        <v>822.29453999999998</v>
      </c>
      <c r="Q15" s="31">
        <f>NetGenbyRegion!$M33*0.95</f>
        <v>239.48891999999998</v>
      </c>
      <c r="R15" s="31">
        <f>NetGenbyRegion!$M34*0.95</f>
        <v>314.19881999999996</v>
      </c>
      <c r="S15" s="32">
        <v>1</v>
      </c>
      <c r="T15" s="24" t="s">
        <v>32</v>
      </c>
      <c r="U15" s="24"/>
      <c r="V15" s="24"/>
    </row>
    <row r="16" spans="2:22" s="3" customFormat="1" x14ac:dyDescent="0.3">
      <c r="C16" s="24" t="s">
        <v>24</v>
      </c>
      <c r="D16" s="24" t="s">
        <v>25</v>
      </c>
      <c r="E16" s="24" t="s">
        <v>33</v>
      </c>
      <c r="F16" s="24" t="s">
        <v>33</v>
      </c>
      <c r="G16" s="24">
        <v>2011</v>
      </c>
      <c r="H16" s="26" t="s">
        <v>9</v>
      </c>
      <c r="I16" s="26">
        <v>1</v>
      </c>
      <c r="J16" s="31">
        <f>NetGenbyRegion!$M26*1.1</f>
        <v>238.07916000000003</v>
      </c>
      <c r="K16" s="31">
        <f>NetGenbyRegion!$M27*1.1</f>
        <v>458.08488000000006</v>
      </c>
      <c r="L16" s="31">
        <f>NetGenbyRegion!$M28*1.1</f>
        <v>179.83944000000005</v>
      </c>
      <c r="M16" s="31">
        <f>NetGenbyRegion!$M29*1.1</f>
        <v>46.387440000000005</v>
      </c>
      <c r="N16" s="31">
        <f>NetGenbyRegion!$M30*1.1</f>
        <v>832.20192000000009</v>
      </c>
      <c r="O16" s="31">
        <f>NetGenbyRegion!$M31*1.1</f>
        <v>320.26896000000005</v>
      </c>
      <c r="P16" s="31">
        <f>NetGenbyRegion!$M32*1.1</f>
        <v>952.13052000000016</v>
      </c>
      <c r="Q16" s="31">
        <f>NetGenbyRegion!$M33*1.1</f>
        <v>277.30295999999998</v>
      </c>
      <c r="R16" s="31">
        <f>NetGenbyRegion!$M34*1.1</f>
        <v>363.80916000000002</v>
      </c>
      <c r="S16" s="32">
        <v>1</v>
      </c>
      <c r="T16" s="24" t="s">
        <v>32</v>
      </c>
      <c r="U16" s="24"/>
      <c r="V16" s="24"/>
    </row>
    <row r="17" spans="3:22" s="3" customFormat="1" x14ac:dyDescent="0.3">
      <c r="C17" s="24" t="s">
        <v>24</v>
      </c>
      <c r="D17" s="24" t="s">
        <v>25</v>
      </c>
      <c r="E17" s="24" t="s">
        <v>33</v>
      </c>
      <c r="F17" s="24" t="s">
        <v>33</v>
      </c>
      <c r="G17" s="24">
        <v>2015</v>
      </c>
      <c r="H17" s="26" t="s">
        <v>15</v>
      </c>
      <c r="I17" s="26">
        <v>1</v>
      </c>
      <c r="J17" s="31">
        <f>NetGenbyRegion!$N26*0.95</f>
        <v>177.64164</v>
      </c>
      <c r="K17" s="31">
        <f>NetGenbyRegion!$N27*0.95</f>
        <v>514.47744</v>
      </c>
      <c r="L17" s="31">
        <f>NetGenbyRegion!$N28*0.95</f>
        <v>292.79303999999996</v>
      </c>
      <c r="M17" s="31">
        <f>NetGenbyRegion!$N29*0.95</f>
        <v>57.650939999999999</v>
      </c>
      <c r="N17" s="31">
        <f>NetGenbyRegion!$N30*0.95</f>
        <v>1029.26268</v>
      </c>
      <c r="O17" s="31">
        <f>NetGenbyRegion!$N31*0.95</f>
        <v>390.46823999999998</v>
      </c>
      <c r="P17" s="31">
        <f>NetGenbyRegion!$N32*0.95</f>
        <v>983.60226000000011</v>
      </c>
      <c r="Q17" s="31">
        <f>NetGenbyRegion!$N33*0.95</f>
        <v>325.57031999999998</v>
      </c>
      <c r="R17" s="31">
        <f>NetGenbyRegion!$N34*0.95</f>
        <v>461.31695999999999</v>
      </c>
      <c r="S17" s="32">
        <v>1</v>
      </c>
      <c r="T17" s="24" t="s">
        <v>32</v>
      </c>
      <c r="U17" s="24"/>
      <c r="V17" s="24"/>
    </row>
    <row r="18" spans="3:22" s="3" customFormat="1" x14ac:dyDescent="0.3">
      <c r="C18" s="24" t="s">
        <v>24</v>
      </c>
      <c r="D18" s="24" t="s">
        <v>25</v>
      </c>
      <c r="E18" s="24" t="s">
        <v>33</v>
      </c>
      <c r="F18" s="24" t="s">
        <v>33</v>
      </c>
      <c r="G18" s="24">
        <v>2015</v>
      </c>
      <c r="H18" s="26" t="s">
        <v>9</v>
      </c>
      <c r="I18" s="26">
        <v>1</v>
      </c>
      <c r="J18" s="31">
        <f>NetGenbyRegion!$N26*1.01</f>
        <v>188.86111199999999</v>
      </c>
      <c r="K18" s="31">
        <f>NetGenbyRegion!$N27*1.01</f>
        <v>546.97075200000006</v>
      </c>
      <c r="L18" s="31">
        <f>NetGenbyRegion!$N28*1.01</f>
        <v>311.28523200000001</v>
      </c>
      <c r="M18" s="31">
        <f>NetGenbyRegion!$N29*1.01</f>
        <v>61.292052000000005</v>
      </c>
      <c r="N18" s="31">
        <f>NetGenbyRegion!$N30*1.01</f>
        <v>1094.2687440000002</v>
      </c>
      <c r="O18" s="31">
        <f>NetGenbyRegion!$N31*1.01</f>
        <v>415.129392</v>
      </c>
      <c r="P18" s="31">
        <f>NetGenbyRegion!$N32*1.01</f>
        <v>1045.7245080000002</v>
      </c>
      <c r="Q18" s="31">
        <f>NetGenbyRegion!$N33*1.01</f>
        <v>346.132656</v>
      </c>
      <c r="R18" s="31">
        <f>NetGenbyRegion!$N34*1.01</f>
        <v>490.45276800000005</v>
      </c>
      <c r="S18" s="32">
        <v>1</v>
      </c>
      <c r="T18" s="24" t="s">
        <v>32</v>
      </c>
      <c r="U18" s="24"/>
      <c r="V18" s="24"/>
    </row>
    <row r="19" spans="3:22" s="3" customFormat="1" x14ac:dyDescent="0.3">
      <c r="C19" s="24" t="s">
        <v>24</v>
      </c>
      <c r="D19" s="24" t="s">
        <v>25</v>
      </c>
      <c r="E19" s="24" t="s">
        <v>33</v>
      </c>
      <c r="F19" s="24" t="s">
        <v>33</v>
      </c>
      <c r="G19" s="24">
        <v>2020</v>
      </c>
      <c r="H19" s="26" t="s">
        <v>15</v>
      </c>
      <c r="I19" s="26">
        <v>1</v>
      </c>
      <c r="J19" s="31">
        <f>NetGenbyRegion!$O26*0.95</f>
        <v>160.40142</v>
      </c>
      <c r="K19" s="31">
        <f>NetGenbyRegion!$O27*0.95</f>
        <v>631.27043999999989</v>
      </c>
      <c r="L19" s="31">
        <f>NetGenbyRegion!$O28*0.95</f>
        <v>521.63549999999998</v>
      </c>
      <c r="M19" s="31">
        <f>NetGenbyRegion!$O29*0.95</f>
        <v>110.13426000000001</v>
      </c>
      <c r="N19" s="31">
        <f>NetGenbyRegion!$O30*0.95</f>
        <v>1298.4679799999999</v>
      </c>
      <c r="O19" s="31">
        <f>NetGenbyRegion!$O31*0.95</f>
        <v>460.69110000000001</v>
      </c>
      <c r="P19" s="31">
        <f>NetGenbyRegion!$O32*0.95</f>
        <v>1092.3172200000001</v>
      </c>
      <c r="Q19" s="31">
        <f>NetGenbyRegion!$O33*0.95</f>
        <v>388.37178</v>
      </c>
      <c r="R19" s="31">
        <f>NetGenbyRegion!$O34*0.95</f>
        <v>380.30057999999997</v>
      </c>
      <c r="S19" s="32">
        <v>1</v>
      </c>
      <c r="T19" s="24" t="s">
        <v>32</v>
      </c>
      <c r="U19" s="24"/>
      <c r="V19" s="24"/>
    </row>
    <row r="20" spans="3:22" s="3" customFormat="1" x14ac:dyDescent="0.3">
      <c r="C20" s="27" t="s">
        <v>108</v>
      </c>
      <c r="D20" s="27" t="s">
        <v>39</v>
      </c>
      <c r="E20" s="27" t="s">
        <v>33</v>
      </c>
      <c r="F20" s="27" t="s">
        <v>33</v>
      </c>
      <c r="G20" s="27">
        <v>2010</v>
      </c>
      <c r="H20" s="28" t="s">
        <v>15</v>
      </c>
      <c r="I20" s="28">
        <v>1</v>
      </c>
      <c r="J20" s="33">
        <f>NetGenbyRegion!$X26*0.99</f>
        <v>3.1719600000000003</v>
      </c>
      <c r="K20" s="33">
        <f>NetGenbyRegion!$X27*0.99</f>
        <v>7.7160600000000006</v>
      </c>
      <c r="L20" s="33">
        <f>NetGenbyRegion!$X28*0.99</f>
        <v>2.6801280000000003</v>
      </c>
      <c r="M20" s="33">
        <f>NetGenbyRegion!$X29*0.99</f>
        <v>1.2153240000000001</v>
      </c>
      <c r="N20" s="33">
        <f>NetGenbyRegion!$X30*0.99</f>
        <v>29.659607999999999</v>
      </c>
      <c r="O20" s="33">
        <f>NetGenbyRegion!$X31*0.99</f>
        <v>1.8711000000000002</v>
      </c>
      <c r="P20" s="33">
        <f>NetGenbyRegion!$X32*0.99</f>
        <v>0.90525599999999995</v>
      </c>
      <c r="Q20" s="33">
        <f>NetGenbyRegion!$X33*0.99</f>
        <v>0.93020400000000014</v>
      </c>
      <c r="R20" s="33">
        <f>NetGenbyRegion!$X34*0.99</f>
        <v>31.594860000000001</v>
      </c>
      <c r="S20" s="30">
        <v>1</v>
      </c>
      <c r="T20" s="27" t="s">
        <v>109</v>
      </c>
      <c r="U20" s="27"/>
      <c r="V20" s="27"/>
    </row>
    <row r="21" spans="3:22" s="3" customFormat="1" x14ac:dyDescent="0.3">
      <c r="C21" s="27" t="s">
        <v>108</v>
      </c>
      <c r="D21" s="27" t="s">
        <v>39</v>
      </c>
      <c r="E21" s="27" t="s">
        <v>33</v>
      </c>
      <c r="F21" s="27" t="s">
        <v>33</v>
      </c>
      <c r="G21" s="27">
        <v>2010</v>
      </c>
      <c r="H21" s="28" t="s">
        <v>9</v>
      </c>
      <c r="I21" s="28">
        <v>1</v>
      </c>
      <c r="J21" s="33">
        <f>NetGenbyRegion!$X26*1.1</f>
        <v>3.5244000000000004</v>
      </c>
      <c r="K21" s="33">
        <f>NetGenbyRegion!$X27*1.1</f>
        <v>8.5734000000000012</v>
      </c>
      <c r="L21" s="33">
        <f>NetGenbyRegion!$X28*1.1</f>
        <v>2.9779200000000006</v>
      </c>
      <c r="M21" s="33">
        <f>NetGenbyRegion!$X29*1.1</f>
        <v>1.3503600000000002</v>
      </c>
      <c r="N21" s="33">
        <f>NetGenbyRegion!$X30*1.1</f>
        <v>32.955120000000001</v>
      </c>
      <c r="O21" s="33">
        <f>NetGenbyRegion!$X31*1.1</f>
        <v>2.0790000000000002</v>
      </c>
      <c r="P21" s="33">
        <f>NetGenbyRegion!$X32*1.1</f>
        <v>1.0058400000000001</v>
      </c>
      <c r="Q21" s="33">
        <f>NetGenbyRegion!$X33*1.1</f>
        <v>1.0335600000000003</v>
      </c>
      <c r="R21" s="33">
        <f>NetGenbyRegion!$X34*1.1</f>
        <v>35.105400000000003</v>
      </c>
      <c r="S21" s="30">
        <v>1</v>
      </c>
      <c r="T21" s="27" t="s">
        <v>109</v>
      </c>
      <c r="U21" s="27"/>
      <c r="V21" s="27"/>
    </row>
    <row r="22" spans="3:22" s="3" customFormat="1" x14ac:dyDescent="0.3">
      <c r="C22" s="27" t="s">
        <v>108</v>
      </c>
      <c r="D22" s="27" t="s">
        <v>39</v>
      </c>
      <c r="E22" s="27" t="s">
        <v>33</v>
      </c>
      <c r="F22" s="27" t="s">
        <v>33</v>
      </c>
      <c r="G22" s="27">
        <v>2011</v>
      </c>
      <c r="H22" s="28" t="s">
        <v>15</v>
      </c>
      <c r="I22" s="28">
        <v>1</v>
      </c>
      <c r="J22" s="33">
        <f>NetGenbyRegion!$Y26*0.99</f>
        <v>1.760616</v>
      </c>
      <c r="K22" s="33">
        <f>NetGenbyRegion!$Y27*0.99</f>
        <v>4.7721960000000001</v>
      </c>
      <c r="L22" s="33">
        <f>NetGenbyRegion!$Y28*0.99</f>
        <v>2.7086400000000004</v>
      </c>
      <c r="M22" s="33">
        <f>NetGenbyRegion!$Y29*0.99</f>
        <v>1.0870200000000001</v>
      </c>
      <c r="N22" s="33">
        <f>NetGenbyRegion!$Y30*0.99</f>
        <v>9.8045639999999992</v>
      </c>
      <c r="O22" s="33">
        <f>NetGenbyRegion!$Y31*0.99</f>
        <v>1.6608240000000001</v>
      </c>
      <c r="P22" s="33">
        <f>NetGenbyRegion!$Y32*0.99</f>
        <v>0.86605200000000004</v>
      </c>
      <c r="Q22" s="33">
        <f>NetGenbyRegion!$Y33*0.99</f>
        <v>0.90169200000000005</v>
      </c>
      <c r="R22" s="33">
        <f>NetGenbyRegion!$Y34*0.99</f>
        <v>31.124412000000003</v>
      </c>
      <c r="S22" s="30">
        <v>1</v>
      </c>
      <c r="T22" s="27" t="s">
        <v>109</v>
      </c>
      <c r="U22" s="27"/>
      <c r="V22" s="27"/>
    </row>
    <row r="23" spans="3:22" s="3" customFormat="1" x14ac:dyDescent="0.3">
      <c r="C23" s="27" t="s">
        <v>108</v>
      </c>
      <c r="D23" s="27" t="s">
        <v>39</v>
      </c>
      <c r="E23" s="27" t="s">
        <v>33</v>
      </c>
      <c r="F23" s="27" t="s">
        <v>33</v>
      </c>
      <c r="G23" s="27">
        <v>2011</v>
      </c>
      <c r="H23" s="28" t="s">
        <v>9</v>
      </c>
      <c r="I23" s="28">
        <v>1</v>
      </c>
      <c r="J23" s="33">
        <f>NetGenbyRegion!$Y26*1.1</f>
        <v>1.9562400000000002</v>
      </c>
      <c r="K23" s="33">
        <f>NetGenbyRegion!$Y27*1.1</f>
        <v>5.3024400000000007</v>
      </c>
      <c r="L23" s="33">
        <f>NetGenbyRegion!$Y28*1.1</f>
        <v>3.0096000000000003</v>
      </c>
      <c r="M23" s="33">
        <f>NetGenbyRegion!$Y29*1.1</f>
        <v>1.2078000000000002</v>
      </c>
      <c r="N23" s="33">
        <f>NetGenbyRegion!$Y30*1.1</f>
        <v>10.89396</v>
      </c>
      <c r="O23" s="33">
        <f>NetGenbyRegion!$Y31*1.1</f>
        <v>1.8453600000000003</v>
      </c>
      <c r="P23" s="33">
        <f>NetGenbyRegion!$Y32*1.1</f>
        <v>0.96228000000000014</v>
      </c>
      <c r="Q23" s="33">
        <f>NetGenbyRegion!$Y33*1.1</f>
        <v>1.0018800000000001</v>
      </c>
      <c r="R23" s="33">
        <f>NetGenbyRegion!$Y34*1.1</f>
        <v>34.582680000000011</v>
      </c>
      <c r="S23" s="30">
        <v>1</v>
      </c>
      <c r="T23" s="27" t="s">
        <v>109</v>
      </c>
      <c r="U23" s="27"/>
      <c r="V23" s="27"/>
    </row>
    <row r="24" spans="3:22" s="3" customFormat="1" x14ac:dyDescent="0.3">
      <c r="C24" s="27" t="s">
        <v>108</v>
      </c>
      <c r="D24" s="27" t="s">
        <v>39</v>
      </c>
      <c r="E24" s="27" t="s">
        <v>33</v>
      </c>
      <c r="F24" s="27" t="s">
        <v>33</v>
      </c>
      <c r="G24" s="27">
        <v>2015</v>
      </c>
      <c r="H24" s="28" t="s">
        <v>15</v>
      </c>
      <c r="I24" s="28">
        <v>1</v>
      </c>
      <c r="J24" s="33">
        <f>NetGenbyRegion!$Z26*0.99</f>
        <v>6.8713920000000002</v>
      </c>
      <c r="K24" s="33">
        <f>NetGenbyRegion!$Z27*0.99</f>
        <v>9.3697559999999989</v>
      </c>
      <c r="L24" s="33">
        <f>NetGenbyRegion!$Z28*0.99</f>
        <v>1.9281240000000002</v>
      </c>
      <c r="M24" s="33">
        <f>NetGenbyRegion!$Z29*0.99</f>
        <v>1.0228679999999999</v>
      </c>
      <c r="N24" s="33">
        <f>NetGenbyRegion!$Z30*0.99</f>
        <v>10.253627999999999</v>
      </c>
      <c r="O24" s="33">
        <f>NetGenbyRegion!$Z31*0.99</f>
        <v>1.147608</v>
      </c>
      <c r="P24" s="33">
        <f>NetGenbyRegion!$Z32*0.99</f>
        <v>0.86961599999999994</v>
      </c>
      <c r="Q24" s="33">
        <f>NetGenbyRegion!$Z33*0.99</f>
        <v>0.75556800000000002</v>
      </c>
      <c r="R24" s="33">
        <f>NetGenbyRegion!$Z34*0.99</f>
        <v>27.036504000000004</v>
      </c>
      <c r="S24" s="30">
        <v>5</v>
      </c>
      <c r="T24" s="27" t="s">
        <v>109</v>
      </c>
      <c r="U24" s="27"/>
      <c r="V24" s="27"/>
    </row>
    <row r="25" spans="3:22" s="3" customFormat="1" x14ac:dyDescent="0.3">
      <c r="C25" s="27" t="s">
        <v>108</v>
      </c>
      <c r="D25" s="27" t="s">
        <v>39</v>
      </c>
      <c r="E25" s="27" t="s">
        <v>33</v>
      </c>
      <c r="F25" s="27" t="s">
        <v>33</v>
      </c>
      <c r="G25" s="27">
        <v>2015</v>
      </c>
      <c r="H25" s="28" t="s">
        <v>9</v>
      </c>
      <c r="I25" s="28">
        <v>1</v>
      </c>
      <c r="J25" s="33">
        <f>NetGenbyRegion!$Z26*1.1</f>
        <v>7.6348800000000008</v>
      </c>
      <c r="K25" s="33">
        <f>NetGenbyRegion!$Z27*1.1</f>
        <v>10.41084</v>
      </c>
      <c r="L25" s="33">
        <f>NetGenbyRegion!$Z28*1.1</f>
        <v>2.1423600000000005</v>
      </c>
      <c r="M25" s="33">
        <f>NetGenbyRegion!$Z29*1.1</f>
        <v>1.13652</v>
      </c>
      <c r="N25" s="33">
        <f>NetGenbyRegion!$Z30*1.1</f>
        <v>11.39292</v>
      </c>
      <c r="O25" s="33">
        <f>NetGenbyRegion!$Z31*1.1</f>
        <v>1.27512</v>
      </c>
      <c r="P25" s="33">
        <f>NetGenbyRegion!$Z32*1.1</f>
        <v>0.96623999999999999</v>
      </c>
      <c r="Q25" s="33">
        <f>NetGenbyRegion!$Z33*1.1</f>
        <v>0.83952000000000004</v>
      </c>
      <c r="R25" s="33">
        <f>NetGenbyRegion!$Z34*1.1</f>
        <v>30.040560000000006</v>
      </c>
      <c r="S25" s="30">
        <v>5</v>
      </c>
      <c r="T25" s="27" t="s">
        <v>109</v>
      </c>
      <c r="U25" s="27"/>
      <c r="V25" s="27"/>
    </row>
    <row r="26" spans="3:22" s="3" customFormat="1" x14ac:dyDescent="0.3">
      <c r="C26" s="27" t="s">
        <v>108</v>
      </c>
      <c r="D26" s="27" t="s">
        <v>39</v>
      </c>
      <c r="E26" s="27" t="s">
        <v>33</v>
      </c>
      <c r="F26" s="27" t="s">
        <v>33</v>
      </c>
      <c r="G26" s="27">
        <v>2020</v>
      </c>
      <c r="H26" s="28" t="s">
        <v>15</v>
      </c>
      <c r="I26" s="28">
        <v>1</v>
      </c>
      <c r="J26" s="33">
        <f>NetGenbyRegion!$AA26*0.95</f>
        <v>0.80369999999999997</v>
      </c>
      <c r="K26" s="33">
        <f>NetGenbyRegion!$AA27*0.95</f>
        <v>2.4418799999999998</v>
      </c>
      <c r="L26" s="33">
        <f>NetGenbyRegion!$AA28*0.95</f>
        <v>1.56978</v>
      </c>
      <c r="M26" s="33">
        <f>NetGenbyRegion!$AA29*0.95</f>
        <v>1.0875600000000001</v>
      </c>
      <c r="N26" s="33">
        <f>NetGenbyRegion!$AA30*0.95</f>
        <v>4.0390200000000007</v>
      </c>
      <c r="O26" s="33">
        <f>NetGenbyRegion!$AA31*0.95</f>
        <v>0.77976000000000001</v>
      </c>
      <c r="P26" s="33">
        <f>NetGenbyRegion!$AA32*0.95</f>
        <v>0.42749999999999999</v>
      </c>
      <c r="Q26" s="33">
        <f>NetGenbyRegion!$AA33*0.95</f>
        <v>0.74897999999999998</v>
      </c>
      <c r="R26" s="33">
        <f>NetGenbyRegion!$AA34*0.95</f>
        <v>25.80048</v>
      </c>
      <c r="S26" s="30">
        <v>5</v>
      </c>
      <c r="T26" s="27" t="s">
        <v>109</v>
      </c>
      <c r="U26" s="27"/>
      <c r="V26" s="27"/>
    </row>
    <row r="27" spans="3:22" s="3" customFormat="1" x14ac:dyDescent="0.3">
      <c r="C27" s="24" t="s">
        <v>110</v>
      </c>
      <c r="D27" s="24" t="s">
        <v>40</v>
      </c>
      <c r="E27" s="24" t="s">
        <v>33</v>
      </c>
      <c r="F27" s="24" t="s">
        <v>33</v>
      </c>
      <c r="G27" s="24">
        <v>2010</v>
      </c>
      <c r="H27" s="26" t="s">
        <v>15</v>
      </c>
      <c r="I27" s="26">
        <v>1</v>
      </c>
      <c r="J27" s="34">
        <f>NetGenbyRegion!$D$39*0.98</f>
        <v>2.1591359999999997</v>
      </c>
      <c r="K27" s="34">
        <f>NetGenbyRegion!$D$40*0.98*1</f>
        <v>15.745464</v>
      </c>
      <c r="L27" s="34">
        <f>NetGenbyRegion!$D$41*0.98*1</f>
        <v>31.212215999999998</v>
      </c>
      <c r="M27" s="34">
        <f>NetGenbyRegion!$D$42*0.98*1</f>
        <v>85.271760000000015</v>
      </c>
      <c r="N27" s="34">
        <f>NetGenbyRegion!$D$43*0.98*1</f>
        <v>3.3269039999999999</v>
      </c>
      <c r="O27" s="34">
        <f>NetGenbyRegion!$D$44*0.98*1</f>
        <v>0.144648</v>
      </c>
      <c r="P27" s="34">
        <f>NetGenbyRegion!$D$45*0.98*1</f>
        <v>106.048152</v>
      </c>
      <c r="Q27" s="34">
        <f>NetGenbyRegion!$D$46*0.98*1</f>
        <v>36.987552000000001</v>
      </c>
      <c r="R27" s="34">
        <f>NetGenbyRegion!$D$47*0.98*1</f>
        <v>52.013304000000005</v>
      </c>
      <c r="S27" s="32">
        <v>1</v>
      </c>
      <c r="T27" s="24" t="s">
        <v>111</v>
      </c>
      <c r="U27" s="24"/>
      <c r="V27" s="24"/>
    </row>
    <row r="28" spans="3:22" s="3" customFormat="1" x14ac:dyDescent="0.3">
      <c r="C28" s="24" t="s">
        <v>110</v>
      </c>
      <c r="D28" s="24" t="s">
        <v>40</v>
      </c>
      <c r="E28" s="24" t="s">
        <v>33</v>
      </c>
      <c r="F28" s="24" t="s">
        <v>33</v>
      </c>
      <c r="G28" s="24">
        <v>2010</v>
      </c>
      <c r="H28" s="26" t="s">
        <v>9</v>
      </c>
      <c r="I28" s="26">
        <v>1</v>
      </c>
      <c r="J28" s="34">
        <f>NetGenbyRegion!$D$39*1.02</f>
        <v>2.2472639999999999</v>
      </c>
      <c r="K28" s="34">
        <f>NetGenbyRegion!$D$40*1.02*1</f>
        <v>16.388135999999999</v>
      </c>
      <c r="L28" s="34">
        <f>NetGenbyRegion!$D$41*1.02*1</f>
        <v>32.486184000000002</v>
      </c>
      <c r="M28" s="34">
        <f>NetGenbyRegion!$D$42*1.02*1</f>
        <v>88.752240000000015</v>
      </c>
      <c r="N28" s="34">
        <f>NetGenbyRegion!$D$43*1.02*1</f>
        <v>3.4626960000000002</v>
      </c>
      <c r="O28" s="34">
        <f>NetGenbyRegion!$D$44*1.02*1</f>
        <v>0.15055200000000002</v>
      </c>
      <c r="P28" s="34">
        <f>NetGenbyRegion!$D$45*1.02*1</f>
        <v>110.376648</v>
      </c>
      <c r="Q28" s="34">
        <f>NetGenbyRegion!$D$46*1.02*1</f>
        <v>38.497248000000006</v>
      </c>
      <c r="R28" s="34">
        <f>NetGenbyRegion!$D$47*1.02*1</f>
        <v>54.136296000000002</v>
      </c>
      <c r="S28" s="32">
        <v>1</v>
      </c>
      <c r="T28" s="24" t="s">
        <v>111</v>
      </c>
      <c r="U28" s="24"/>
      <c r="V28" s="24"/>
    </row>
    <row r="29" spans="3:22" s="3" customFormat="1" x14ac:dyDescent="0.3">
      <c r="C29" s="24" t="s">
        <v>110</v>
      </c>
      <c r="D29" s="24" t="s">
        <v>40</v>
      </c>
      <c r="E29" s="24" t="s">
        <v>33</v>
      </c>
      <c r="F29" s="24" t="s">
        <v>33</v>
      </c>
      <c r="G29" s="24">
        <v>2011</v>
      </c>
      <c r="H29" s="26" t="s">
        <v>15</v>
      </c>
      <c r="I29" s="26">
        <v>1</v>
      </c>
      <c r="J29" s="34">
        <f>NetGenbyRegion!$E$39*0.98</f>
        <v>3.0376080000000001</v>
      </c>
      <c r="K29" s="34">
        <f>NetGenbyRegion!$E$40*0.98*1</f>
        <v>16.345223999999998</v>
      </c>
      <c r="L29" s="34">
        <f>NetGenbyRegion!$E$41*0.98*1</f>
        <v>40.000464000000001</v>
      </c>
      <c r="M29" s="34">
        <f>NetGenbyRegion!$E$42*0.98*1</f>
        <v>110.28880799999999</v>
      </c>
      <c r="N29" s="34">
        <f>NetGenbyRegion!$E$43*0.98*1</f>
        <v>4.8439439999999996</v>
      </c>
      <c r="O29" s="34">
        <f>NetGenbyRegion!$E$44*0.98*1</f>
        <v>0.18698399999999998</v>
      </c>
      <c r="P29" s="34">
        <f>NetGenbyRegion!$E$45*0.98*1</f>
        <v>127.54778400000001</v>
      </c>
      <c r="Q29" s="34">
        <f>NetGenbyRegion!$E$46*0.98*1</f>
        <v>53.996040000000001</v>
      </c>
      <c r="R29" s="34">
        <f>NetGenbyRegion!$E$47*0.98*1</f>
        <v>66.291120000000006</v>
      </c>
      <c r="S29" s="32">
        <v>1</v>
      </c>
      <c r="T29" s="24" t="s">
        <v>111</v>
      </c>
      <c r="U29" s="24"/>
      <c r="V29" s="24"/>
    </row>
    <row r="30" spans="3:22" s="3" customFormat="1" x14ac:dyDescent="0.3">
      <c r="C30" s="24" t="s">
        <v>110</v>
      </c>
      <c r="D30" s="24" t="s">
        <v>40</v>
      </c>
      <c r="E30" s="24" t="s">
        <v>33</v>
      </c>
      <c r="F30" s="24" t="s">
        <v>33</v>
      </c>
      <c r="G30" s="24">
        <v>2011</v>
      </c>
      <c r="H30" s="26" t="s">
        <v>9</v>
      </c>
      <c r="I30" s="26">
        <v>1</v>
      </c>
      <c r="J30" s="34">
        <f>NetGenbyRegion!$E$39*1.02</f>
        <v>3.1615920000000002</v>
      </c>
      <c r="K30" s="34">
        <f>NetGenbyRegion!$E$40*1.02*1</f>
        <v>17.012376</v>
      </c>
      <c r="L30" s="34">
        <f>NetGenbyRegion!$E$41*1.02*1</f>
        <v>41.633136</v>
      </c>
      <c r="M30" s="34">
        <f>NetGenbyRegion!$E$42*1.02*1</f>
        <v>114.790392</v>
      </c>
      <c r="N30" s="34">
        <f>NetGenbyRegion!$E$43*1.02*1</f>
        <v>5.0416560000000006</v>
      </c>
      <c r="O30" s="34">
        <f>NetGenbyRegion!$E$44*1.02*1</f>
        <v>0.19461600000000001</v>
      </c>
      <c r="P30" s="34">
        <f>NetGenbyRegion!$E$45*1.02*1</f>
        <v>132.753816</v>
      </c>
      <c r="Q30" s="34">
        <f>NetGenbyRegion!$E$46*1.02*1</f>
        <v>56.199959999999997</v>
      </c>
      <c r="R30" s="34">
        <f>NetGenbyRegion!$E$47*1.02*1</f>
        <v>68.996880000000004</v>
      </c>
      <c r="S30" s="32">
        <v>1</v>
      </c>
      <c r="T30" s="24" t="s">
        <v>111</v>
      </c>
      <c r="U30" s="24"/>
      <c r="V30" s="24"/>
    </row>
    <row r="31" spans="3:22" s="3" customFormat="1" x14ac:dyDescent="0.3">
      <c r="C31" s="24" t="s">
        <v>110</v>
      </c>
      <c r="D31" s="24" t="s">
        <v>40</v>
      </c>
      <c r="E31" s="24" t="s">
        <v>33</v>
      </c>
      <c r="F31" s="24" t="s">
        <v>33</v>
      </c>
      <c r="G31" s="24">
        <v>2015</v>
      </c>
      <c r="H31" s="26" t="s">
        <v>15</v>
      </c>
      <c r="I31" s="26">
        <v>1</v>
      </c>
      <c r="J31" s="34">
        <f>NetGenbyRegion!$F$39*0.95*1</f>
        <v>7.6402800000000006</v>
      </c>
      <c r="K31" s="34">
        <f>NetGenbyRegion!$F$40*0.95*1</f>
        <v>25.133580000000002</v>
      </c>
      <c r="L31" s="34">
        <f>NetGenbyRegion!$F$41*0.95*1</f>
        <v>77.989679999999993</v>
      </c>
      <c r="M31" s="34">
        <f>NetGenbyRegion!$F$42*0.95*1</f>
        <v>177.2757</v>
      </c>
      <c r="N31" s="34">
        <f>NetGenbyRegion!$F$43*0.95*1</f>
        <v>6.1936199999999992</v>
      </c>
      <c r="O31" s="34">
        <f>NetGenbyRegion!$F$44*0.95*1</f>
        <v>0.15731999999999999</v>
      </c>
      <c r="P31" s="34">
        <f>NetGenbyRegion!$F$45*0.95*1</f>
        <v>201.21227999999999</v>
      </c>
      <c r="Q31" s="34">
        <f>NetGenbyRegion!$F$46*0.95*1</f>
        <v>64.7577</v>
      </c>
      <c r="R31" s="34">
        <f>NetGenbyRegion!$F$47*0.95*1</f>
        <v>88.670339999999996</v>
      </c>
      <c r="S31" s="32">
        <v>1</v>
      </c>
      <c r="T31" s="24" t="s">
        <v>111</v>
      </c>
      <c r="U31" s="24"/>
      <c r="V31" s="24"/>
    </row>
    <row r="32" spans="3:22" s="3" customFormat="1" x14ac:dyDescent="0.3">
      <c r="C32" s="24" t="s">
        <v>110</v>
      </c>
      <c r="D32" s="24" t="s">
        <v>40</v>
      </c>
      <c r="E32" s="24" t="s">
        <v>33</v>
      </c>
      <c r="F32" s="24" t="s">
        <v>33</v>
      </c>
      <c r="G32" s="24">
        <v>2015</v>
      </c>
      <c r="H32" s="26" t="s">
        <v>9</v>
      </c>
      <c r="I32" s="26">
        <v>1</v>
      </c>
      <c r="J32" s="34">
        <f>NetGenbyRegion!$F$39*1.05*1</f>
        <v>8.4445200000000007</v>
      </c>
      <c r="K32" s="34">
        <f>NetGenbyRegion!$F$40*1.05*1</f>
        <v>27.779220000000002</v>
      </c>
      <c r="L32" s="34">
        <f>NetGenbyRegion!$F$41*1.05*1</f>
        <v>86.199119999999994</v>
      </c>
      <c r="M32" s="34">
        <f>NetGenbyRegion!$F$42*1.05*1</f>
        <v>195.93629999999999</v>
      </c>
      <c r="N32" s="34">
        <f>NetGenbyRegion!$F$43*1.05*1</f>
        <v>6.84558</v>
      </c>
      <c r="O32" s="34">
        <f>NetGenbyRegion!$F$44*1.05*1</f>
        <v>0.17388000000000001</v>
      </c>
      <c r="P32" s="34">
        <f>NetGenbyRegion!$F$45*1.05*1</f>
        <v>222.39252000000002</v>
      </c>
      <c r="Q32" s="34">
        <f>NetGenbyRegion!$F$46*1.05*1</f>
        <v>71.574299999999994</v>
      </c>
      <c r="R32" s="34">
        <f>NetGenbyRegion!$F$47*1.05*1</f>
        <v>98.004059999999996</v>
      </c>
      <c r="S32" s="32">
        <v>1</v>
      </c>
      <c r="T32" s="24" t="s">
        <v>111</v>
      </c>
      <c r="U32" s="24"/>
      <c r="V32" s="24"/>
    </row>
    <row r="33" spans="2:24" s="3" customFormat="1" x14ac:dyDescent="0.3">
      <c r="C33" s="24" t="s">
        <v>110</v>
      </c>
      <c r="D33" s="24" t="s">
        <v>40</v>
      </c>
      <c r="E33" s="24" t="s">
        <v>33</v>
      </c>
      <c r="F33" s="24" t="s">
        <v>33</v>
      </c>
      <c r="G33" s="24">
        <v>2020</v>
      </c>
      <c r="H33" s="26" t="s">
        <v>15</v>
      </c>
      <c r="I33" s="26">
        <v>1</v>
      </c>
      <c r="J33" s="34">
        <f>NetGenbyRegion!$G$39*0.95*1</f>
        <v>12.404339999999999</v>
      </c>
      <c r="K33" s="34">
        <f>NetGenbyRegion!$G$40*0.95*1</f>
        <v>28.772460000000002</v>
      </c>
      <c r="L33" s="34">
        <f>NetGenbyRegion!$G$41*0.95*1</f>
        <v>100.62324</v>
      </c>
      <c r="M33" s="34">
        <f>NetGenbyRegion!$G$42*0.95*1</f>
        <v>284.22593999999998</v>
      </c>
      <c r="N33" s="34">
        <f>NetGenbyRegion!$G$43*0.95*1</f>
        <v>9.705960000000001</v>
      </c>
      <c r="O33" s="34">
        <f>NetGenbyRegion!$G$44*0.95*1</f>
        <v>0.14022000000000001</v>
      </c>
      <c r="P33" s="34">
        <f>NetGenbyRegion!$G$45*0.95*1</f>
        <v>387.30131999999998</v>
      </c>
      <c r="Q33" s="34">
        <f>NetGenbyRegion!$G$46*0.95*1</f>
        <v>97.432379999999995</v>
      </c>
      <c r="R33" s="34">
        <f>NetGenbyRegion!$G$47*0.95*1</f>
        <v>102.09384</v>
      </c>
      <c r="S33" s="32">
        <v>1</v>
      </c>
      <c r="T33" s="24" t="s">
        <v>111</v>
      </c>
      <c r="U33" s="24"/>
      <c r="V33" s="24"/>
    </row>
    <row r="34" spans="2:24" s="3" customFormat="1" x14ac:dyDescent="0.3">
      <c r="C34" s="27" t="s">
        <v>112</v>
      </c>
      <c r="D34" s="27" t="s">
        <v>41</v>
      </c>
      <c r="E34" s="27" t="s">
        <v>33</v>
      </c>
      <c r="F34" s="27" t="s">
        <v>33</v>
      </c>
      <c r="G34" s="27">
        <v>2010</v>
      </c>
      <c r="H34" s="28" t="s">
        <v>15</v>
      </c>
      <c r="I34" s="28">
        <v>1</v>
      </c>
      <c r="J34" s="75">
        <v>0</v>
      </c>
      <c r="K34" s="74">
        <f>NetGenbyRegion!$H$40*0.98*1</f>
        <v>9.8783999999999997E-2</v>
      </c>
      <c r="L34" s="74">
        <v>0</v>
      </c>
      <c r="M34" s="74">
        <f>NetGenbyRegion!$H$42*0.98*1</f>
        <v>0</v>
      </c>
      <c r="N34" s="74">
        <v>0</v>
      </c>
      <c r="O34" s="74">
        <f>NetGenbyRegion!$H$44*0.98*1</f>
        <v>0</v>
      </c>
      <c r="P34" s="74">
        <v>0</v>
      </c>
      <c r="Q34" s="74">
        <f>NetGenbyRegion!$H$46*0.98*1</f>
        <v>0.99489599999999989</v>
      </c>
      <c r="R34" s="74">
        <f>NetGenbyRegion!$H$47*0.98*1</f>
        <v>2.6989199999999998</v>
      </c>
      <c r="S34" s="30">
        <v>1</v>
      </c>
      <c r="T34" s="27" t="s">
        <v>113</v>
      </c>
      <c r="U34" s="27"/>
      <c r="V34" s="27"/>
    </row>
    <row r="35" spans="2:24" s="3" customFormat="1" x14ac:dyDescent="0.3">
      <c r="B35" s="40"/>
      <c r="C35" s="27" t="s">
        <v>112</v>
      </c>
      <c r="D35" s="27" t="s">
        <v>41</v>
      </c>
      <c r="E35" s="27" t="s">
        <v>33</v>
      </c>
      <c r="F35" s="27" t="s">
        <v>33</v>
      </c>
      <c r="G35" s="27">
        <v>2010</v>
      </c>
      <c r="H35" s="28" t="s">
        <v>9</v>
      </c>
      <c r="I35" s="28">
        <v>1</v>
      </c>
      <c r="J35" s="75">
        <f>NetGenbyRegion!$H$39*1.02*1</f>
        <v>3.6720000000000004E-3</v>
      </c>
      <c r="K35" s="74">
        <f>NetGenbyRegion!$H$40*1.02*1</f>
        <v>0.102816</v>
      </c>
      <c r="L35" s="74">
        <f>NetGenbyRegion!$H$41*1.02*1</f>
        <v>9.9143999999999996E-2</v>
      </c>
      <c r="M35" s="74">
        <f>NetGenbyRegion!$H$42*1.02*1</f>
        <v>0</v>
      </c>
      <c r="N35" s="74">
        <f>NetGenbyRegion!$H$43*1.02*1</f>
        <v>0.33782400000000001</v>
      </c>
      <c r="O35" s="74">
        <f>NetGenbyRegion!$H$44*1.02*1</f>
        <v>0</v>
      </c>
      <c r="P35" s="74">
        <f>NetGenbyRegion!$H$45*1.02*1</f>
        <v>2.9376000000000003E-2</v>
      </c>
      <c r="Q35" s="74">
        <f>NetGenbyRegion!$H$46*1.02*1</f>
        <v>1.035504</v>
      </c>
      <c r="R35" s="74">
        <f>NetGenbyRegion!$H$47*1.02*1</f>
        <v>2.8090800000000002</v>
      </c>
      <c r="S35" s="30">
        <v>1</v>
      </c>
      <c r="T35" s="27" t="s">
        <v>113</v>
      </c>
      <c r="U35" s="27"/>
      <c r="V35" s="27"/>
    </row>
    <row r="36" spans="2:24" s="3" customFormat="1" x14ac:dyDescent="0.3">
      <c r="C36" s="27" t="s">
        <v>112</v>
      </c>
      <c r="D36" s="27" t="s">
        <v>41</v>
      </c>
      <c r="E36" s="27" t="s">
        <v>33</v>
      </c>
      <c r="F36" s="27" t="s">
        <v>33</v>
      </c>
      <c r="G36" s="27">
        <v>2011</v>
      </c>
      <c r="H36" s="28" t="s">
        <v>15</v>
      </c>
      <c r="I36" s="28">
        <v>1</v>
      </c>
      <c r="J36" s="74">
        <f>NetGenbyRegion!$I$39*0.98*1</f>
        <v>2.1167999999999999E-2</v>
      </c>
      <c r="K36" s="74">
        <f>NetGenbyRegion!$I$40*0.98*1</f>
        <v>0.29988000000000004</v>
      </c>
      <c r="L36" s="74">
        <f>NetGenbyRegion!$I$41*0.98*1</f>
        <v>0.10584</v>
      </c>
      <c r="M36" s="74">
        <f>NetGenbyRegion!$I$42*0.98*1</f>
        <v>0</v>
      </c>
      <c r="N36" s="74">
        <f>NetGenbyRegion!$I$43*0.98*1</f>
        <v>0.54331200000000002</v>
      </c>
      <c r="O36" s="74">
        <f>NetGenbyRegion!$I$44*0.98*1</f>
        <v>0</v>
      </c>
      <c r="P36" s="74">
        <f>NetGenbyRegion!$I$45*0.98*1</f>
        <v>0.102312</v>
      </c>
      <c r="Q36" s="74">
        <f>NetGenbyRegion!$I$46*0.98*1</f>
        <v>1.9721520000000003</v>
      </c>
      <c r="R36" s="74">
        <f>NetGenbyRegion!$I$47*0.98*1</f>
        <v>3.0411360000000003</v>
      </c>
      <c r="S36" s="30">
        <v>1</v>
      </c>
      <c r="T36" s="27" t="s">
        <v>113</v>
      </c>
      <c r="U36" s="27"/>
      <c r="V36" s="27"/>
    </row>
    <row r="37" spans="2:24" s="3" customFormat="1" x14ac:dyDescent="0.3">
      <c r="B37" s="40"/>
      <c r="C37" s="27" t="s">
        <v>112</v>
      </c>
      <c r="D37" s="27" t="s">
        <v>41</v>
      </c>
      <c r="E37" s="27" t="s">
        <v>33</v>
      </c>
      <c r="F37" s="27" t="s">
        <v>33</v>
      </c>
      <c r="G37" s="27">
        <v>2011</v>
      </c>
      <c r="H37" s="28" t="s">
        <v>9</v>
      </c>
      <c r="I37" s="28">
        <v>1</v>
      </c>
      <c r="J37" s="74">
        <f>NetGenbyRegion!$I$39*1.02*1</f>
        <v>2.2032000000000003E-2</v>
      </c>
      <c r="K37" s="74">
        <f>NetGenbyRegion!$I$40*1.02*1</f>
        <v>0.31212000000000006</v>
      </c>
      <c r="L37" s="74">
        <f>NetGenbyRegion!$I$41*1.02*1</f>
        <v>0.11015999999999999</v>
      </c>
      <c r="M37" s="74">
        <f>NetGenbyRegion!$I$42*1.02*1</f>
        <v>0</v>
      </c>
      <c r="N37" s="74">
        <f>NetGenbyRegion!$I$43*1.02*1</f>
        <v>0.56548799999999999</v>
      </c>
      <c r="O37" s="74">
        <f>NetGenbyRegion!$I$44*1.02*1</f>
        <v>0</v>
      </c>
      <c r="P37" s="74">
        <f>NetGenbyRegion!$I$45*1.02*1</f>
        <v>0.10648800000000001</v>
      </c>
      <c r="Q37" s="74">
        <f>NetGenbyRegion!$I$46*1.02*1</f>
        <v>2.0526480000000005</v>
      </c>
      <c r="R37" s="74">
        <f>NetGenbyRegion!$I$47*1.02*1</f>
        <v>3.1652640000000001</v>
      </c>
      <c r="S37" s="30">
        <v>1</v>
      </c>
      <c r="T37" s="27" t="s">
        <v>113</v>
      </c>
      <c r="U37" s="27"/>
      <c r="V37" s="27"/>
    </row>
    <row r="38" spans="2:24" s="3" customFormat="1" x14ac:dyDescent="0.3">
      <c r="C38" s="27" t="s">
        <v>112</v>
      </c>
      <c r="D38" s="27" t="s">
        <v>41</v>
      </c>
      <c r="E38" s="27" t="s">
        <v>33</v>
      </c>
      <c r="F38" s="27" t="s">
        <v>33</v>
      </c>
      <c r="G38" s="27">
        <v>2015</v>
      </c>
      <c r="H38" s="28" t="s">
        <v>15</v>
      </c>
      <c r="I38" s="28">
        <v>1</v>
      </c>
      <c r="J38" s="74">
        <f>NetGenbyRegion!$J$39*0.98*1</f>
        <v>1.862784</v>
      </c>
      <c r="K38" s="74">
        <f>NetGenbyRegion!$J$40*0.98*1</f>
        <v>2.2720319999999998</v>
      </c>
      <c r="L38" s="74">
        <f>NetGenbyRegion!$J$41*0.98*1</f>
        <v>0.91375200000000001</v>
      </c>
      <c r="M38" s="74">
        <f>NetGenbyRegion!$J$42*0.98*1</f>
        <v>7.4088000000000001E-2</v>
      </c>
      <c r="N38" s="74">
        <f>NetGenbyRegion!$J$43*0.98*1</f>
        <v>6.3786239999999994</v>
      </c>
      <c r="O38" s="74">
        <f>NetGenbyRegion!$J$44*0.98*1</f>
        <v>0.257544</v>
      </c>
      <c r="P38" s="74">
        <f>NetGenbyRegion!$J$45*0.98*1</f>
        <v>1.4147280000000002</v>
      </c>
      <c r="Q38" s="74">
        <f>NetGenbyRegion!$J$46*0.98*1</f>
        <v>20.921039999999998</v>
      </c>
      <c r="R38" s="74">
        <f>NetGenbyRegion!$J$47*0.98*1</f>
        <v>51.988608000000006</v>
      </c>
      <c r="S38" s="30">
        <v>1</v>
      </c>
      <c r="T38" s="27" t="s">
        <v>113</v>
      </c>
      <c r="U38" s="27"/>
      <c r="V38" s="27"/>
    </row>
    <row r="39" spans="2:24" s="3" customFormat="1" x14ac:dyDescent="0.3">
      <c r="C39" s="27" t="s">
        <v>112</v>
      </c>
      <c r="D39" s="27" t="s">
        <v>41</v>
      </c>
      <c r="E39" s="27" t="s">
        <v>33</v>
      </c>
      <c r="F39" s="27" t="s">
        <v>33</v>
      </c>
      <c r="G39" s="27">
        <v>2015</v>
      </c>
      <c r="H39" s="28" t="s">
        <v>9</v>
      </c>
      <c r="I39" s="28">
        <v>1</v>
      </c>
      <c r="J39" s="74">
        <f>NetGenbyRegion!$J$39*1.02*1</f>
        <v>1.9388160000000001</v>
      </c>
      <c r="K39" s="74">
        <f>NetGenbyRegion!$J$40*1.02*1</f>
        <v>2.3647680000000002</v>
      </c>
      <c r="L39" s="74">
        <f>NetGenbyRegion!$J$41*1.02*1</f>
        <v>0.951048</v>
      </c>
      <c r="M39" s="74">
        <f>NetGenbyRegion!$J$42*1.02*1</f>
        <v>7.7112E-2</v>
      </c>
      <c r="N39" s="74">
        <f>NetGenbyRegion!$J$43*1.02*1</f>
        <v>6.6389760000000004</v>
      </c>
      <c r="O39" s="74">
        <f>NetGenbyRegion!$J$44*1.02*1</f>
        <v>0.26805599999999996</v>
      </c>
      <c r="P39" s="74">
        <f>NetGenbyRegion!$J$45*1.02*1</f>
        <v>1.4724720000000002</v>
      </c>
      <c r="Q39" s="74">
        <f>NetGenbyRegion!$J$46*1.02*1</f>
        <v>21.77496</v>
      </c>
      <c r="R39" s="74">
        <f>NetGenbyRegion!$J$47*1.02*1</f>
        <v>54.110592000000004</v>
      </c>
      <c r="S39" s="30">
        <v>1</v>
      </c>
      <c r="T39" s="27" t="s">
        <v>113</v>
      </c>
      <c r="U39" s="27"/>
      <c r="V39" s="27"/>
    </row>
    <row r="40" spans="2:24" s="3" customFormat="1" x14ac:dyDescent="0.3">
      <c r="C40" s="27" t="s">
        <v>112</v>
      </c>
      <c r="D40" s="27" t="s">
        <v>41</v>
      </c>
      <c r="E40" s="27" t="s">
        <v>33</v>
      </c>
      <c r="F40" s="27" t="s">
        <v>33</v>
      </c>
      <c r="G40" s="27">
        <v>2020</v>
      </c>
      <c r="H40" s="28" t="s">
        <v>15</v>
      </c>
      <c r="I40" s="28">
        <v>1</v>
      </c>
      <c r="J40" s="74">
        <f>NetGenbyRegion!$K$39*0.98*1.4</f>
        <v>7.8928416000000006</v>
      </c>
      <c r="K40" s="74">
        <f>NetGenbyRegion!$K$40*0.98*1.4</f>
        <v>8.76708</v>
      </c>
      <c r="L40" s="74">
        <f>NetGenbyRegion!$K$41*0.98*1.4</f>
        <v>3.7142784</v>
      </c>
      <c r="M40" s="74">
        <f>NetGenbyRegion!$K$42*0.98*1.4</f>
        <v>8.327491199999999</v>
      </c>
      <c r="N40" s="74">
        <f>NetGenbyRegion!$K$43*0.98*1.4</f>
        <v>75.747571199999996</v>
      </c>
      <c r="O40" s="74">
        <f>NetGenbyRegion!$K$44*0.98*1.4</f>
        <v>5.2997615999999992</v>
      </c>
      <c r="P40" s="74">
        <f>NetGenbyRegion!$K$45*0.98*1.4</f>
        <v>22.621535999999999</v>
      </c>
      <c r="Q40" s="74">
        <f>NetGenbyRegion!$K$46*0.98*1.4</f>
        <v>75.796963200000008</v>
      </c>
      <c r="R40" s="74">
        <f>NetGenbyRegion!$K$47*0.98*1.4</f>
        <v>143.89865279999998</v>
      </c>
      <c r="S40" s="30">
        <v>1</v>
      </c>
      <c r="T40" s="27" t="s">
        <v>113</v>
      </c>
      <c r="U40" s="27"/>
      <c r="V40" s="27"/>
    </row>
    <row r="41" spans="2:24" s="3" customFormat="1" x14ac:dyDescent="0.3">
      <c r="C41" s="24" t="s">
        <v>536</v>
      </c>
      <c r="D41" s="24" t="s">
        <v>128</v>
      </c>
      <c r="E41" s="24" t="s">
        <v>33</v>
      </c>
      <c r="F41" s="24" t="s">
        <v>33</v>
      </c>
      <c r="G41" s="24">
        <v>2010</v>
      </c>
      <c r="H41" s="26" t="s">
        <v>15</v>
      </c>
      <c r="I41" s="26">
        <v>1</v>
      </c>
      <c r="J41" s="73">
        <v>0</v>
      </c>
      <c r="K41" s="73">
        <f>NetGenbyRegion!$L$40*0.98</f>
        <v>15.177455999999999</v>
      </c>
      <c r="L41" s="73">
        <f>NetGenbyRegion!$L$41*0.98</f>
        <v>12.584376000000001</v>
      </c>
      <c r="M41" s="73">
        <f>NetGenbyRegion!$L$42*0.5</f>
        <v>2.9106000000000001</v>
      </c>
      <c r="N41" s="73">
        <f>NetGenbyRegion!$L$43*0.98</f>
        <v>18.747792</v>
      </c>
      <c r="O41" s="73">
        <f>NetGenbyRegion!$L$44*0.98</f>
        <v>1.319472</v>
      </c>
      <c r="P41" s="73">
        <f>NetGenbyRegion!$L$45*0.98</f>
        <v>1.9333440000000002</v>
      </c>
      <c r="Q41" s="73">
        <f>NetGenbyRegion!$L$46*0.98</f>
        <v>1.3653359999999999</v>
      </c>
      <c r="R41" s="73">
        <v>0</v>
      </c>
      <c r="S41" s="32">
        <v>1</v>
      </c>
      <c r="T41" s="24" t="s">
        <v>111</v>
      </c>
      <c r="U41" s="24"/>
      <c r="V41" s="24"/>
      <c r="X41" s="40"/>
    </row>
    <row r="42" spans="2:24" s="3" customFormat="1" x14ac:dyDescent="0.3">
      <c r="C42" s="24" t="s">
        <v>536</v>
      </c>
      <c r="D42" s="24" t="s">
        <v>128</v>
      </c>
      <c r="E42" s="24" t="s">
        <v>33</v>
      </c>
      <c r="F42" s="24" t="s">
        <v>33</v>
      </c>
      <c r="G42" s="24">
        <v>2010</v>
      </c>
      <c r="H42" s="26" t="s">
        <v>9</v>
      </c>
      <c r="I42" s="26">
        <v>1</v>
      </c>
      <c r="J42" s="73">
        <f>NetGenbyRegion!$L$39*1.02</f>
        <v>21.036888000000001</v>
      </c>
      <c r="K42" s="73">
        <f>NetGenbyRegion!$L$40*1.02</f>
        <v>15.796944</v>
      </c>
      <c r="L42" s="73">
        <f>NetGenbyRegion!$L$41*1.02</f>
        <v>13.098024000000001</v>
      </c>
      <c r="M42" s="73">
        <f>NetGenbyRegion!$L$42*1.02</f>
        <v>5.9376240000000005</v>
      </c>
      <c r="N42" s="73">
        <f>NetGenbyRegion!$L$43*1.02</f>
        <v>19.513008000000003</v>
      </c>
      <c r="O42" s="73">
        <f>NetGenbyRegion!$L$44*1.02</f>
        <v>1.3733280000000001</v>
      </c>
      <c r="P42" s="73">
        <f>NetGenbyRegion!$L$45*1.02</f>
        <v>2.0122560000000003</v>
      </c>
      <c r="Q42" s="73">
        <f>NetGenbyRegion!$L$46*1.02</f>
        <v>1.4210640000000001</v>
      </c>
      <c r="R42" s="73">
        <f>NetGenbyRegion!$L$47*1.02</f>
        <v>21.962232</v>
      </c>
      <c r="S42" s="32">
        <v>1</v>
      </c>
      <c r="T42" s="24" t="s">
        <v>111</v>
      </c>
      <c r="U42" s="24"/>
      <c r="V42" s="24"/>
      <c r="X42" s="40"/>
    </row>
    <row r="43" spans="2:24" s="3" customFormat="1" x14ac:dyDescent="0.3">
      <c r="C43" s="24" t="s">
        <v>536</v>
      </c>
      <c r="D43" s="24" t="s">
        <v>128</v>
      </c>
      <c r="E43" s="24" t="s">
        <v>33</v>
      </c>
      <c r="F43" s="24" t="s">
        <v>33</v>
      </c>
      <c r="G43" s="24">
        <v>2011</v>
      </c>
      <c r="H43" s="26" t="s">
        <v>15</v>
      </c>
      <c r="I43" s="26">
        <v>1</v>
      </c>
      <c r="J43" s="73">
        <f>NetGenbyRegion!$M$39*0.5</f>
        <v>9.1062000000000012</v>
      </c>
      <c r="K43" s="73">
        <f>NetGenbyRegion!$M$40*0.98</f>
        <v>14.348376000000002</v>
      </c>
      <c r="L43" s="73">
        <f>NetGenbyRegion!$M$41*0.98</f>
        <v>13.674527999999999</v>
      </c>
      <c r="M43" s="73">
        <f>NetGenbyRegion!$M$42*0.5</f>
        <v>2.5811999999999999</v>
      </c>
      <c r="N43" s="73">
        <f>NetGenbyRegion!$M$43*0.98</f>
        <v>19.432224000000001</v>
      </c>
      <c r="O43" s="73">
        <f>NetGenbyRegion!$M$44*0.98</f>
        <v>1.25244</v>
      </c>
      <c r="P43" s="73">
        <f>NetGenbyRegion!$M$45*0.98</f>
        <v>2.4272639999999996</v>
      </c>
      <c r="Q43" s="73">
        <f>NetGenbyRegion!$M$46*0.98</f>
        <v>1.4711759999999998</v>
      </c>
      <c r="R43" s="73">
        <f>NetGenbyRegion!$M$47*0.5</f>
        <v>9.5022000000000002</v>
      </c>
      <c r="S43" s="32">
        <v>1</v>
      </c>
      <c r="T43" s="24" t="s">
        <v>111</v>
      </c>
      <c r="U43" s="24"/>
      <c r="V43" s="24"/>
      <c r="X43" s="40"/>
    </row>
    <row r="44" spans="2:24" s="3" customFormat="1" x14ac:dyDescent="0.3">
      <c r="C44" s="24" t="s">
        <v>536</v>
      </c>
      <c r="D44" s="24" t="s">
        <v>128</v>
      </c>
      <c r="E44" s="24" t="s">
        <v>33</v>
      </c>
      <c r="F44" s="24" t="s">
        <v>33</v>
      </c>
      <c r="G44" s="24">
        <v>2011</v>
      </c>
      <c r="H44" s="26" t="s">
        <v>9</v>
      </c>
      <c r="I44" s="26">
        <v>1</v>
      </c>
      <c r="J44" s="73">
        <f>NetGenbyRegion!$M$39*1.02</f>
        <v>18.576648000000002</v>
      </c>
      <c r="K44" s="73">
        <f>NetGenbyRegion!$M$40*1.02</f>
        <v>14.934024000000001</v>
      </c>
      <c r="L44" s="73">
        <f>NetGenbyRegion!$M$41*1.02</f>
        <v>14.232672000000001</v>
      </c>
      <c r="M44" s="73">
        <f>NetGenbyRegion!$M$42*1.02</f>
        <v>5.2656479999999997</v>
      </c>
      <c r="N44" s="73">
        <f>NetGenbyRegion!$M$43*1.02</f>
        <v>20.225376000000001</v>
      </c>
      <c r="O44" s="73">
        <f>NetGenbyRegion!$M$44*1.02</f>
        <v>1.3035600000000001</v>
      </c>
      <c r="P44" s="73">
        <f>NetGenbyRegion!$M$45*1.02</f>
        <v>2.5263360000000001</v>
      </c>
      <c r="Q44" s="73">
        <f>NetGenbyRegion!$M$46*1.02</f>
        <v>1.5312239999999999</v>
      </c>
      <c r="R44" s="73">
        <f>NetGenbyRegion!$M$47*1.02</f>
        <v>19.384488000000001</v>
      </c>
      <c r="S44" s="32">
        <v>1</v>
      </c>
      <c r="T44" s="24" t="s">
        <v>111</v>
      </c>
      <c r="U44" s="24"/>
      <c r="V44" s="24"/>
      <c r="X44" s="40"/>
    </row>
    <row r="45" spans="2:24" s="3" customFormat="1" x14ac:dyDescent="0.3">
      <c r="C45" s="24" t="s">
        <v>536</v>
      </c>
      <c r="D45" s="24" t="s">
        <v>128</v>
      </c>
      <c r="E45" s="24" t="s">
        <v>33</v>
      </c>
      <c r="F45" s="24" t="s">
        <v>33</v>
      </c>
      <c r="G45" s="24">
        <v>2015</v>
      </c>
      <c r="H45" s="26" t="s">
        <v>15</v>
      </c>
      <c r="I45" s="26">
        <v>1</v>
      </c>
      <c r="J45" s="73">
        <f>NetGenbyRegion!$N$39*0.5</f>
        <v>10.8522</v>
      </c>
      <c r="K45" s="73">
        <f>NetGenbyRegion!$N$40*0.98</f>
        <v>15.159815999999999</v>
      </c>
      <c r="L45" s="73">
        <f>NetGenbyRegion!$N$41*0.98</f>
        <v>13.861511999999999</v>
      </c>
      <c r="M45" s="73">
        <f>NetGenbyRegion!$N$42*0.5</f>
        <v>2.8332000000000002</v>
      </c>
      <c r="N45" s="73">
        <f>NetGenbyRegion!$N$43*0.98</f>
        <v>29.240064</v>
      </c>
      <c r="O45" s="73">
        <f>NetGenbyRegion!$N$44*0.98</f>
        <v>1.541736</v>
      </c>
      <c r="P45" s="73">
        <f>NetGenbyRegion!$N$45*0.98</f>
        <v>3.7044000000000001</v>
      </c>
      <c r="Q45" s="73">
        <f>NetGenbyRegion!$N$46*0.98</f>
        <v>2.250864</v>
      </c>
      <c r="R45" s="73">
        <f>NetGenbyRegion!$N$47*0.5</f>
        <v>10.962</v>
      </c>
      <c r="S45" s="32">
        <v>1</v>
      </c>
      <c r="T45" s="24" t="s">
        <v>111</v>
      </c>
      <c r="U45" s="24"/>
      <c r="V45" s="24"/>
      <c r="X45" s="40"/>
    </row>
    <row r="46" spans="2:24" s="3" customFormat="1" x14ac:dyDescent="0.3">
      <c r="C46" s="24" t="s">
        <v>536</v>
      </c>
      <c r="D46" s="24" t="s">
        <v>128</v>
      </c>
      <c r="E46" s="24" t="s">
        <v>33</v>
      </c>
      <c r="F46" s="24" t="s">
        <v>33</v>
      </c>
      <c r="G46" s="24">
        <v>2015</v>
      </c>
      <c r="H46" s="26" t="s">
        <v>9</v>
      </c>
      <c r="I46" s="26">
        <v>1</v>
      </c>
      <c r="J46" s="73">
        <f>NetGenbyRegion!$N$39*1.02</f>
        <v>22.138487999999999</v>
      </c>
      <c r="K46" s="73">
        <f>NetGenbyRegion!$N$40*1.02</f>
        <v>15.778583999999999</v>
      </c>
      <c r="L46" s="73">
        <f>NetGenbyRegion!$N$41*1.02</f>
        <v>14.427287999999999</v>
      </c>
      <c r="M46" s="73">
        <f>NetGenbyRegion!$N$42*1.02</f>
        <v>5.7797280000000004</v>
      </c>
      <c r="N46" s="73">
        <f>NetGenbyRegion!$N$43*1.02</f>
        <v>30.433536</v>
      </c>
      <c r="O46" s="73">
        <f>NetGenbyRegion!$N$44*1.02</f>
        <v>1.6046639999999999</v>
      </c>
      <c r="P46" s="73">
        <f>NetGenbyRegion!$N$45*1.02</f>
        <v>3.8556000000000004</v>
      </c>
      <c r="Q46" s="73">
        <f>NetGenbyRegion!$N$46*1.02</f>
        <v>2.3427360000000004</v>
      </c>
      <c r="R46" s="73">
        <f>NetGenbyRegion!$N$47*1.02</f>
        <v>22.362480000000001</v>
      </c>
      <c r="S46" s="32">
        <v>1</v>
      </c>
      <c r="T46" s="24" t="s">
        <v>111</v>
      </c>
      <c r="U46" s="24"/>
      <c r="V46" s="24"/>
      <c r="X46" s="40"/>
    </row>
    <row r="47" spans="2:24" s="3" customFormat="1" x14ac:dyDescent="0.3">
      <c r="C47" s="24" t="s">
        <v>536</v>
      </c>
      <c r="D47" s="24" t="s">
        <v>128</v>
      </c>
      <c r="E47" s="24" t="s">
        <v>33</v>
      </c>
      <c r="F47" s="24" t="s">
        <v>33</v>
      </c>
      <c r="G47" s="24">
        <v>2020</v>
      </c>
      <c r="H47" s="26" t="s">
        <v>15</v>
      </c>
      <c r="I47" s="26">
        <v>1</v>
      </c>
      <c r="J47" s="73">
        <f>NetGenbyRegion!$O$39*0.5</f>
        <v>9.1709999999999994</v>
      </c>
      <c r="K47" s="34">
        <f>NetGenbyRegion!$O$40*0.98</f>
        <v>12.972455999999999</v>
      </c>
      <c r="L47" s="34">
        <f>NetGenbyRegion!$O$41*0.98</f>
        <v>12.831335999999999</v>
      </c>
      <c r="M47" s="34">
        <f>NetGenbyRegion!$O$42*0.5</f>
        <v>1.7298</v>
      </c>
      <c r="N47" s="34">
        <f>NetGenbyRegion!$O$43*0.98</f>
        <v>29.599920000000004</v>
      </c>
      <c r="O47" s="34">
        <f>NetGenbyRegion!$O$44*0.98</f>
        <v>1.1148479999999998</v>
      </c>
      <c r="P47" s="34">
        <f>NetGenbyRegion!$O$45*0.98</f>
        <v>2.1979439999999997</v>
      </c>
      <c r="Q47" s="34">
        <f>NetGenbyRegion!$O$46*0.98</f>
        <v>2.2967280000000003</v>
      </c>
      <c r="R47" s="34">
        <f>NetGenbyRegion!$O$47*0.5</f>
        <v>9.5327999999999999</v>
      </c>
      <c r="S47" s="32">
        <v>1</v>
      </c>
      <c r="T47" s="24" t="s">
        <v>111</v>
      </c>
      <c r="U47" s="24"/>
      <c r="V47" s="24"/>
      <c r="X47" s="40"/>
    </row>
    <row r="48" spans="2:24" s="3" customFormat="1" x14ac:dyDescent="0.3">
      <c r="C48" s="27" t="s">
        <v>535</v>
      </c>
      <c r="D48" s="27" t="s">
        <v>129</v>
      </c>
      <c r="E48" s="27" t="s">
        <v>33</v>
      </c>
      <c r="F48" s="27" t="s">
        <v>33</v>
      </c>
      <c r="G48" s="27">
        <v>2010</v>
      </c>
      <c r="H48" s="28" t="s">
        <v>15</v>
      </c>
      <c r="I48" s="28">
        <v>1</v>
      </c>
      <c r="J48" s="34">
        <f>NetGenbyRegion!$P$39*0.98</f>
        <v>0</v>
      </c>
      <c r="K48" s="34">
        <f>NetGenbyRegion!$P$40*0.98</f>
        <v>0</v>
      </c>
      <c r="L48" s="34">
        <f>NetGenbyRegion!$P$41*0.98</f>
        <v>0</v>
      </c>
      <c r="M48" s="34">
        <f>NetGenbyRegion!$P$42*0.98</f>
        <v>0</v>
      </c>
      <c r="N48" s="34">
        <f>NetGenbyRegion!$P$43*0.98</f>
        <v>0</v>
      </c>
      <c r="O48" s="34">
        <f>NetGenbyRegion!$P$44*0.98</f>
        <v>0</v>
      </c>
      <c r="P48" s="34">
        <f>NetGenbyRegion!$P$45*0.98</f>
        <v>0</v>
      </c>
      <c r="Q48" s="34">
        <f>NetGenbyRegion!$P$46*0.98</f>
        <v>8.5342320000000012</v>
      </c>
      <c r="R48" s="34">
        <f>NetGenbyRegion!$P$47*0.98</f>
        <v>44.452799999999996</v>
      </c>
      <c r="S48" s="30">
        <v>1</v>
      </c>
      <c r="T48" s="27" t="s">
        <v>113</v>
      </c>
      <c r="U48" s="27"/>
      <c r="V48" s="27"/>
    </row>
    <row r="49" spans="2:22" s="3" customFormat="1" x14ac:dyDescent="0.3">
      <c r="B49" s="40"/>
      <c r="C49" s="27" t="s">
        <v>535</v>
      </c>
      <c r="D49" s="27" t="s">
        <v>129</v>
      </c>
      <c r="E49" s="27" t="s">
        <v>33</v>
      </c>
      <c r="F49" s="27" t="s">
        <v>33</v>
      </c>
      <c r="G49" s="27">
        <v>2010</v>
      </c>
      <c r="H49" s="28" t="s">
        <v>9</v>
      </c>
      <c r="I49" s="28">
        <v>1</v>
      </c>
      <c r="J49" s="34">
        <f>NetGenbyRegion!$P$39*1.02</f>
        <v>0</v>
      </c>
      <c r="K49" s="34">
        <f>NetGenbyRegion!$P$40*1.02</f>
        <v>0</v>
      </c>
      <c r="L49" s="34">
        <f>NetGenbyRegion!$P$41*1.02</f>
        <v>0</v>
      </c>
      <c r="M49" s="34">
        <f>NetGenbyRegion!$P$42*1.02</f>
        <v>0</v>
      </c>
      <c r="N49" s="34">
        <f>NetGenbyRegion!$P$43*1.02</f>
        <v>0</v>
      </c>
      <c r="O49" s="34">
        <f>NetGenbyRegion!$P$44*1.02</f>
        <v>0</v>
      </c>
      <c r="P49" s="34">
        <f>NetGenbyRegion!$P$45*1.02</f>
        <v>0</v>
      </c>
      <c r="Q49" s="34">
        <f>NetGenbyRegion!$P$46*1.02</f>
        <v>8.8825680000000009</v>
      </c>
      <c r="R49" s="34">
        <f>NetGenbyRegion!$P$47*1.02</f>
        <v>46.267200000000003</v>
      </c>
      <c r="S49" s="30">
        <v>1</v>
      </c>
      <c r="T49" s="27" t="s">
        <v>113</v>
      </c>
      <c r="U49" s="27"/>
      <c r="V49" s="27"/>
    </row>
    <row r="50" spans="2:22" s="3" customFormat="1" x14ac:dyDescent="0.3">
      <c r="C50" s="27" t="s">
        <v>535</v>
      </c>
      <c r="D50" s="27" t="s">
        <v>129</v>
      </c>
      <c r="E50" s="27" t="s">
        <v>33</v>
      </c>
      <c r="F50" s="27" t="s">
        <v>33</v>
      </c>
      <c r="G50" s="27">
        <v>2011</v>
      </c>
      <c r="H50" s="28" t="s">
        <v>15</v>
      </c>
      <c r="I50" s="28">
        <v>1</v>
      </c>
      <c r="J50" s="34">
        <f>NetGenbyRegion!$Q$39*0.98</f>
        <v>0</v>
      </c>
      <c r="K50" s="34">
        <f>NetGenbyRegion!$Q$40*0.98</f>
        <v>0</v>
      </c>
      <c r="L50" s="34">
        <f>NetGenbyRegion!$Q$41*0.98</f>
        <v>0</v>
      </c>
      <c r="M50" s="34">
        <f>NetGenbyRegion!$Q$42*0.98</f>
        <v>0</v>
      </c>
      <c r="N50" s="34">
        <f>NetGenbyRegion!$Q$43*0.98</f>
        <v>0</v>
      </c>
      <c r="O50" s="34">
        <f>NetGenbyRegion!$Q$44*0.98</f>
        <v>0</v>
      </c>
      <c r="P50" s="34">
        <f>NetGenbyRegion!$Q$45*0.98</f>
        <v>0</v>
      </c>
      <c r="Q50" s="34">
        <f>NetGenbyRegion!$Q$46*0.98</f>
        <v>8.9611199999999993</v>
      </c>
      <c r="R50" s="34">
        <f>NetGenbyRegion!$Q$47*0.98</f>
        <v>44.283455999999994</v>
      </c>
      <c r="S50" s="30">
        <v>1</v>
      </c>
      <c r="T50" s="27" t="s">
        <v>113</v>
      </c>
      <c r="U50" s="27"/>
      <c r="V50" s="27"/>
    </row>
    <row r="51" spans="2:22" s="3" customFormat="1" x14ac:dyDescent="0.3">
      <c r="B51" s="40"/>
      <c r="C51" s="27" t="s">
        <v>535</v>
      </c>
      <c r="D51" s="27" t="s">
        <v>129</v>
      </c>
      <c r="E51" s="27" t="s">
        <v>33</v>
      </c>
      <c r="F51" s="27" t="s">
        <v>33</v>
      </c>
      <c r="G51" s="27">
        <v>2011</v>
      </c>
      <c r="H51" s="28" t="s">
        <v>9</v>
      </c>
      <c r="I51" s="28">
        <v>1</v>
      </c>
      <c r="J51" s="34">
        <f>NetGenbyRegion!$Q$39*1.02</f>
        <v>0</v>
      </c>
      <c r="K51" s="34">
        <f>NetGenbyRegion!$Q$40*1.02</f>
        <v>0</v>
      </c>
      <c r="L51" s="34">
        <f>NetGenbyRegion!$Q$41*1.02</f>
        <v>0</v>
      </c>
      <c r="M51" s="34">
        <f>NetGenbyRegion!$Q$42*1.02</f>
        <v>0</v>
      </c>
      <c r="N51" s="34">
        <f>NetGenbyRegion!$Q$43*1.02</f>
        <v>0</v>
      </c>
      <c r="O51" s="34">
        <f>NetGenbyRegion!$Q$44*1.02</f>
        <v>0</v>
      </c>
      <c r="P51" s="34">
        <f>NetGenbyRegion!$Q$45*1.02</f>
        <v>0</v>
      </c>
      <c r="Q51" s="34">
        <f>NetGenbyRegion!$Q$46*1.02</f>
        <v>9.3268800000000009</v>
      </c>
      <c r="R51" s="34">
        <f>NetGenbyRegion!$Q$47*1.02</f>
        <v>46.090944</v>
      </c>
      <c r="S51" s="30">
        <v>1</v>
      </c>
      <c r="T51" s="27" t="s">
        <v>113</v>
      </c>
      <c r="U51" s="27"/>
      <c r="V51" s="27"/>
    </row>
    <row r="52" spans="2:22" s="3" customFormat="1" x14ac:dyDescent="0.3">
      <c r="C52" s="27" t="s">
        <v>535</v>
      </c>
      <c r="D52" s="27" t="s">
        <v>129</v>
      </c>
      <c r="E52" s="27" t="s">
        <v>33</v>
      </c>
      <c r="F52" s="27" t="s">
        <v>33</v>
      </c>
      <c r="G52" s="27">
        <v>2015</v>
      </c>
      <c r="H52" s="28" t="s">
        <v>15</v>
      </c>
      <c r="I52" s="28">
        <v>1</v>
      </c>
      <c r="J52" s="34">
        <f>NetGenbyRegion!$R$39*0.98</f>
        <v>0</v>
      </c>
      <c r="K52" s="34">
        <f>NetGenbyRegion!$R$40*0.98</f>
        <v>0</v>
      </c>
      <c r="L52" s="34">
        <f>NetGenbyRegion!$R$41*0.98</f>
        <v>0</v>
      </c>
      <c r="M52" s="34">
        <f>NetGenbyRegion!$R$42*0.98</f>
        <v>0</v>
      </c>
      <c r="N52" s="34">
        <f>NetGenbyRegion!$R$43*0.98</f>
        <v>0</v>
      </c>
      <c r="O52" s="34">
        <f>NetGenbyRegion!$R$44*0.98</f>
        <v>0</v>
      </c>
      <c r="P52" s="34">
        <f>NetGenbyRegion!$R$45*0.98</f>
        <v>0</v>
      </c>
      <c r="Q52" s="73">
        <f>NetGenbyRegion!$R$46*0.98</f>
        <v>12.789</v>
      </c>
      <c r="R52" s="34">
        <f>NetGenbyRegion!$R$47*0.98</f>
        <v>42.554735999999998</v>
      </c>
      <c r="S52" s="30">
        <v>1</v>
      </c>
      <c r="T52" s="27" t="s">
        <v>113</v>
      </c>
      <c r="U52" s="27"/>
      <c r="V52" s="27"/>
    </row>
    <row r="53" spans="2:22" s="3" customFormat="1" x14ac:dyDescent="0.3">
      <c r="C53" s="27" t="s">
        <v>535</v>
      </c>
      <c r="D53" s="27" t="s">
        <v>129</v>
      </c>
      <c r="E53" s="27" t="s">
        <v>33</v>
      </c>
      <c r="F53" s="27" t="s">
        <v>33</v>
      </c>
      <c r="G53" s="27">
        <v>2015</v>
      </c>
      <c r="H53" s="28" t="s">
        <v>9</v>
      </c>
      <c r="I53" s="28">
        <v>1</v>
      </c>
      <c r="J53" s="34">
        <f>NetGenbyRegion!$R$39*1.02</f>
        <v>0</v>
      </c>
      <c r="K53" s="34">
        <f>NetGenbyRegion!$R$40*1.02</f>
        <v>0</v>
      </c>
      <c r="L53" s="34">
        <f>NetGenbyRegion!$R$41*1.02</f>
        <v>0</v>
      </c>
      <c r="M53" s="34">
        <f>NetGenbyRegion!$R$42*1.02</f>
        <v>0</v>
      </c>
      <c r="N53" s="34">
        <f>NetGenbyRegion!$R$43*1.02</f>
        <v>0</v>
      </c>
      <c r="O53" s="34">
        <f>NetGenbyRegion!$R$44*1.02</f>
        <v>0</v>
      </c>
      <c r="P53" s="34">
        <f>NetGenbyRegion!$R$45*1.02</f>
        <v>0</v>
      </c>
      <c r="Q53" s="73">
        <f>NetGenbyRegion!$R$46*1.02</f>
        <v>13.311000000000002</v>
      </c>
      <c r="R53" s="34">
        <f>NetGenbyRegion!$R$47*1.02</f>
        <v>44.291664000000004</v>
      </c>
      <c r="S53" s="30">
        <v>1</v>
      </c>
      <c r="T53" s="27" t="s">
        <v>113</v>
      </c>
      <c r="U53" s="27"/>
      <c r="V53" s="27"/>
    </row>
    <row r="54" spans="2:22" s="3" customFormat="1" x14ac:dyDescent="0.3">
      <c r="C54" s="27" t="s">
        <v>535</v>
      </c>
      <c r="D54" s="27" t="s">
        <v>129</v>
      </c>
      <c r="E54" s="27" t="s">
        <v>33</v>
      </c>
      <c r="F54" s="27" t="s">
        <v>33</v>
      </c>
      <c r="G54" s="27">
        <v>2020</v>
      </c>
      <c r="H54" s="28" t="s">
        <v>15</v>
      </c>
      <c r="I54" s="28">
        <v>1</v>
      </c>
      <c r="J54" s="34">
        <f>NetGenbyRegion!$S$39*0.98</f>
        <v>0</v>
      </c>
      <c r="K54" s="34">
        <f>NetGenbyRegion!$S$40*0.98</f>
        <v>0</v>
      </c>
      <c r="L54" s="34">
        <f>NetGenbyRegion!$S$41*0.98</f>
        <v>0</v>
      </c>
      <c r="M54" s="34">
        <f>NetGenbyRegion!$S$42*0.98</f>
        <v>0</v>
      </c>
      <c r="N54" s="34">
        <f>NetGenbyRegion!$S$43*0.98</f>
        <v>0</v>
      </c>
      <c r="O54" s="34">
        <f>NetGenbyRegion!$S$44*0.98</f>
        <v>0</v>
      </c>
      <c r="P54" s="34">
        <f>NetGenbyRegion!$S$45*0.98</f>
        <v>0</v>
      </c>
      <c r="Q54" s="73">
        <f>NetGenbyRegion!$S$46*0.98</f>
        <v>13.766256</v>
      </c>
      <c r="R54" s="34">
        <f>NetGenbyRegion!$S$47*0.98</f>
        <v>40.780152000000001</v>
      </c>
      <c r="S54" s="30">
        <v>1</v>
      </c>
      <c r="T54" s="27" t="s">
        <v>113</v>
      </c>
      <c r="U54" s="27"/>
      <c r="V54" s="27"/>
    </row>
    <row r="55" spans="2:22" s="3" customFormat="1" x14ac:dyDescent="0.3">
      <c r="H55" s="14"/>
      <c r="I55" s="14"/>
      <c r="J55" s="23"/>
      <c r="K55" s="23"/>
      <c r="L55" s="23"/>
      <c r="M55" s="23"/>
      <c r="N55" s="23"/>
      <c r="O55" s="23"/>
      <c r="P55" s="23"/>
      <c r="Q55" s="23"/>
      <c r="R55" s="23"/>
      <c r="S55" s="17"/>
    </row>
    <row r="56" spans="2:22" s="3" customFormat="1" x14ac:dyDescent="0.3">
      <c r="H56" s="14"/>
      <c r="I56" s="14"/>
      <c r="J56" s="23"/>
      <c r="K56" s="23"/>
      <c r="L56" s="23"/>
      <c r="M56" s="23"/>
      <c r="N56" s="23"/>
      <c r="O56" s="23"/>
      <c r="P56" s="23"/>
      <c r="Q56" s="23"/>
      <c r="R56" s="23"/>
      <c r="S56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26"/>
  <sheetViews>
    <sheetView topLeftCell="F1" workbookViewId="0">
      <selection activeCell="I19" sqref="I19"/>
    </sheetView>
  </sheetViews>
  <sheetFormatPr defaultRowHeight="14.4" x14ac:dyDescent="0.3"/>
  <cols>
    <col min="2" max="2" width="13.6640625" customWidth="1"/>
    <col min="3" max="3" width="32" customWidth="1"/>
    <col min="4" max="4" width="13.109375" customWidth="1"/>
    <col min="5" max="5" width="29.21875" customWidth="1"/>
    <col min="6" max="6" width="15.6640625" customWidth="1"/>
    <col min="9" max="17" width="16.6640625" customWidth="1"/>
    <col min="18" max="18" width="16.6640625" style="3" customWidth="1"/>
    <col min="19" max="19" width="31" customWidth="1"/>
  </cols>
  <sheetData>
    <row r="1" spans="2:21" s="3" customFormat="1" x14ac:dyDescent="0.3">
      <c r="B1" s="2" t="s">
        <v>16</v>
      </c>
      <c r="C1" s="2"/>
      <c r="D1" s="2"/>
    </row>
    <row r="2" spans="2:21" s="3" customFormat="1" x14ac:dyDescent="0.3">
      <c r="B2" s="2" t="s">
        <v>17</v>
      </c>
      <c r="C2" s="2"/>
      <c r="D2" s="2"/>
    </row>
    <row r="3" spans="2:21" s="3" customFormat="1" x14ac:dyDescent="0.3"/>
    <row r="4" spans="2:21" s="3" customFormat="1" x14ac:dyDescent="0.3">
      <c r="G4" s="3" t="s">
        <v>20</v>
      </c>
    </row>
    <row r="5" spans="2:21" s="3" customFormat="1" ht="15" thickBot="1" x14ac:dyDescent="0.35">
      <c r="C5" s="1" t="s">
        <v>11</v>
      </c>
      <c r="D5" s="1" t="s">
        <v>12</v>
      </c>
      <c r="E5" s="1" t="s">
        <v>27</v>
      </c>
      <c r="F5" s="16" t="s">
        <v>19</v>
      </c>
      <c r="G5" s="16" t="s">
        <v>14</v>
      </c>
      <c r="H5" s="16" t="s">
        <v>30</v>
      </c>
      <c r="I5" s="16" t="s">
        <v>0</v>
      </c>
      <c r="J5" s="16" t="s">
        <v>1</v>
      </c>
      <c r="K5" s="16" t="s">
        <v>2</v>
      </c>
      <c r="L5" s="16" t="s">
        <v>3</v>
      </c>
      <c r="M5" s="16" t="s">
        <v>4</v>
      </c>
      <c r="N5" s="16" t="s">
        <v>5</v>
      </c>
      <c r="O5" s="16" t="s">
        <v>6</v>
      </c>
      <c r="P5" s="16" t="s">
        <v>7</v>
      </c>
      <c r="Q5" s="16" t="s">
        <v>8</v>
      </c>
      <c r="R5" s="16" t="s">
        <v>13</v>
      </c>
      <c r="S5" s="16" t="s">
        <v>10</v>
      </c>
    </row>
    <row r="6" spans="2:21" s="3" customFormat="1" x14ac:dyDescent="0.3">
      <c r="C6" s="27" t="s">
        <v>26</v>
      </c>
      <c r="D6" s="27" t="s">
        <v>21</v>
      </c>
      <c r="E6" s="27" t="s">
        <v>28</v>
      </c>
      <c r="F6" s="27">
        <v>2010</v>
      </c>
      <c r="G6" s="28" t="s">
        <v>15</v>
      </c>
      <c r="H6" s="28">
        <v>1</v>
      </c>
      <c r="I6" s="29">
        <f>NetGenbyRegion!$P$26*0.98</f>
        <v>135.33760799999999</v>
      </c>
      <c r="J6" s="29">
        <f>NetGenbyRegion!$P$27*0.98</f>
        <v>537.91063200000008</v>
      </c>
      <c r="K6" s="29">
        <f>NetGenbyRegion!$P$28*0.98</f>
        <v>546.48720000000003</v>
      </c>
      <c r="L6" s="29">
        <f>NetGenbyRegion!$P$29*0.98</f>
        <v>167.70348000000001</v>
      </c>
      <c r="M6" s="29">
        <f>NetGenbyRegion!$P$30*0.98</f>
        <v>672.93424800000014</v>
      </c>
      <c r="N6" s="29">
        <f>NetGenbyRegion!$P$31*0.98</f>
        <v>265.73954400000002</v>
      </c>
      <c r="O6" s="29">
        <f>NetGenbyRegion!$P$32*0.98</f>
        <v>264.58941599999997</v>
      </c>
      <c r="P6" s="29">
        <f>NetGenbyRegion!$P$33*0.98</f>
        <v>110.07359999999998</v>
      </c>
      <c r="Q6" s="29">
        <f>NetGenbyRegion!$P$34*0.98</f>
        <v>146.20737600000001</v>
      </c>
      <c r="R6" s="30">
        <v>5</v>
      </c>
      <c r="S6" s="27" t="s">
        <v>29</v>
      </c>
      <c r="U6" s="18"/>
    </row>
    <row r="7" spans="2:21" s="3" customFormat="1" x14ac:dyDescent="0.3">
      <c r="C7" s="27" t="s">
        <v>26</v>
      </c>
      <c r="D7" s="27" t="s">
        <v>21</v>
      </c>
      <c r="E7" s="27" t="s">
        <v>28</v>
      </c>
      <c r="F7" s="27">
        <v>2010</v>
      </c>
      <c r="G7" s="28" t="s">
        <v>9</v>
      </c>
      <c r="H7" s="28">
        <v>1</v>
      </c>
      <c r="I7" s="29">
        <f>NetGenbyRegion!$P$26*1.02</f>
        <v>140.86159199999997</v>
      </c>
      <c r="J7" s="29">
        <f>NetGenbyRegion!$P$27*1.02</f>
        <v>559.86616800000002</v>
      </c>
      <c r="K7" s="29">
        <f>NetGenbyRegion!$P$28*1.02</f>
        <v>568.79279999999994</v>
      </c>
      <c r="L7" s="29">
        <f>NetGenbyRegion!$P$29*1.02</f>
        <v>174.54852</v>
      </c>
      <c r="M7" s="29">
        <f>NetGenbyRegion!$P$30*1.02</f>
        <v>700.40095200000007</v>
      </c>
      <c r="N7" s="29">
        <f>NetGenbyRegion!$P$31*1.02</f>
        <v>276.58605599999999</v>
      </c>
      <c r="O7" s="29">
        <f>NetGenbyRegion!$P$32*1.02</f>
        <v>275.38898399999999</v>
      </c>
      <c r="P7" s="29">
        <f>NetGenbyRegion!$P$33*1.02</f>
        <v>114.5664</v>
      </c>
      <c r="Q7" s="29">
        <f>NetGenbyRegion!$P$34*1.02</f>
        <v>152.17502400000001</v>
      </c>
      <c r="R7" s="30">
        <v>5</v>
      </c>
      <c r="S7" s="27" t="s">
        <v>29</v>
      </c>
    </row>
    <row r="8" spans="2:21" s="3" customFormat="1" x14ac:dyDescent="0.3">
      <c r="C8" s="27" t="s">
        <v>26</v>
      </c>
      <c r="D8" s="27" t="s">
        <v>21</v>
      </c>
      <c r="E8" s="27" t="s">
        <v>28</v>
      </c>
      <c r="F8" s="27">
        <v>2011</v>
      </c>
      <c r="G8" s="28" t="s">
        <v>15</v>
      </c>
      <c r="H8" s="28">
        <v>1</v>
      </c>
      <c r="I8" s="29">
        <f>NetGenbyRegion!$Q$26*0.98</f>
        <v>120.950424</v>
      </c>
      <c r="J8" s="29">
        <f>NetGenbyRegion!$Q$27*0.98</f>
        <v>537.836544</v>
      </c>
      <c r="K8" s="29">
        <f>NetGenbyRegion!$Q$28*0.98</f>
        <v>547.41153600000007</v>
      </c>
      <c r="L8" s="29">
        <f>NetGenbyRegion!$Q$29*0.98</f>
        <v>143.931816</v>
      </c>
      <c r="M8" s="29">
        <f>NetGenbyRegion!$Q$30*0.98</f>
        <v>662.19148799999994</v>
      </c>
      <c r="N8" s="29">
        <f>NetGenbyRegion!$Q$31*0.98</f>
        <v>270.28713599999998</v>
      </c>
      <c r="O8" s="29">
        <f>NetGenbyRegion!$Q$32*0.98</f>
        <v>248.57582399999998</v>
      </c>
      <c r="P8" s="29">
        <f>NetGenbyRegion!$Q$33*0.98</f>
        <v>110.34878399999999</v>
      </c>
      <c r="Q8" s="29">
        <f>NetGenbyRegion!$Q$34*0.98</f>
        <v>146.30616000000001</v>
      </c>
      <c r="R8" s="30">
        <v>5</v>
      </c>
      <c r="S8" s="27" t="s">
        <v>29</v>
      </c>
      <c r="U8" s="18"/>
    </row>
    <row r="9" spans="2:21" s="3" customFormat="1" x14ac:dyDescent="0.3">
      <c r="C9" s="27" t="s">
        <v>26</v>
      </c>
      <c r="D9" s="27" t="s">
        <v>21</v>
      </c>
      <c r="E9" s="27" t="s">
        <v>28</v>
      </c>
      <c r="F9" s="27">
        <v>2011</v>
      </c>
      <c r="G9" s="28" t="s">
        <v>9</v>
      </c>
      <c r="H9" s="28">
        <v>1</v>
      </c>
      <c r="I9" s="29">
        <f>NetGenbyRegion!$Q$26*1.02</f>
        <v>125.88717600000001</v>
      </c>
      <c r="J9" s="29">
        <f>NetGenbyRegion!$Q$27*1.02</f>
        <v>559.78905600000007</v>
      </c>
      <c r="K9" s="29">
        <f>NetGenbyRegion!$Q$28*1.02</f>
        <v>569.754864</v>
      </c>
      <c r="L9" s="29">
        <f>NetGenbyRegion!$Q$29*1.02</f>
        <v>149.80658400000002</v>
      </c>
      <c r="M9" s="29">
        <f>NetGenbyRegion!$Q$30*1.02</f>
        <v>689.21971200000007</v>
      </c>
      <c r="N9" s="29">
        <f>NetGenbyRegion!$Q$31*1.02</f>
        <v>281.31926400000003</v>
      </c>
      <c r="O9" s="29">
        <f>NetGenbyRegion!$Q$32*1.02</f>
        <v>258.72177599999998</v>
      </c>
      <c r="P9" s="29">
        <f>NetGenbyRegion!$Q$33*1.02</f>
        <v>114.85281599999999</v>
      </c>
      <c r="Q9" s="29">
        <f>NetGenbyRegion!$Q$34*1.02</f>
        <v>152.27784</v>
      </c>
      <c r="R9" s="30">
        <v>5</v>
      </c>
      <c r="S9" s="27" t="s">
        <v>29</v>
      </c>
    </row>
    <row r="10" spans="2:21" s="3" customFormat="1" x14ac:dyDescent="0.3">
      <c r="C10" s="27" t="s">
        <v>26</v>
      </c>
      <c r="D10" s="27" t="s">
        <v>21</v>
      </c>
      <c r="E10" s="27" t="s">
        <v>28</v>
      </c>
      <c r="F10" s="27">
        <v>2015</v>
      </c>
      <c r="G10" s="28" t="s">
        <v>15</v>
      </c>
      <c r="H10" s="28">
        <v>1</v>
      </c>
      <c r="I10" s="29">
        <f>NetGenbyRegion!$R$26*0.98</f>
        <v>112.50792</v>
      </c>
      <c r="J10" s="29">
        <f>NetGenbyRegion!$R$27*0.98</f>
        <v>558.76816799999995</v>
      </c>
      <c r="K10" s="29">
        <f>NetGenbyRegion!$R$28*0.98</f>
        <v>543.31552799999997</v>
      </c>
      <c r="L10" s="29">
        <f>NetGenbyRegion!$R$29*0.98</f>
        <v>164.676456</v>
      </c>
      <c r="M10" s="29">
        <f>NetGenbyRegion!$R$30*0.98</f>
        <v>705.30717599999991</v>
      </c>
      <c r="N10" s="29">
        <f>NetGenbyRegion!$R$31*0.98</f>
        <v>277.39252800000003</v>
      </c>
      <c r="O10" s="29">
        <f>NetGenbyRegion!$R$32*0.98</f>
        <v>241.64330399999997</v>
      </c>
      <c r="P10" s="29">
        <f>NetGenbyRegion!$R$33*0.98</f>
        <v>114.751728</v>
      </c>
      <c r="Q10" s="29">
        <f>NetGenbyRegion!$R$34*0.98</f>
        <v>94.077648000000011</v>
      </c>
      <c r="R10" s="30">
        <v>5</v>
      </c>
      <c r="S10" s="27" t="s">
        <v>29</v>
      </c>
    </row>
    <row r="11" spans="2:21" s="3" customFormat="1" x14ac:dyDescent="0.3">
      <c r="C11" s="27" t="s">
        <v>26</v>
      </c>
      <c r="D11" s="27" t="s">
        <v>21</v>
      </c>
      <c r="E11" s="27" t="s">
        <v>28</v>
      </c>
      <c r="F11" s="27">
        <v>2015</v>
      </c>
      <c r="G11" s="28" t="s">
        <v>9</v>
      </c>
      <c r="H11" s="28">
        <v>1</v>
      </c>
      <c r="I11" s="29">
        <f>NetGenbyRegion!$R$26*1.02</f>
        <v>117.10008000000001</v>
      </c>
      <c r="J11" s="29">
        <f>NetGenbyRegion!$R$27*1.02</f>
        <v>581.57503200000008</v>
      </c>
      <c r="K11" s="29">
        <f>NetGenbyRegion!$R$28*1.02</f>
        <v>565.49167199999999</v>
      </c>
      <c r="L11" s="29">
        <f>NetGenbyRegion!$R$29*1.02</f>
        <v>171.39794400000002</v>
      </c>
      <c r="M11" s="29">
        <f>NetGenbyRegion!$R$30*1.02</f>
        <v>734.09522400000003</v>
      </c>
      <c r="N11" s="29">
        <f>NetGenbyRegion!$R$31*1.02</f>
        <v>288.71467200000001</v>
      </c>
      <c r="O11" s="29">
        <f>NetGenbyRegion!$R$32*1.02</f>
        <v>251.50629599999999</v>
      </c>
      <c r="P11" s="29">
        <f>NetGenbyRegion!$R$33*1.02</f>
        <v>119.43547200000002</v>
      </c>
      <c r="Q11" s="29">
        <f>NetGenbyRegion!$R$34*1.02</f>
        <v>97.917552000000001</v>
      </c>
      <c r="R11" s="30">
        <v>5</v>
      </c>
      <c r="S11" s="27" t="s">
        <v>29</v>
      </c>
    </row>
    <row r="12" spans="2:21" s="3" customFormat="1" x14ac:dyDescent="0.3">
      <c r="C12" s="27" t="s">
        <v>26</v>
      </c>
      <c r="D12" s="27" t="s">
        <v>21</v>
      </c>
      <c r="E12" s="27" t="s">
        <v>28</v>
      </c>
      <c r="F12" s="27">
        <v>2020</v>
      </c>
      <c r="G12" s="28" t="s">
        <v>15</v>
      </c>
      <c r="H12" s="28">
        <v>1</v>
      </c>
      <c r="I12" s="29">
        <f>I10*0.75</f>
        <v>84.380939999999995</v>
      </c>
      <c r="J12" s="29">
        <f t="shared" ref="J12:Q12" si="0">J10*0.75</f>
        <v>419.07612599999993</v>
      </c>
      <c r="K12" s="29">
        <f t="shared" si="0"/>
        <v>407.48664599999995</v>
      </c>
      <c r="L12" s="29">
        <f t="shared" si="0"/>
        <v>123.50734199999999</v>
      </c>
      <c r="M12" s="29">
        <f t="shared" si="0"/>
        <v>528.98038199999996</v>
      </c>
      <c r="N12" s="29">
        <f t="shared" si="0"/>
        <v>208.04439600000001</v>
      </c>
      <c r="O12" s="29">
        <f t="shared" si="0"/>
        <v>181.23247799999999</v>
      </c>
      <c r="P12" s="29">
        <f t="shared" si="0"/>
        <v>86.063795999999996</v>
      </c>
      <c r="Q12" s="29">
        <f t="shared" si="0"/>
        <v>70.558236000000008</v>
      </c>
      <c r="R12" s="30">
        <v>5</v>
      </c>
      <c r="S12" s="27" t="s">
        <v>29</v>
      </c>
    </row>
    <row r="13" spans="2:21" s="3" customFormat="1" x14ac:dyDescent="0.3">
      <c r="C13" s="27" t="s">
        <v>26</v>
      </c>
      <c r="D13" s="27" t="s">
        <v>21</v>
      </c>
      <c r="E13" s="27" t="s">
        <v>28</v>
      </c>
      <c r="F13" s="27">
        <v>2020</v>
      </c>
      <c r="G13" s="28" t="s">
        <v>9</v>
      </c>
      <c r="H13" s="28">
        <v>1</v>
      </c>
      <c r="I13" s="58">
        <f>I11</f>
        <v>117.10008000000001</v>
      </c>
      <c r="J13" s="58">
        <f t="shared" ref="J13:Q13" si="1">J11</f>
        <v>581.57503200000008</v>
      </c>
      <c r="K13" s="58">
        <f t="shared" si="1"/>
        <v>565.49167199999999</v>
      </c>
      <c r="L13" s="58">
        <f t="shared" si="1"/>
        <v>171.39794400000002</v>
      </c>
      <c r="M13" s="58">
        <f t="shared" si="1"/>
        <v>734.09522400000003</v>
      </c>
      <c r="N13" s="58">
        <f t="shared" si="1"/>
        <v>288.71467200000001</v>
      </c>
      <c r="O13" s="58">
        <f t="shared" si="1"/>
        <v>251.50629599999999</v>
      </c>
      <c r="P13" s="58">
        <f t="shared" si="1"/>
        <v>119.43547200000002</v>
      </c>
      <c r="Q13" s="58">
        <f t="shared" si="1"/>
        <v>97.917552000000001</v>
      </c>
      <c r="R13" s="30">
        <v>5</v>
      </c>
      <c r="S13" s="27" t="s">
        <v>29</v>
      </c>
    </row>
    <row r="14" spans="2:21" s="3" customFormat="1" x14ac:dyDescent="0.3">
      <c r="C14" s="27" t="s">
        <v>26</v>
      </c>
      <c r="D14" s="27" t="s">
        <v>21</v>
      </c>
      <c r="E14" s="27" t="s">
        <v>28</v>
      </c>
      <c r="F14" s="27">
        <v>2030</v>
      </c>
      <c r="G14" s="28" t="s">
        <v>9</v>
      </c>
      <c r="H14" s="28">
        <v>1</v>
      </c>
      <c r="I14" s="58">
        <f>I13*0.85</f>
        <v>99.535067999999995</v>
      </c>
      <c r="J14" s="58">
        <f t="shared" ref="J14:Q14" si="2">J13*0.85</f>
        <v>494.33877720000004</v>
      </c>
      <c r="K14" s="58">
        <f t="shared" si="2"/>
        <v>480.66792119999997</v>
      </c>
      <c r="L14" s="58">
        <f t="shared" si="2"/>
        <v>145.68825240000001</v>
      </c>
      <c r="M14" s="58">
        <f t="shared" si="2"/>
        <v>623.98094040000001</v>
      </c>
      <c r="N14" s="58">
        <f t="shared" si="2"/>
        <v>245.4074712</v>
      </c>
      <c r="O14" s="58">
        <f t="shared" si="2"/>
        <v>213.78035159999999</v>
      </c>
      <c r="P14" s="58">
        <f t="shared" si="2"/>
        <v>101.52015120000002</v>
      </c>
      <c r="Q14" s="58">
        <f t="shared" si="2"/>
        <v>83.229919199999998</v>
      </c>
      <c r="R14" s="30">
        <v>5</v>
      </c>
      <c r="S14" s="27" t="s">
        <v>29</v>
      </c>
    </row>
    <row r="15" spans="2:21" s="3" customFormat="1" x14ac:dyDescent="0.3">
      <c r="C15" s="27" t="s">
        <v>26</v>
      </c>
      <c r="D15" s="27" t="s">
        <v>21</v>
      </c>
      <c r="E15" s="27" t="s">
        <v>28</v>
      </c>
      <c r="F15" s="27">
        <v>2055</v>
      </c>
      <c r="G15" s="28" t="s">
        <v>9</v>
      </c>
      <c r="H15" s="28">
        <v>1</v>
      </c>
      <c r="I15" s="58">
        <f>I14</f>
        <v>99.535067999999995</v>
      </c>
      <c r="J15" s="58">
        <f t="shared" ref="J15:Q15" si="3">J14</f>
        <v>494.33877720000004</v>
      </c>
      <c r="K15" s="58">
        <f t="shared" si="3"/>
        <v>480.66792119999997</v>
      </c>
      <c r="L15" s="58">
        <f t="shared" si="3"/>
        <v>145.68825240000001</v>
      </c>
      <c r="M15" s="58">
        <f t="shared" si="3"/>
        <v>623.98094040000001</v>
      </c>
      <c r="N15" s="58">
        <f t="shared" si="3"/>
        <v>245.4074712</v>
      </c>
      <c r="O15" s="58">
        <f t="shared" si="3"/>
        <v>213.78035159999999</v>
      </c>
      <c r="P15" s="58">
        <f t="shared" si="3"/>
        <v>101.52015120000002</v>
      </c>
      <c r="Q15" s="58">
        <f t="shared" si="3"/>
        <v>83.229919199999998</v>
      </c>
      <c r="R15" s="30">
        <v>5</v>
      </c>
      <c r="S15" s="27" t="s">
        <v>29</v>
      </c>
    </row>
    <row r="16" spans="2:21" s="3" customFormat="1" x14ac:dyDescent="0.3">
      <c r="C16" s="24" t="s">
        <v>22</v>
      </c>
      <c r="D16" s="24" t="s">
        <v>21</v>
      </c>
      <c r="E16" s="24" t="s">
        <v>23</v>
      </c>
      <c r="F16" s="24">
        <v>2010</v>
      </c>
      <c r="G16" s="26" t="s">
        <v>15</v>
      </c>
      <c r="H16" s="26">
        <v>1</v>
      </c>
      <c r="I16" s="31">
        <f>NetGenbyRegion!$T$26*0.8</f>
        <v>20.966400000000004</v>
      </c>
      <c r="J16" s="31">
        <f>NetGenbyRegion!$T$27*0.8</f>
        <v>79.95168000000001</v>
      </c>
      <c r="K16" s="31">
        <f>NetGenbyRegion!$T$28*0.8</f>
        <v>12.096000000000002</v>
      </c>
      <c r="L16" s="31">
        <f>NetGenbyRegion!$T$29*0.8</f>
        <v>34.009920000000001</v>
      </c>
      <c r="M16" s="31">
        <f>NetGenbyRegion!$T$30*0.8</f>
        <v>42.105600000000003</v>
      </c>
      <c r="N16" s="31">
        <f>NetGenbyRegion!$T$31*0.8</f>
        <v>55.935360000000003</v>
      </c>
      <c r="O16" s="31">
        <f>NetGenbyRegion!$T$32*0.8</f>
        <v>25.453440000000001</v>
      </c>
      <c r="P16" s="31">
        <f>NetGenbyRegion!$T$33*0.8</f>
        <v>88.885440000000017</v>
      </c>
      <c r="Q16" s="31">
        <f>NetGenbyRegion!$T$34*0.8</f>
        <v>384.94368000000003</v>
      </c>
      <c r="R16" s="32">
        <v>5</v>
      </c>
      <c r="S16" s="24" t="s">
        <v>34</v>
      </c>
    </row>
    <row r="17" spans="3:19" x14ac:dyDescent="0.3">
      <c r="C17" s="24" t="s">
        <v>22</v>
      </c>
      <c r="D17" s="24" t="s">
        <v>21</v>
      </c>
      <c r="E17" s="24" t="s">
        <v>23</v>
      </c>
      <c r="F17" s="24">
        <v>2010</v>
      </c>
      <c r="G17" s="26" t="s">
        <v>9</v>
      </c>
      <c r="H17" s="26">
        <v>1</v>
      </c>
      <c r="I17" s="31">
        <f>NetGenbyRegion!$T$26*1</f>
        <v>26.208000000000002</v>
      </c>
      <c r="J17" s="31">
        <f>NetGenbyRegion!$T$27*1</f>
        <v>99.939599999999999</v>
      </c>
      <c r="K17" s="31">
        <f>NetGenbyRegion!$T$28*1</f>
        <v>15.120000000000001</v>
      </c>
      <c r="L17" s="31">
        <f>NetGenbyRegion!$T$29*1</f>
        <v>42.5124</v>
      </c>
      <c r="M17" s="31">
        <f>NetGenbyRegion!$T$30*1</f>
        <v>52.631999999999998</v>
      </c>
      <c r="N17" s="31">
        <f>NetGenbyRegion!$T$31*1</f>
        <v>69.919200000000004</v>
      </c>
      <c r="O17" s="31">
        <f>NetGenbyRegion!$T$32*1</f>
        <v>31.816799999999997</v>
      </c>
      <c r="P17" s="31">
        <f>NetGenbyRegion!$T$33*1</f>
        <v>111.10680000000001</v>
      </c>
      <c r="Q17" s="31">
        <f>NetGenbyRegion!$T$34*1</f>
        <v>481.17959999999999</v>
      </c>
      <c r="R17" s="32">
        <v>5</v>
      </c>
      <c r="S17" s="24" t="s">
        <v>34</v>
      </c>
    </row>
    <row r="18" spans="3:19" s="3" customFormat="1" x14ac:dyDescent="0.3">
      <c r="C18" s="24" t="s">
        <v>22</v>
      </c>
      <c r="D18" s="24" t="s">
        <v>21</v>
      </c>
      <c r="E18" s="24" t="s">
        <v>23</v>
      </c>
      <c r="F18" s="24">
        <v>2011</v>
      </c>
      <c r="G18" s="26" t="s">
        <v>15</v>
      </c>
      <c r="H18" s="26">
        <v>1</v>
      </c>
      <c r="I18" s="31">
        <f>NetGenbyRegion!$U$26*0.8</f>
        <v>22.87584</v>
      </c>
      <c r="J18" s="31">
        <f>NetGenbyRegion!$U$27*0.8</f>
        <v>89.737920000000003</v>
      </c>
      <c r="K18" s="31">
        <f>NetGenbyRegion!$U$28*0.8</f>
        <v>12.251519999999999</v>
      </c>
      <c r="L18" s="31">
        <f>NetGenbyRegion!$U$29*0.8</f>
        <v>39.052800000000005</v>
      </c>
      <c r="M18" s="31">
        <f>NetGenbyRegion!$U$30*0.8</f>
        <v>37.284480000000002</v>
      </c>
      <c r="N18" s="31">
        <f>NetGenbyRegion!$U$31*0.8</f>
        <v>61.715519999999998</v>
      </c>
      <c r="O18" s="31">
        <f>NetGenbyRegion!$U$32*0.8</f>
        <v>17.487360000000002</v>
      </c>
      <c r="P18" s="31">
        <f>NetGenbyRegion!$U$33*0.8</f>
        <v>121.23936000000002</v>
      </c>
      <c r="Q18" s="31">
        <f>NetGenbyRegion!$U$34*0.8</f>
        <v>358.99113600000004</v>
      </c>
      <c r="R18" s="32">
        <v>5</v>
      </c>
      <c r="S18" s="24" t="s">
        <v>34</v>
      </c>
    </row>
    <row r="19" spans="3:19" s="3" customFormat="1" x14ac:dyDescent="0.3">
      <c r="C19" s="24" t="s">
        <v>22</v>
      </c>
      <c r="D19" s="24" t="s">
        <v>21</v>
      </c>
      <c r="E19" s="24" t="s">
        <v>23</v>
      </c>
      <c r="F19" s="24">
        <v>2011</v>
      </c>
      <c r="G19" s="26" t="s">
        <v>9</v>
      </c>
      <c r="H19" s="26">
        <v>1</v>
      </c>
      <c r="I19" s="31">
        <f>NetGenbyRegion!$U$26*1</f>
        <v>28.594799999999999</v>
      </c>
      <c r="J19" s="31">
        <f>NetGenbyRegion!$U$27*1</f>
        <v>112.1724</v>
      </c>
      <c r="K19" s="31">
        <f>NetGenbyRegion!$U$28*1</f>
        <v>15.314399999999999</v>
      </c>
      <c r="L19" s="31">
        <f>NetGenbyRegion!$U$29*1</f>
        <v>48.816000000000003</v>
      </c>
      <c r="M19" s="31">
        <f>NetGenbyRegion!$U$30*1</f>
        <v>46.605600000000003</v>
      </c>
      <c r="N19" s="31">
        <f>NetGenbyRegion!$U$31*1</f>
        <v>77.14439999999999</v>
      </c>
      <c r="O19" s="31">
        <f>NetGenbyRegion!$U$32*1</f>
        <v>21.859200000000001</v>
      </c>
      <c r="P19" s="31">
        <f>NetGenbyRegion!$U$33*1</f>
        <v>151.54920000000001</v>
      </c>
      <c r="Q19" s="31">
        <f>NetGenbyRegion!$U$34*1</f>
        <v>448.73892000000001</v>
      </c>
      <c r="R19" s="32">
        <v>5</v>
      </c>
      <c r="S19" s="24" t="s">
        <v>34</v>
      </c>
    </row>
    <row r="20" spans="3:19" x14ac:dyDescent="0.3">
      <c r="C20" s="24" t="s">
        <v>22</v>
      </c>
      <c r="D20" s="24" t="s">
        <v>21</v>
      </c>
      <c r="E20" s="24" t="s">
        <v>23</v>
      </c>
      <c r="F20" s="24">
        <v>2015</v>
      </c>
      <c r="G20" s="26" t="s">
        <v>15</v>
      </c>
      <c r="H20" s="26">
        <v>1</v>
      </c>
      <c r="I20" s="31">
        <f>NetGenbyRegion!$V$26*0.9</f>
        <v>21.069720000000004</v>
      </c>
      <c r="J20" s="31">
        <f>NetGenbyRegion!$V$27*0.9</f>
        <v>92.53764000000001</v>
      </c>
      <c r="K20" s="31">
        <f>NetGenbyRegion!$V$28*0.9</f>
        <v>14.929919999999999</v>
      </c>
      <c r="L20" s="31">
        <f>NetGenbyRegion!$V$29*0.9</f>
        <v>38.679120000000005</v>
      </c>
      <c r="M20" s="31">
        <f>NetGenbyRegion!$V$30*0.9</f>
        <v>45.687240000000003</v>
      </c>
      <c r="N20" s="31">
        <f>NetGenbyRegion!$V$31*0.9</f>
        <v>74.024280000000005</v>
      </c>
      <c r="O20" s="31">
        <f>NetGenbyRegion!$V$32*0.9</f>
        <v>26.532360000000001</v>
      </c>
      <c r="P20" s="31">
        <f>NetGenbyRegion!$V$33*0.9</f>
        <v>99.772559999999999</v>
      </c>
      <c r="Q20" s="31">
        <f>NetGenbyRegion!$V$34*0.9</f>
        <v>389.11104000000006</v>
      </c>
      <c r="R20" s="32">
        <v>5</v>
      </c>
      <c r="S20" s="24" t="s">
        <v>34</v>
      </c>
    </row>
    <row r="21" spans="3:19" x14ac:dyDescent="0.3">
      <c r="C21" s="24" t="s">
        <v>22</v>
      </c>
      <c r="D21" s="24" t="s">
        <v>21</v>
      </c>
      <c r="E21" s="24" t="s">
        <v>23</v>
      </c>
      <c r="F21" s="24">
        <v>2015</v>
      </c>
      <c r="G21" s="26" t="s">
        <v>9</v>
      </c>
      <c r="H21" s="26">
        <v>1</v>
      </c>
      <c r="I21" s="31">
        <f>NetGenbyRegion!$V$26*1</f>
        <v>23.410800000000002</v>
      </c>
      <c r="J21" s="31">
        <f>NetGenbyRegion!$V$27*1</f>
        <v>102.81960000000001</v>
      </c>
      <c r="K21" s="31">
        <f>NetGenbyRegion!$V$28*1</f>
        <v>16.588799999999999</v>
      </c>
      <c r="L21" s="31">
        <f>NetGenbyRegion!$V$29*1</f>
        <v>42.976800000000004</v>
      </c>
      <c r="M21" s="31">
        <f>NetGenbyRegion!$V$30*1</f>
        <v>50.763600000000004</v>
      </c>
      <c r="N21" s="31">
        <f>NetGenbyRegion!$V$31*1</f>
        <v>82.249200000000002</v>
      </c>
      <c r="O21" s="31">
        <f>NetGenbyRegion!$V$32*1</f>
        <v>29.480399999999999</v>
      </c>
      <c r="P21" s="31">
        <f>NetGenbyRegion!$V$33*1</f>
        <v>110.8584</v>
      </c>
      <c r="Q21" s="31">
        <f>NetGenbyRegion!$V$34*1</f>
        <v>432.34560000000005</v>
      </c>
      <c r="R21" s="32">
        <v>5</v>
      </c>
      <c r="S21" s="24" t="s">
        <v>34</v>
      </c>
    </row>
    <row r="22" spans="3:19" s="3" customFormat="1" x14ac:dyDescent="0.3">
      <c r="C22" s="24" t="s">
        <v>22</v>
      </c>
      <c r="D22" s="24" t="s">
        <v>21</v>
      </c>
      <c r="E22" s="24" t="s">
        <v>23</v>
      </c>
      <c r="F22" s="24">
        <v>2020</v>
      </c>
      <c r="G22" s="26" t="s">
        <v>9</v>
      </c>
      <c r="H22" s="26">
        <v>1</v>
      </c>
      <c r="I22" s="31">
        <f>I21</f>
        <v>23.410800000000002</v>
      </c>
      <c r="J22" s="31">
        <f t="shared" ref="J22:Q23" si="4">J21</f>
        <v>102.81960000000001</v>
      </c>
      <c r="K22" s="31">
        <f t="shared" si="4"/>
        <v>16.588799999999999</v>
      </c>
      <c r="L22" s="31">
        <f t="shared" si="4"/>
        <v>42.976800000000004</v>
      </c>
      <c r="M22" s="31">
        <f t="shared" si="4"/>
        <v>50.763600000000004</v>
      </c>
      <c r="N22" s="31">
        <f t="shared" si="4"/>
        <v>82.249200000000002</v>
      </c>
      <c r="O22" s="31">
        <f t="shared" si="4"/>
        <v>29.480399999999999</v>
      </c>
      <c r="P22" s="31">
        <f t="shared" si="4"/>
        <v>110.8584</v>
      </c>
      <c r="Q22" s="31">
        <f t="shared" si="4"/>
        <v>432.34560000000005</v>
      </c>
      <c r="R22" s="32">
        <v>5</v>
      </c>
      <c r="S22" s="24" t="s">
        <v>34</v>
      </c>
    </row>
    <row r="23" spans="3:19" s="3" customFormat="1" x14ac:dyDescent="0.3">
      <c r="C23" s="24" t="s">
        <v>22</v>
      </c>
      <c r="D23" s="24" t="s">
        <v>21</v>
      </c>
      <c r="E23" s="24" t="s">
        <v>23</v>
      </c>
      <c r="F23" s="24">
        <v>2055</v>
      </c>
      <c r="G23" s="26" t="s">
        <v>9</v>
      </c>
      <c r="H23" s="26">
        <v>1</v>
      </c>
      <c r="I23" s="31">
        <f>I22</f>
        <v>23.410800000000002</v>
      </c>
      <c r="J23" s="31">
        <f t="shared" si="4"/>
        <v>102.81960000000001</v>
      </c>
      <c r="K23" s="31">
        <f t="shared" si="4"/>
        <v>16.588799999999999</v>
      </c>
      <c r="L23" s="31">
        <f t="shared" si="4"/>
        <v>42.976800000000004</v>
      </c>
      <c r="M23" s="31">
        <f t="shared" si="4"/>
        <v>50.763600000000004</v>
      </c>
      <c r="N23" s="31">
        <f t="shared" si="4"/>
        <v>82.249200000000002</v>
      </c>
      <c r="O23" s="31">
        <f t="shared" si="4"/>
        <v>29.480399999999999</v>
      </c>
      <c r="P23" s="31">
        <f t="shared" si="4"/>
        <v>110.8584</v>
      </c>
      <c r="Q23" s="31">
        <f t="shared" si="4"/>
        <v>432.34560000000005</v>
      </c>
      <c r="R23" s="32">
        <v>5</v>
      </c>
      <c r="S23" s="24" t="s">
        <v>34</v>
      </c>
    </row>
    <row r="24" spans="3:19" s="3" customFormat="1" x14ac:dyDescent="0.3"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7"/>
    </row>
    <row r="25" spans="3:19" s="3" customFormat="1" x14ac:dyDescent="0.3">
      <c r="G25" s="14"/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3:19" s="3" customFormat="1" x14ac:dyDescent="0.3">
      <c r="G26" s="14"/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8"/>
  <sheetViews>
    <sheetView workbookViewId="0">
      <selection activeCell="D21" sqref="D21"/>
    </sheetView>
  </sheetViews>
  <sheetFormatPr defaultRowHeight="14.4" x14ac:dyDescent="0.3"/>
  <cols>
    <col min="1" max="1" width="10.109375" customWidth="1"/>
    <col min="2" max="2" width="12.77734375" bestFit="1" customWidth="1"/>
    <col min="3" max="3" width="15.77734375" customWidth="1"/>
    <col min="4" max="4" width="12.77734375" bestFit="1" customWidth="1"/>
    <col min="5" max="6" width="13.5546875" bestFit="1" customWidth="1"/>
    <col min="7" max="7" width="9.33203125" bestFit="1" customWidth="1"/>
    <col min="8" max="8" width="10.88671875" customWidth="1"/>
    <col min="9" max="9" width="12.109375" customWidth="1"/>
    <col min="10" max="10" width="12.5546875" customWidth="1"/>
    <col min="11" max="11" width="61.109375" bestFit="1" customWidth="1"/>
  </cols>
  <sheetData>
    <row r="1" spans="1:11" s="3" customFormat="1" x14ac:dyDescent="0.3">
      <c r="B1" s="2" t="s">
        <v>16</v>
      </c>
      <c r="C1" s="2"/>
      <c r="D1" s="2"/>
    </row>
    <row r="2" spans="1:11" s="3" customFormat="1" x14ac:dyDescent="0.3">
      <c r="B2" s="2" t="s">
        <v>17</v>
      </c>
      <c r="C2" s="2"/>
      <c r="D2" s="2"/>
    </row>
    <row r="3" spans="1:11" s="3" customFormat="1" x14ac:dyDescent="0.3"/>
    <row r="4" spans="1:11" s="3" customFormat="1" x14ac:dyDescent="0.3">
      <c r="G4" s="3" t="s">
        <v>127</v>
      </c>
    </row>
    <row r="5" spans="1:11" s="3" customFormat="1" ht="15" thickBot="1" x14ac:dyDescent="0.35">
      <c r="D5" s="1" t="s">
        <v>11</v>
      </c>
      <c r="E5" s="1" t="s">
        <v>12</v>
      </c>
      <c r="F5" s="1" t="s">
        <v>27</v>
      </c>
      <c r="G5" s="16" t="s">
        <v>19</v>
      </c>
      <c r="H5" s="16" t="s">
        <v>30</v>
      </c>
      <c r="I5" s="16" t="s">
        <v>126</v>
      </c>
      <c r="J5" s="16" t="s">
        <v>13</v>
      </c>
      <c r="K5" s="16" t="s">
        <v>10</v>
      </c>
    </row>
    <row r="6" spans="1:11" s="20" customFormat="1" ht="13.2" x14ac:dyDescent="0.25">
      <c r="A6" s="8"/>
      <c r="B6" s="8"/>
      <c r="C6" s="8"/>
      <c r="D6" s="9" t="s">
        <v>42</v>
      </c>
      <c r="F6" s="7" t="s">
        <v>44</v>
      </c>
      <c r="G6" s="35">
        <v>2010</v>
      </c>
      <c r="H6" s="37">
        <v>-0.1</v>
      </c>
      <c r="I6" s="37">
        <v>0</v>
      </c>
      <c r="J6" s="37">
        <v>5</v>
      </c>
      <c r="K6" s="9" t="s">
        <v>43</v>
      </c>
    </row>
    <row r="7" spans="1:11" s="20" customFormat="1" ht="13.2" x14ac:dyDescent="0.25">
      <c r="A7" s="8"/>
      <c r="B7" s="8"/>
      <c r="C7" s="8"/>
      <c r="D7" s="9"/>
      <c r="F7" s="22" t="s">
        <v>45</v>
      </c>
      <c r="G7" s="35"/>
      <c r="H7" s="37">
        <v>0.9</v>
      </c>
      <c r="I7" s="38"/>
      <c r="J7" s="37"/>
      <c r="K7" s="9"/>
    </row>
    <row r="8" spans="1:11" s="20" customFormat="1" ht="13.2" x14ac:dyDescent="0.25">
      <c r="A8" s="8"/>
      <c r="B8" s="8"/>
      <c r="C8" s="8"/>
      <c r="D8" s="9" t="s">
        <v>46</v>
      </c>
      <c r="F8" s="7" t="s">
        <v>48</v>
      </c>
      <c r="G8" s="35">
        <v>2010</v>
      </c>
      <c r="H8" s="37">
        <v>-0.1</v>
      </c>
      <c r="I8" s="38">
        <v>0</v>
      </c>
      <c r="J8" s="37">
        <v>5</v>
      </c>
      <c r="K8" s="9" t="s">
        <v>47</v>
      </c>
    </row>
    <row r="9" spans="1:11" s="20" customFormat="1" ht="13.2" x14ac:dyDescent="0.25">
      <c r="A9" s="8"/>
      <c r="B9" s="8"/>
      <c r="C9" s="8"/>
      <c r="D9" s="9"/>
      <c r="F9" s="22" t="s">
        <v>49</v>
      </c>
      <c r="G9" s="35"/>
      <c r="H9" s="37">
        <v>0.9</v>
      </c>
      <c r="I9" s="38"/>
      <c r="J9" s="37"/>
      <c r="K9" s="9"/>
    </row>
    <row r="10" spans="1:11" s="20" customFormat="1" ht="13.2" x14ac:dyDescent="0.25">
      <c r="A10" s="8"/>
      <c r="B10" s="8"/>
      <c r="C10" s="8"/>
      <c r="D10" s="9" t="s">
        <v>50</v>
      </c>
      <c r="F10" s="7" t="s">
        <v>52</v>
      </c>
      <c r="G10" s="35">
        <v>2010</v>
      </c>
      <c r="H10" s="37">
        <v>-0.1</v>
      </c>
      <c r="I10" s="38">
        <v>0</v>
      </c>
      <c r="J10" s="37">
        <v>5</v>
      </c>
      <c r="K10" s="9" t="s">
        <v>51</v>
      </c>
    </row>
    <row r="11" spans="1:11" s="20" customFormat="1" ht="13.2" x14ac:dyDescent="0.25">
      <c r="A11" s="8"/>
      <c r="B11" s="8"/>
      <c r="C11" s="8"/>
      <c r="D11" s="9"/>
      <c r="F11" s="22" t="s">
        <v>53</v>
      </c>
      <c r="G11" s="35"/>
      <c r="H11" s="37">
        <v>0.9</v>
      </c>
      <c r="I11" s="38"/>
      <c r="J11" s="37"/>
      <c r="K11" s="9"/>
    </row>
    <row r="12" spans="1:11" s="20" customFormat="1" ht="13.2" x14ac:dyDescent="0.25">
      <c r="A12" s="8"/>
      <c r="B12" s="8"/>
      <c r="C12" s="8"/>
      <c r="D12" s="9" t="s">
        <v>54</v>
      </c>
      <c r="F12" s="7" t="s">
        <v>56</v>
      </c>
      <c r="G12" s="35">
        <v>2010</v>
      </c>
      <c r="H12" s="37">
        <v>-0.1</v>
      </c>
      <c r="I12" s="38">
        <v>0</v>
      </c>
      <c r="J12" s="37">
        <v>5</v>
      </c>
      <c r="K12" s="9" t="s">
        <v>55</v>
      </c>
    </row>
    <row r="13" spans="1:11" s="20" customFormat="1" ht="13.2" x14ac:dyDescent="0.25">
      <c r="A13" s="8"/>
      <c r="B13" s="8"/>
      <c r="C13" s="8"/>
      <c r="D13" s="9"/>
      <c r="F13" s="22" t="s">
        <v>57</v>
      </c>
      <c r="G13" s="35"/>
      <c r="H13" s="37">
        <v>0.9</v>
      </c>
      <c r="I13" s="38"/>
      <c r="J13" s="37"/>
      <c r="K13" s="9"/>
    </row>
    <row r="14" spans="1:11" s="20" customFormat="1" ht="13.2" x14ac:dyDescent="0.25">
      <c r="A14" s="8"/>
      <c r="B14" s="8"/>
      <c r="C14" s="8"/>
      <c r="D14" s="9" t="s">
        <v>58</v>
      </c>
      <c r="F14" s="7" t="s">
        <v>60</v>
      </c>
      <c r="G14" s="35">
        <v>2010</v>
      </c>
      <c r="H14" s="37">
        <v>-0.1</v>
      </c>
      <c r="I14" s="37">
        <v>0</v>
      </c>
      <c r="J14" s="37">
        <v>5</v>
      </c>
      <c r="K14" s="9" t="s">
        <v>59</v>
      </c>
    </row>
    <row r="15" spans="1:11" s="20" customFormat="1" ht="13.2" x14ac:dyDescent="0.25">
      <c r="A15" s="8"/>
      <c r="B15" s="8"/>
      <c r="C15" s="8"/>
      <c r="D15" s="9"/>
      <c r="F15" s="22" t="s">
        <v>61</v>
      </c>
      <c r="G15" s="35"/>
      <c r="H15" s="37">
        <v>0.9</v>
      </c>
      <c r="I15" s="37"/>
      <c r="J15" s="37"/>
      <c r="K15" s="9"/>
    </row>
    <row r="16" spans="1:11" s="20" customFormat="1" ht="13.2" x14ac:dyDescent="0.25">
      <c r="A16" s="8"/>
      <c r="B16" s="8"/>
      <c r="C16" s="8"/>
      <c r="D16" s="9" t="s">
        <v>62</v>
      </c>
      <c r="F16" s="7" t="s">
        <v>64</v>
      </c>
      <c r="G16" s="35">
        <v>2010</v>
      </c>
      <c r="H16" s="37">
        <v>-0.1</v>
      </c>
      <c r="I16" s="37">
        <v>0</v>
      </c>
      <c r="J16" s="37">
        <v>5</v>
      </c>
      <c r="K16" s="9" t="s">
        <v>63</v>
      </c>
    </row>
    <row r="17" spans="1:11" s="20" customFormat="1" ht="13.2" x14ac:dyDescent="0.25">
      <c r="A17" s="8"/>
      <c r="B17" s="8"/>
      <c r="C17" s="8"/>
      <c r="D17" s="9"/>
      <c r="F17" s="22" t="s">
        <v>65</v>
      </c>
      <c r="G17" s="35"/>
      <c r="H17" s="37">
        <v>0.9</v>
      </c>
      <c r="I17" s="37"/>
      <c r="J17" s="37"/>
      <c r="K17" s="9"/>
    </row>
    <row r="18" spans="1:11" s="20" customFormat="1" ht="13.2" x14ac:dyDescent="0.25">
      <c r="A18" s="8"/>
      <c r="B18" s="8"/>
      <c r="C18" s="8"/>
      <c r="D18" s="9" t="s">
        <v>66</v>
      </c>
      <c r="F18" s="7" t="s">
        <v>68</v>
      </c>
      <c r="G18" s="35">
        <v>2010</v>
      </c>
      <c r="H18" s="37">
        <v>-0.1</v>
      </c>
      <c r="I18" s="37">
        <v>0</v>
      </c>
      <c r="J18" s="37">
        <v>5</v>
      </c>
      <c r="K18" s="9" t="s">
        <v>67</v>
      </c>
    </row>
    <row r="19" spans="1:11" s="20" customFormat="1" ht="13.2" x14ac:dyDescent="0.25">
      <c r="A19" s="8"/>
      <c r="B19" s="8"/>
      <c r="C19" s="8"/>
      <c r="D19" s="9"/>
      <c r="F19" s="22" t="s">
        <v>69</v>
      </c>
      <c r="G19" s="35"/>
      <c r="H19" s="37">
        <v>0.9</v>
      </c>
      <c r="I19" s="37"/>
      <c r="J19" s="37"/>
      <c r="K19" s="9"/>
    </row>
    <row r="20" spans="1:11" s="20" customFormat="1" ht="13.2" x14ac:dyDescent="0.25">
      <c r="A20" s="8"/>
      <c r="B20" s="8"/>
      <c r="C20" s="8"/>
      <c r="D20" s="9" t="s">
        <v>70</v>
      </c>
      <c r="F20" s="7" t="s">
        <v>72</v>
      </c>
      <c r="G20" s="35">
        <v>2010</v>
      </c>
      <c r="H20" s="37">
        <v>-0.1</v>
      </c>
      <c r="I20" s="37">
        <v>0</v>
      </c>
      <c r="J20" s="37">
        <v>5</v>
      </c>
      <c r="K20" s="9" t="s">
        <v>71</v>
      </c>
    </row>
    <row r="21" spans="1:11" s="4" customFormat="1" ht="13.2" x14ac:dyDescent="0.25">
      <c r="A21" s="8"/>
      <c r="B21" s="8"/>
      <c r="C21" s="8"/>
      <c r="D21" s="10"/>
      <c r="F21" s="22" t="s">
        <v>73</v>
      </c>
      <c r="G21" s="35"/>
      <c r="H21" s="37">
        <v>0.9</v>
      </c>
      <c r="I21" s="37"/>
      <c r="J21" s="37"/>
      <c r="K21" s="10"/>
    </row>
    <row r="22" spans="1:11" s="4" customFormat="1" ht="13.2" x14ac:dyDescent="0.25">
      <c r="A22" s="8"/>
      <c r="B22" s="8"/>
      <c r="C22" s="8"/>
      <c r="D22" s="13" t="s">
        <v>74</v>
      </c>
      <c r="F22" s="7" t="s">
        <v>76</v>
      </c>
      <c r="G22" s="35">
        <v>2010</v>
      </c>
      <c r="H22" s="37">
        <v>-0.1</v>
      </c>
      <c r="I22" s="37">
        <v>0</v>
      </c>
      <c r="J22" s="37">
        <v>5</v>
      </c>
      <c r="K22" s="13" t="s">
        <v>75</v>
      </c>
    </row>
    <row r="23" spans="1:11" s="4" customFormat="1" ht="13.2" x14ac:dyDescent="0.25">
      <c r="A23" s="8"/>
      <c r="B23" s="8"/>
      <c r="C23" s="8"/>
      <c r="D23" s="10"/>
      <c r="F23" s="22" t="s">
        <v>77</v>
      </c>
      <c r="G23" s="35"/>
      <c r="H23" s="37">
        <v>0.9</v>
      </c>
      <c r="I23" s="37"/>
      <c r="J23" s="37"/>
      <c r="K23" s="10"/>
    </row>
    <row r="24" spans="1:11" s="4" customFormat="1" ht="13.2" x14ac:dyDescent="0.25">
      <c r="A24" s="8"/>
      <c r="B24" s="8"/>
      <c r="C24" s="8"/>
      <c r="D24" s="13" t="s">
        <v>78</v>
      </c>
      <c r="F24" s="7" t="s">
        <v>80</v>
      </c>
      <c r="G24" s="35">
        <v>2010</v>
      </c>
      <c r="H24" s="37">
        <v>-0.1</v>
      </c>
      <c r="I24" s="37">
        <v>0</v>
      </c>
      <c r="J24" s="37">
        <v>5</v>
      </c>
      <c r="K24" s="13" t="s">
        <v>79</v>
      </c>
    </row>
    <row r="25" spans="1:11" s="4" customFormat="1" ht="13.2" x14ac:dyDescent="0.25">
      <c r="A25" s="8"/>
      <c r="B25" s="8"/>
      <c r="C25" s="8"/>
      <c r="D25" s="10"/>
      <c r="F25" s="22" t="s">
        <v>81</v>
      </c>
      <c r="G25" s="35"/>
      <c r="H25" s="37">
        <v>0.9</v>
      </c>
      <c r="I25" s="37"/>
      <c r="J25" s="37"/>
      <c r="K25" s="10"/>
    </row>
    <row r="26" spans="1:11" s="4" customFormat="1" ht="13.2" x14ac:dyDescent="0.25">
      <c r="A26" s="8"/>
      <c r="B26" s="8"/>
      <c r="C26" s="8"/>
      <c r="D26" s="13" t="s">
        <v>82</v>
      </c>
      <c r="F26" s="7" t="s">
        <v>84</v>
      </c>
      <c r="G26" s="35">
        <v>2010</v>
      </c>
      <c r="H26" s="37">
        <v>-0.1</v>
      </c>
      <c r="I26" s="38">
        <v>0</v>
      </c>
      <c r="J26" s="37">
        <v>5</v>
      </c>
      <c r="K26" s="13" t="s">
        <v>83</v>
      </c>
    </row>
    <row r="27" spans="1:11" s="4" customFormat="1" ht="13.2" x14ac:dyDescent="0.25">
      <c r="A27" s="8"/>
      <c r="B27" s="8"/>
      <c r="C27" s="8"/>
      <c r="D27" s="10"/>
      <c r="F27" s="22" t="s">
        <v>85</v>
      </c>
      <c r="G27" s="35"/>
      <c r="H27" s="37">
        <v>0.9</v>
      </c>
      <c r="I27" s="38"/>
      <c r="J27" s="37"/>
      <c r="K27" s="10"/>
    </row>
    <row r="28" spans="1:11" s="4" customFormat="1" ht="13.2" x14ac:dyDescent="0.25">
      <c r="A28" s="8"/>
      <c r="B28" s="8"/>
      <c r="C28" s="8"/>
      <c r="D28" s="13" t="s">
        <v>86</v>
      </c>
      <c r="F28" s="7" t="s">
        <v>88</v>
      </c>
      <c r="G28" s="35">
        <v>2010</v>
      </c>
      <c r="H28" s="37">
        <v>-0.1</v>
      </c>
      <c r="I28" s="38">
        <v>0</v>
      </c>
      <c r="J28" s="37">
        <v>5</v>
      </c>
      <c r="K28" s="13" t="s">
        <v>87</v>
      </c>
    </row>
    <row r="29" spans="1:11" s="4" customFormat="1" ht="13.2" x14ac:dyDescent="0.25">
      <c r="A29" s="8"/>
      <c r="B29" s="8"/>
      <c r="C29" s="8"/>
      <c r="D29" s="10"/>
      <c r="F29" s="22" t="s">
        <v>89</v>
      </c>
      <c r="G29" s="35"/>
      <c r="H29" s="37">
        <v>0.9</v>
      </c>
      <c r="I29" s="38"/>
      <c r="J29" s="37"/>
      <c r="K29" s="10"/>
    </row>
    <row r="30" spans="1:11" s="4" customFormat="1" ht="13.2" x14ac:dyDescent="0.25">
      <c r="A30" s="8"/>
      <c r="B30" s="8"/>
      <c r="C30" s="8"/>
      <c r="D30" s="13" t="s">
        <v>90</v>
      </c>
      <c r="F30" s="7" t="s">
        <v>92</v>
      </c>
      <c r="G30" s="35">
        <v>2010</v>
      </c>
      <c r="H30" s="37">
        <v>-0.1</v>
      </c>
      <c r="I30" s="38">
        <v>0</v>
      </c>
      <c r="J30" s="37">
        <v>5</v>
      </c>
      <c r="K30" s="13" t="s">
        <v>91</v>
      </c>
    </row>
    <row r="31" spans="1:11" s="4" customFormat="1" ht="13.2" x14ac:dyDescent="0.25">
      <c r="A31" s="8"/>
      <c r="B31" s="8"/>
      <c r="C31" s="8"/>
      <c r="D31" s="10"/>
      <c r="F31" s="22" t="s">
        <v>93</v>
      </c>
      <c r="G31" s="35"/>
      <c r="H31" s="37">
        <v>0.9</v>
      </c>
      <c r="I31" s="38"/>
      <c r="J31" s="37"/>
      <c r="K31" s="10"/>
    </row>
    <row r="32" spans="1:11" s="4" customFormat="1" ht="13.2" x14ac:dyDescent="0.25">
      <c r="A32" s="8"/>
      <c r="B32" s="8"/>
      <c r="C32" s="8"/>
      <c r="D32" s="13" t="s">
        <v>94</v>
      </c>
      <c r="F32" s="7" t="s">
        <v>96</v>
      </c>
      <c r="G32" s="35">
        <v>2010</v>
      </c>
      <c r="H32" s="37">
        <v>-0.1</v>
      </c>
      <c r="I32" s="38">
        <v>0</v>
      </c>
      <c r="J32" s="37">
        <v>5</v>
      </c>
      <c r="K32" s="13" t="s">
        <v>95</v>
      </c>
    </row>
    <row r="33" spans="1:11" s="4" customFormat="1" ht="13.2" x14ac:dyDescent="0.25">
      <c r="A33" s="20"/>
      <c r="B33" s="20"/>
      <c r="C33" s="20"/>
      <c r="D33" s="10"/>
      <c r="F33" s="22" t="s">
        <v>97</v>
      </c>
      <c r="G33" s="35"/>
      <c r="H33" s="37">
        <v>0.9</v>
      </c>
      <c r="I33" s="38"/>
      <c r="J33" s="37"/>
      <c r="K33" s="10"/>
    </row>
    <row r="34" spans="1:11" s="4" customFormat="1" ht="13.2" x14ac:dyDescent="0.25">
      <c r="A34" s="20"/>
      <c r="B34" s="20"/>
      <c r="C34" s="20"/>
      <c r="D34" s="13" t="s">
        <v>98</v>
      </c>
      <c r="F34" s="21" t="s">
        <v>100</v>
      </c>
      <c r="G34" s="35">
        <v>2010</v>
      </c>
      <c r="H34" s="37">
        <v>-0.1</v>
      </c>
      <c r="I34" s="38">
        <v>0</v>
      </c>
      <c r="J34" s="37">
        <v>5</v>
      </c>
      <c r="K34" s="10" t="s">
        <v>99</v>
      </c>
    </row>
    <row r="35" spans="1:11" s="4" customFormat="1" ht="13.2" x14ac:dyDescent="0.25">
      <c r="A35" s="20"/>
      <c r="B35" s="20"/>
      <c r="C35" s="20"/>
      <c r="D35" s="10"/>
      <c r="F35" s="21" t="s">
        <v>101</v>
      </c>
      <c r="G35" s="35"/>
      <c r="H35" s="37">
        <v>-0.1</v>
      </c>
      <c r="I35" s="38"/>
      <c r="J35" s="37"/>
      <c r="K35" s="10"/>
    </row>
    <row r="36" spans="1:11" s="4" customFormat="1" ht="13.2" x14ac:dyDescent="0.25">
      <c r="A36" s="20"/>
      <c r="B36" s="20"/>
      <c r="C36" s="20"/>
      <c r="D36" s="10"/>
      <c r="F36" s="21" t="s">
        <v>102</v>
      </c>
      <c r="G36" s="35"/>
      <c r="H36" s="37">
        <v>-0.1</v>
      </c>
      <c r="I36" s="38"/>
      <c r="J36" s="37"/>
      <c r="K36" s="10"/>
    </row>
    <row r="37" spans="1:11" s="4" customFormat="1" ht="13.2" x14ac:dyDescent="0.25">
      <c r="A37" s="20"/>
      <c r="B37" s="20"/>
      <c r="C37" s="20"/>
      <c r="D37" s="10"/>
      <c r="E37" s="10"/>
      <c r="F37" s="21" t="s">
        <v>103</v>
      </c>
      <c r="G37" s="35"/>
      <c r="H37" s="37">
        <v>-0.1</v>
      </c>
      <c r="I37" s="38"/>
      <c r="J37" s="37"/>
    </row>
    <row r="38" spans="1:11" s="4" customFormat="1" ht="13.2" x14ac:dyDescent="0.25">
      <c r="A38" s="20"/>
      <c r="B38" s="20"/>
      <c r="C38" s="20"/>
      <c r="D38" s="10"/>
      <c r="E38" s="10"/>
      <c r="F38" s="21" t="s">
        <v>104</v>
      </c>
      <c r="G38" s="35"/>
      <c r="H38" s="37">
        <v>-0.1</v>
      </c>
      <c r="I38" s="38"/>
      <c r="J38" s="37"/>
    </row>
    <row r="39" spans="1:11" s="4" customFormat="1" ht="13.2" x14ac:dyDescent="0.25">
      <c r="A39" s="20"/>
      <c r="B39" s="20"/>
      <c r="C39" s="20"/>
      <c r="D39" s="10"/>
      <c r="E39" s="10"/>
      <c r="F39" s="21" t="s">
        <v>105</v>
      </c>
      <c r="G39" s="35"/>
      <c r="H39" s="37">
        <v>-0.1</v>
      </c>
      <c r="I39" s="38"/>
      <c r="J39" s="37"/>
    </row>
    <row r="40" spans="1:11" s="4" customFormat="1" ht="13.2" x14ac:dyDescent="0.25">
      <c r="A40" s="20"/>
      <c r="B40" s="20"/>
      <c r="C40" s="20"/>
      <c r="D40" s="10"/>
      <c r="E40" s="10"/>
      <c r="F40" s="21" t="s">
        <v>106</v>
      </c>
      <c r="G40" s="35"/>
      <c r="H40" s="37">
        <v>-0.1</v>
      </c>
      <c r="I40" s="38"/>
      <c r="J40" s="37"/>
    </row>
    <row r="41" spans="1:11" s="4" customFormat="1" ht="13.2" x14ac:dyDescent="0.25">
      <c r="A41" s="20"/>
      <c r="B41" s="20"/>
      <c r="C41" s="20"/>
      <c r="D41" s="10"/>
      <c r="E41" s="10"/>
      <c r="F41" s="21" t="s">
        <v>107</v>
      </c>
      <c r="G41" s="36"/>
      <c r="H41" s="37">
        <v>0.9</v>
      </c>
      <c r="I41" s="38"/>
      <c r="J41" s="37"/>
    </row>
    <row r="42" spans="1:11" s="4" customFormat="1" ht="13.2" x14ac:dyDescent="0.25">
      <c r="D42" s="13"/>
      <c r="E42" s="10"/>
      <c r="F42" s="11"/>
      <c r="G42" s="11"/>
      <c r="H42" s="39"/>
      <c r="I42" s="38"/>
      <c r="J42" s="38"/>
    </row>
    <row r="43" spans="1:11" s="4" customFormat="1" ht="13.2" x14ac:dyDescent="0.25">
      <c r="A43" s="6"/>
      <c r="B43" s="6"/>
      <c r="C43" s="6"/>
      <c r="D43" s="13"/>
      <c r="E43" s="10"/>
      <c r="F43" s="10"/>
      <c r="G43" s="7"/>
      <c r="H43" s="7"/>
      <c r="I43" s="5"/>
      <c r="J43" s="5"/>
    </row>
    <row r="44" spans="1:11" s="4" customFormat="1" ht="13.2" x14ac:dyDescent="0.25">
      <c r="C44" s="13"/>
      <c r="D44" s="10"/>
      <c r="E44" s="10"/>
      <c r="F44" s="21"/>
      <c r="G44" s="5"/>
      <c r="H44" s="5"/>
      <c r="I44" s="5"/>
      <c r="J44" s="5"/>
    </row>
    <row r="45" spans="1:11" s="4" customFormat="1" ht="13.2" x14ac:dyDescent="0.25">
      <c r="C45" s="10"/>
      <c r="D45" s="10"/>
      <c r="E45" s="10"/>
      <c r="F45" s="21"/>
      <c r="G45" s="5"/>
      <c r="H45" s="5"/>
      <c r="I45" s="5"/>
      <c r="J45" s="5"/>
    </row>
    <row r="46" spans="1:11" s="4" customFormat="1" ht="13.2" x14ac:dyDescent="0.25">
      <c r="C46" s="13"/>
      <c r="D46" s="10"/>
      <c r="E46" s="10"/>
      <c r="F46" s="21"/>
      <c r="G46" s="5"/>
      <c r="H46" s="5"/>
      <c r="I46" s="5"/>
      <c r="J46" s="5"/>
    </row>
    <row r="47" spans="1:11" s="4" customFormat="1" ht="13.2" x14ac:dyDescent="0.25">
      <c r="C47" s="13"/>
      <c r="D47" s="13"/>
      <c r="E47" s="13"/>
      <c r="F47" s="21"/>
      <c r="G47" s="5"/>
      <c r="H47" s="5"/>
      <c r="I47" s="5"/>
      <c r="J47" s="5"/>
    </row>
    <row r="48" spans="1:11" s="4" customFormat="1" ht="13.2" x14ac:dyDescent="0.25">
      <c r="C48" s="10"/>
      <c r="D48" s="10"/>
      <c r="E48" s="10"/>
      <c r="F48" s="11"/>
      <c r="G48" s="5"/>
      <c r="H48" s="5"/>
      <c r="I48" s="5"/>
      <c r="J48" s="5"/>
    </row>
    <row r="49" spans="1:10" s="4" customFormat="1" ht="13.2" x14ac:dyDescent="0.25">
      <c r="C49" s="10"/>
      <c r="D49" s="10"/>
      <c r="E49" s="10"/>
      <c r="F49" s="11"/>
      <c r="G49" s="5"/>
      <c r="H49" s="5"/>
      <c r="I49" s="5"/>
      <c r="J49" s="5"/>
    </row>
    <row r="50" spans="1:10" s="4" customFormat="1" ht="13.2" x14ac:dyDescent="0.25">
      <c r="B50" s="12"/>
      <c r="C50" s="13"/>
      <c r="D50" s="19"/>
      <c r="E50" s="7"/>
      <c r="F50" s="5"/>
      <c r="G50" s="5"/>
      <c r="H50" s="5"/>
      <c r="I50" s="5"/>
    </row>
    <row r="51" spans="1:10" s="4" customFormat="1" ht="13.2" x14ac:dyDescent="0.25">
      <c r="B51" s="13"/>
      <c r="C51" s="13"/>
      <c r="D51" s="13"/>
      <c r="E51" s="21"/>
      <c r="F51" s="5"/>
      <c r="G51" s="5"/>
      <c r="H51" s="5"/>
      <c r="I51" s="5"/>
    </row>
    <row r="52" spans="1:10" s="4" customFormat="1" ht="13.2" x14ac:dyDescent="0.25">
      <c r="B52" s="10"/>
      <c r="C52" s="10"/>
      <c r="D52" s="10"/>
      <c r="E52" s="11"/>
      <c r="F52" s="5"/>
      <c r="G52" s="5"/>
      <c r="H52" s="5"/>
      <c r="I52" s="5"/>
    </row>
    <row r="53" spans="1:10" s="4" customFormat="1" ht="13.2" x14ac:dyDescent="0.25">
      <c r="A53" s="5"/>
      <c r="B53" s="5"/>
      <c r="C53" s="5"/>
      <c r="D53" s="10"/>
      <c r="E53" s="11"/>
      <c r="F53" s="5"/>
      <c r="G53" s="5"/>
      <c r="H53" s="5"/>
      <c r="I53" s="5"/>
    </row>
    <row r="54" spans="1:10" s="4" customFormat="1" ht="13.2" x14ac:dyDescent="0.25">
      <c r="B54" s="10"/>
      <c r="C54" s="10"/>
      <c r="D54" s="10"/>
      <c r="E54" s="11"/>
      <c r="F54" s="5"/>
      <c r="G54" s="5"/>
      <c r="H54" s="5"/>
      <c r="I54" s="5"/>
    </row>
    <row r="55" spans="1:10" s="4" customFormat="1" ht="13.2" x14ac:dyDescent="0.25">
      <c r="B55" s="10"/>
      <c r="C55" s="10"/>
      <c r="D55" s="10"/>
      <c r="E55" s="21"/>
      <c r="F55" s="5"/>
      <c r="G55" s="5"/>
      <c r="H55" s="5"/>
      <c r="I55" s="5"/>
    </row>
    <row r="56" spans="1:10" s="4" customFormat="1" ht="13.2" x14ac:dyDescent="0.25">
      <c r="B56" s="10"/>
      <c r="C56" s="10"/>
      <c r="D56" s="10"/>
      <c r="E56" s="11"/>
      <c r="F56" s="5"/>
      <c r="G56" s="5"/>
      <c r="H56" s="5"/>
      <c r="I56" s="5"/>
    </row>
    <row r="57" spans="1:10" s="4" customFormat="1" ht="13.2" x14ac:dyDescent="0.25">
      <c r="C57" s="10"/>
      <c r="D57" s="10"/>
      <c r="E57" s="10"/>
      <c r="G57" s="5"/>
      <c r="H57" s="5"/>
      <c r="I57" s="5"/>
    </row>
    <row r="58" spans="1:10" s="4" customFormat="1" ht="13.2" x14ac:dyDescent="0.25">
      <c r="B58" s="10"/>
      <c r="C58" s="10"/>
      <c r="D58" s="10"/>
      <c r="E58" s="11"/>
      <c r="F58" s="5"/>
      <c r="G58" s="5"/>
      <c r="H58" s="5"/>
      <c r="I5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75AA-AF70-4CEA-BA09-775D3CBEBFC9}">
  <dimension ref="A1:AQ48"/>
  <sheetViews>
    <sheetView topLeftCell="C16" zoomScale="85" zoomScaleNormal="85" workbookViewId="0">
      <selection activeCell="K47" sqref="K47"/>
    </sheetView>
  </sheetViews>
  <sheetFormatPr defaultRowHeight="14.4" x14ac:dyDescent="0.3"/>
  <cols>
    <col min="1" max="1" width="34" customWidth="1"/>
    <col min="2" max="2" width="22.109375" bestFit="1" customWidth="1"/>
    <col min="3" max="3" width="9.21875" customWidth="1"/>
    <col min="4" max="4" width="10.44140625" customWidth="1"/>
    <col min="8" max="8" width="10.21875" bestFit="1" customWidth="1"/>
    <col min="30" max="30" width="8.88671875" style="3"/>
  </cols>
  <sheetData>
    <row r="1" spans="1:42" s="3" customFormat="1" x14ac:dyDescent="0.3">
      <c r="A1" s="41" t="s">
        <v>130</v>
      </c>
    </row>
    <row r="2" spans="1:42" s="3" customFormat="1" x14ac:dyDescent="0.3">
      <c r="A2" s="42">
        <v>42248</v>
      </c>
    </row>
    <row r="3" spans="1:42" s="3" customFormat="1" x14ac:dyDescent="0.3">
      <c r="A3" s="3" t="s">
        <v>131</v>
      </c>
    </row>
    <row r="4" spans="1:42" s="3" customFormat="1" x14ac:dyDescent="0.3"/>
    <row r="5" spans="1:42" s="3" customFormat="1" x14ac:dyDescent="0.3">
      <c r="A5" s="3" t="s">
        <v>132</v>
      </c>
      <c r="C5" s="3" t="s">
        <v>133</v>
      </c>
    </row>
    <row r="6" spans="1:42" s="3" customFormat="1" x14ac:dyDescent="0.3">
      <c r="B6" s="3" t="s">
        <v>134</v>
      </c>
      <c r="C6" s="71" t="s">
        <v>117</v>
      </c>
      <c r="D6" s="71"/>
      <c r="E6" s="71"/>
      <c r="F6" s="71"/>
      <c r="G6" s="69" t="s">
        <v>121</v>
      </c>
      <c r="H6" s="69"/>
      <c r="I6" s="69"/>
      <c r="J6" s="69"/>
      <c r="K6" s="68" t="s">
        <v>135</v>
      </c>
      <c r="L6" s="68"/>
      <c r="M6" s="68"/>
      <c r="N6" s="68"/>
      <c r="O6" s="72" t="s">
        <v>136</v>
      </c>
      <c r="P6" s="72"/>
      <c r="Q6" s="72"/>
      <c r="R6" s="72"/>
      <c r="S6" s="69" t="s">
        <v>137</v>
      </c>
      <c r="T6" s="69"/>
      <c r="U6" s="69"/>
      <c r="V6" s="69"/>
      <c r="W6" s="68" t="s">
        <v>138</v>
      </c>
      <c r="X6" s="68"/>
      <c r="Y6" s="68"/>
      <c r="Z6" s="68"/>
      <c r="AA6" s="69" t="s">
        <v>114</v>
      </c>
      <c r="AB6" s="69"/>
      <c r="AC6" s="69"/>
      <c r="AD6" s="69"/>
      <c r="AE6" s="70" t="s">
        <v>115</v>
      </c>
      <c r="AF6" s="70"/>
      <c r="AG6" s="70"/>
      <c r="AH6" s="70"/>
      <c r="AI6" s="69" t="s">
        <v>151</v>
      </c>
      <c r="AJ6" s="69"/>
      <c r="AK6" s="69"/>
      <c r="AL6" s="69"/>
      <c r="AM6" s="70" t="s">
        <v>150</v>
      </c>
      <c r="AN6" s="70"/>
      <c r="AO6" s="70"/>
      <c r="AP6" s="70"/>
    </row>
    <row r="7" spans="1:42" s="3" customFormat="1" x14ac:dyDescent="0.3">
      <c r="B7" s="3" t="s">
        <v>134</v>
      </c>
      <c r="C7" s="65">
        <v>2010</v>
      </c>
      <c r="D7" s="65">
        <v>2011</v>
      </c>
      <c r="E7" s="65">
        <v>2015</v>
      </c>
      <c r="F7" s="65">
        <v>2019</v>
      </c>
      <c r="G7" s="24">
        <v>2010</v>
      </c>
      <c r="H7" s="24">
        <v>2011</v>
      </c>
      <c r="I7" s="24">
        <v>2015</v>
      </c>
      <c r="J7" s="24">
        <v>2019</v>
      </c>
      <c r="K7" s="66">
        <v>2010</v>
      </c>
      <c r="L7" s="66">
        <v>2011</v>
      </c>
      <c r="M7" s="66">
        <v>2015</v>
      </c>
      <c r="N7" s="66">
        <v>2019</v>
      </c>
      <c r="O7" s="27">
        <v>2010</v>
      </c>
      <c r="P7" s="27">
        <v>2011</v>
      </c>
      <c r="Q7" s="27">
        <v>2015</v>
      </c>
      <c r="R7" s="27">
        <v>2019</v>
      </c>
      <c r="S7" s="24">
        <v>2010</v>
      </c>
      <c r="T7" s="24">
        <v>2011</v>
      </c>
      <c r="U7" s="24">
        <v>2015</v>
      </c>
      <c r="V7" s="24">
        <v>2019</v>
      </c>
      <c r="W7" s="66">
        <v>2010</v>
      </c>
      <c r="X7" s="66">
        <v>2011</v>
      </c>
      <c r="Y7" s="66">
        <v>2015</v>
      </c>
      <c r="Z7" s="66">
        <v>2019</v>
      </c>
      <c r="AA7" s="24">
        <v>2010</v>
      </c>
      <c r="AB7" s="24">
        <v>2011</v>
      </c>
      <c r="AC7" s="24">
        <v>2015</v>
      </c>
      <c r="AD7" s="24">
        <v>2019</v>
      </c>
      <c r="AE7" s="25">
        <v>2010</v>
      </c>
      <c r="AF7" s="25">
        <v>2011</v>
      </c>
      <c r="AG7" s="25">
        <v>2015</v>
      </c>
      <c r="AH7" s="25">
        <v>2019</v>
      </c>
      <c r="AI7" s="24">
        <v>2010</v>
      </c>
      <c r="AJ7" s="24">
        <v>2011</v>
      </c>
      <c r="AK7" s="24">
        <v>2015</v>
      </c>
      <c r="AL7" s="24">
        <v>2019</v>
      </c>
      <c r="AM7" s="25">
        <v>2010</v>
      </c>
      <c r="AN7" s="25">
        <v>2011</v>
      </c>
      <c r="AO7" s="25">
        <v>2015</v>
      </c>
      <c r="AP7" s="25">
        <v>2019</v>
      </c>
    </row>
    <row r="8" spans="1:42" s="3" customFormat="1" x14ac:dyDescent="0.3">
      <c r="A8" s="3" t="s">
        <v>139</v>
      </c>
      <c r="B8" s="3" t="s">
        <v>134</v>
      </c>
      <c r="C8" s="65">
        <v>3972386</v>
      </c>
      <c r="D8" s="65">
        <v>3948186</v>
      </c>
      <c r="E8" s="65">
        <v>3919294</v>
      </c>
      <c r="F8" s="65">
        <v>3955781</v>
      </c>
      <c r="G8" s="24">
        <v>1827738</v>
      </c>
      <c r="H8" s="24">
        <v>1717891</v>
      </c>
      <c r="I8" s="24">
        <v>1340993</v>
      </c>
      <c r="J8" s="24">
        <v>959507</v>
      </c>
      <c r="K8" s="66">
        <v>901389</v>
      </c>
      <c r="L8" s="66">
        <v>926290</v>
      </c>
      <c r="M8" s="66">
        <v>1237656</v>
      </c>
      <c r="N8" s="66">
        <v>1474734</v>
      </c>
      <c r="O8" s="27">
        <v>806968</v>
      </c>
      <c r="P8" s="27">
        <v>790204</v>
      </c>
      <c r="Q8" s="27">
        <v>797178</v>
      </c>
      <c r="R8" s="27">
        <v>809409</v>
      </c>
      <c r="S8" s="24">
        <v>258455</v>
      </c>
      <c r="T8" s="24">
        <v>317531</v>
      </c>
      <c r="U8" s="24">
        <v>247636</v>
      </c>
      <c r="V8" s="24">
        <v>272377</v>
      </c>
      <c r="W8" s="66">
        <v>22375</v>
      </c>
      <c r="X8" s="66">
        <v>15343</v>
      </c>
      <c r="Y8" s="66">
        <v>16626</v>
      </c>
      <c r="Z8" s="66">
        <v>11024</v>
      </c>
      <c r="AA8" s="24">
        <v>94636</v>
      </c>
      <c r="AB8" s="24">
        <v>120121</v>
      </c>
      <c r="AC8" s="24">
        <v>190547</v>
      </c>
      <c r="AD8" s="24">
        <v>299785</v>
      </c>
      <c r="AE8" s="25">
        <v>1206</v>
      </c>
      <c r="AF8" s="25">
        <v>1727</v>
      </c>
      <c r="AG8" s="25">
        <v>24456</v>
      </c>
      <c r="AH8" s="25">
        <v>71547</v>
      </c>
      <c r="AI8" s="24">
        <v>27822</v>
      </c>
      <c r="AJ8" s="24">
        <v>26722</v>
      </c>
      <c r="AK8" s="24">
        <v>32386</v>
      </c>
      <c r="AL8" s="24">
        <v>28753</v>
      </c>
      <c r="AM8" s="25">
        <v>15219</v>
      </c>
      <c r="AN8" s="25">
        <v>15316</v>
      </c>
      <c r="AO8" s="25">
        <v>15918</v>
      </c>
      <c r="AP8" s="25">
        <v>15569</v>
      </c>
    </row>
    <row r="9" spans="1:42" s="3" customFormat="1" x14ac:dyDescent="0.3">
      <c r="A9" s="3" t="s">
        <v>140</v>
      </c>
      <c r="B9" s="3" t="s">
        <v>134</v>
      </c>
      <c r="C9" s="65">
        <v>123441</v>
      </c>
      <c r="D9" s="65">
        <v>117021</v>
      </c>
      <c r="E9" s="65">
        <v>106031</v>
      </c>
      <c r="F9" s="65">
        <v>96052</v>
      </c>
      <c r="G9" s="24">
        <v>14020</v>
      </c>
      <c r="H9" s="24">
        <v>6801</v>
      </c>
      <c r="I9" s="24">
        <v>3838</v>
      </c>
      <c r="J9" s="24">
        <v>457</v>
      </c>
      <c r="K9" s="66">
        <v>55115</v>
      </c>
      <c r="L9" s="66">
        <v>60121</v>
      </c>
      <c r="M9" s="66">
        <v>51942</v>
      </c>
      <c r="N9" s="66">
        <v>46901</v>
      </c>
      <c r="O9" s="27">
        <v>38361</v>
      </c>
      <c r="P9" s="27">
        <v>34283</v>
      </c>
      <c r="Q9" s="27">
        <v>31890</v>
      </c>
      <c r="R9" s="27">
        <v>29818</v>
      </c>
      <c r="S9" s="24">
        <v>7280</v>
      </c>
      <c r="T9" s="24">
        <v>7943</v>
      </c>
      <c r="U9" s="24">
        <v>6503</v>
      </c>
      <c r="V9" s="24">
        <v>7039</v>
      </c>
      <c r="W9" s="66">
        <v>890</v>
      </c>
      <c r="X9" s="66">
        <v>494</v>
      </c>
      <c r="Y9" s="66">
        <v>1928</v>
      </c>
      <c r="Z9" s="66">
        <v>235</v>
      </c>
      <c r="AA9" s="24">
        <v>612</v>
      </c>
      <c r="AB9" s="24">
        <v>861</v>
      </c>
      <c r="AC9" s="24">
        <v>2234</v>
      </c>
      <c r="AD9" s="24">
        <v>3627</v>
      </c>
      <c r="AE9" s="25">
        <v>1</v>
      </c>
      <c r="AF9" s="25">
        <v>6</v>
      </c>
      <c r="AG9" s="25">
        <v>528</v>
      </c>
      <c r="AH9" s="25">
        <v>1598</v>
      </c>
      <c r="AI9" s="24">
        <v>5729</v>
      </c>
      <c r="AJ9" s="24">
        <v>5059</v>
      </c>
      <c r="AK9" s="24">
        <v>6029</v>
      </c>
      <c r="AL9" s="24">
        <v>5095</v>
      </c>
      <c r="AM9" s="25">
        <v>0</v>
      </c>
      <c r="AN9" s="25">
        <v>0</v>
      </c>
      <c r="AO9" s="25">
        <v>0</v>
      </c>
      <c r="AP9" s="25">
        <v>0</v>
      </c>
    </row>
    <row r="10" spans="1:42" s="3" customFormat="1" x14ac:dyDescent="0.3">
      <c r="A10" s="3" t="s">
        <v>141</v>
      </c>
      <c r="B10" s="3" t="s">
        <v>134</v>
      </c>
      <c r="C10" s="65">
        <v>426598</v>
      </c>
      <c r="D10" s="65">
        <v>423543</v>
      </c>
      <c r="E10" s="65">
        <v>421071</v>
      </c>
      <c r="F10" s="65">
        <v>428483</v>
      </c>
      <c r="G10" s="24">
        <v>128950</v>
      </c>
      <c r="H10" s="24">
        <v>112978</v>
      </c>
      <c r="I10" s="24">
        <v>67990</v>
      </c>
      <c r="J10" s="24">
        <v>40133</v>
      </c>
      <c r="K10" s="66">
        <v>105469</v>
      </c>
      <c r="L10" s="66">
        <v>115678</v>
      </c>
      <c r="M10" s="66">
        <v>150432</v>
      </c>
      <c r="N10" s="66">
        <v>184582</v>
      </c>
      <c r="O10" s="27">
        <v>152469</v>
      </c>
      <c r="P10" s="27">
        <v>152448</v>
      </c>
      <c r="Q10" s="27">
        <v>158381</v>
      </c>
      <c r="R10" s="27">
        <v>154732</v>
      </c>
      <c r="S10" s="24">
        <v>27761</v>
      </c>
      <c r="T10" s="24">
        <v>31159</v>
      </c>
      <c r="U10" s="24">
        <v>28561</v>
      </c>
      <c r="V10" s="24">
        <v>33540</v>
      </c>
      <c r="W10" s="66">
        <v>2165</v>
      </c>
      <c r="X10" s="66">
        <v>1339</v>
      </c>
      <c r="Y10" s="66">
        <v>2629</v>
      </c>
      <c r="Z10" s="66">
        <v>714</v>
      </c>
      <c r="AA10" s="24">
        <v>4463</v>
      </c>
      <c r="AB10" s="24">
        <v>4633</v>
      </c>
      <c r="AC10" s="24">
        <v>7349</v>
      </c>
      <c r="AD10" s="24">
        <v>8413</v>
      </c>
      <c r="AE10" s="25">
        <v>28</v>
      </c>
      <c r="AF10" s="25">
        <v>85</v>
      </c>
      <c r="AG10" s="25">
        <v>644</v>
      </c>
      <c r="AH10" s="25">
        <v>1775</v>
      </c>
      <c r="AI10" s="24">
        <v>4302</v>
      </c>
      <c r="AJ10" s="24">
        <v>4067</v>
      </c>
      <c r="AK10" s="24">
        <v>4297</v>
      </c>
      <c r="AL10" s="24">
        <v>3677</v>
      </c>
      <c r="AM10" s="25">
        <v>0</v>
      </c>
      <c r="AN10" s="25">
        <v>0</v>
      </c>
      <c r="AO10" s="25">
        <v>0</v>
      </c>
      <c r="AP10" s="25">
        <v>0</v>
      </c>
    </row>
    <row r="11" spans="1:42" s="3" customFormat="1" x14ac:dyDescent="0.3">
      <c r="A11" s="3" t="s">
        <v>142</v>
      </c>
      <c r="B11" s="3" t="s">
        <v>134</v>
      </c>
      <c r="C11" s="65">
        <v>634383</v>
      </c>
      <c r="D11" s="65">
        <v>617796</v>
      </c>
      <c r="E11" s="65">
        <v>587365</v>
      </c>
      <c r="F11" s="65">
        <v>570550</v>
      </c>
      <c r="G11" s="24">
        <v>425653</v>
      </c>
      <c r="H11" s="24">
        <v>394593</v>
      </c>
      <c r="I11" s="24">
        <v>310998</v>
      </c>
      <c r="J11" s="24">
        <v>218114</v>
      </c>
      <c r="K11" s="66">
        <v>35231</v>
      </c>
      <c r="L11" s="66">
        <v>45414</v>
      </c>
      <c r="M11" s="66">
        <v>85612</v>
      </c>
      <c r="N11" s="66">
        <v>152525</v>
      </c>
      <c r="O11" s="27">
        <v>154900</v>
      </c>
      <c r="P11" s="27">
        <v>155162</v>
      </c>
      <c r="Q11" s="27">
        <v>154001</v>
      </c>
      <c r="R11" s="27">
        <v>158686</v>
      </c>
      <c r="S11" s="24">
        <v>4200</v>
      </c>
      <c r="T11" s="24">
        <v>4254</v>
      </c>
      <c r="U11" s="24">
        <v>4608</v>
      </c>
      <c r="V11" s="24">
        <v>3739</v>
      </c>
      <c r="W11" s="66">
        <v>752</v>
      </c>
      <c r="X11" s="66">
        <v>760</v>
      </c>
      <c r="Y11" s="66">
        <v>541</v>
      </c>
      <c r="Z11" s="66">
        <v>459</v>
      </c>
      <c r="AA11" s="24">
        <v>8847</v>
      </c>
      <c r="AB11" s="24">
        <v>11338</v>
      </c>
      <c r="AC11" s="24">
        <v>22804</v>
      </c>
      <c r="AD11" s="24">
        <v>29422</v>
      </c>
      <c r="AE11" s="25">
        <v>27</v>
      </c>
      <c r="AF11" s="25">
        <v>30</v>
      </c>
      <c r="AG11" s="25">
        <v>259</v>
      </c>
      <c r="AH11" s="25">
        <v>752</v>
      </c>
      <c r="AI11" s="24">
        <v>3567</v>
      </c>
      <c r="AJ11" s="24">
        <v>3876</v>
      </c>
      <c r="AK11" s="24">
        <v>3929</v>
      </c>
      <c r="AL11" s="24">
        <v>3637</v>
      </c>
      <c r="AM11" s="25">
        <v>0</v>
      </c>
      <c r="AN11" s="25">
        <v>0</v>
      </c>
      <c r="AO11" s="25">
        <v>0</v>
      </c>
      <c r="AP11" s="25">
        <v>0</v>
      </c>
    </row>
    <row r="12" spans="1:42" s="3" customFormat="1" x14ac:dyDescent="0.3">
      <c r="A12" s="3" t="s">
        <v>143</v>
      </c>
      <c r="B12" s="3" t="s">
        <v>134</v>
      </c>
      <c r="C12" s="65">
        <v>328467</v>
      </c>
      <c r="D12" s="65">
        <v>328311</v>
      </c>
      <c r="E12" s="65">
        <v>324703</v>
      </c>
      <c r="F12" s="65">
        <v>334750</v>
      </c>
      <c r="G12" s="24">
        <v>228740</v>
      </c>
      <c r="H12" s="24">
        <v>228675</v>
      </c>
      <c r="I12" s="24">
        <v>194762</v>
      </c>
      <c r="J12" s="24">
        <v>159173</v>
      </c>
      <c r="K12" s="66">
        <v>12938</v>
      </c>
      <c r="L12" s="66">
        <v>11714</v>
      </c>
      <c r="M12" s="66">
        <v>16857</v>
      </c>
      <c r="N12" s="66">
        <v>32203</v>
      </c>
      <c r="O12" s="27">
        <v>47535</v>
      </c>
      <c r="P12" s="27">
        <v>40797</v>
      </c>
      <c r="Q12" s="27">
        <v>46677</v>
      </c>
      <c r="R12" s="27">
        <v>44729</v>
      </c>
      <c r="S12" s="24">
        <v>11809</v>
      </c>
      <c r="T12" s="24">
        <v>13560</v>
      </c>
      <c r="U12" s="24">
        <v>11938</v>
      </c>
      <c r="V12" s="24">
        <v>11904</v>
      </c>
      <c r="W12" s="66">
        <v>341</v>
      </c>
      <c r="X12" s="66">
        <v>305</v>
      </c>
      <c r="Y12" s="66">
        <v>287</v>
      </c>
      <c r="Z12" s="66">
        <v>318</v>
      </c>
      <c r="AA12" s="24">
        <v>24170</v>
      </c>
      <c r="AB12" s="24">
        <v>31261</v>
      </c>
      <c r="AC12" s="24">
        <v>51835</v>
      </c>
      <c r="AD12" s="24">
        <v>83107</v>
      </c>
      <c r="AE12" s="25">
        <v>0</v>
      </c>
      <c r="AF12" s="25">
        <v>0</v>
      </c>
      <c r="AG12" s="25">
        <v>21</v>
      </c>
      <c r="AH12" s="25">
        <v>1686</v>
      </c>
      <c r="AI12" s="24">
        <v>1617</v>
      </c>
      <c r="AJ12" s="24">
        <v>1434</v>
      </c>
      <c r="AK12" s="24">
        <v>1574</v>
      </c>
      <c r="AL12" s="24">
        <v>961</v>
      </c>
      <c r="AM12" s="25">
        <v>0</v>
      </c>
      <c r="AN12" s="25">
        <v>0</v>
      </c>
      <c r="AO12" s="25">
        <v>0</v>
      </c>
      <c r="AP12" s="25">
        <v>0</v>
      </c>
    </row>
    <row r="13" spans="1:42" s="3" customFormat="1" x14ac:dyDescent="0.3">
      <c r="A13" s="3" t="s">
        <v>144</v>
      </c>
      <c r="B13" s="3" t="s">
        <v>134</v>
      </c>
      <c r="C13" s="65">
        <v>784712</v>
      </c>
      <c r="D13" s="65">
        <v>743048</v>
      </c>
      <c r="E13" s="65">
        <v>771534</v>
      </c>
      <c r="F13" s="65">
        <v>790488</v>
      </c>
      <c r="G13" s="24">
        <v>369577</v>
      </c>
      <c r="H13" s="24">
        <v>321478</v>
      </c>
      <c r="I13" s="24">
        <v>240632</v>
      </c>
      <c r="J13" s="24">
        <v>158980</v>
      </c>
      <c r="K13" s="66">
        <v>192545</v>
      </c>
      <c r="L13" s="66">
        <v>210152</v>
      </c>
      <c r="M13" s="66">
        <v>300954</v>
      </c>
      <c r="N13" s="66">
        <v>379669</v>
      </c>
      <c r="O13" s="27">
        <v>190741</v>
      </c>
      <c r="P13" s="27">
        <v>187696</v>
      </c>
      <c r="Q13" s="27">
        <v>199917</v>
      </c>
      <c r="R13" s="27">
        <v>205228</v>
      </c>
      <c r="S13" s="24">
        <v>14620</v>
      </c>
      <c r="T13" s="24">
        <v>12946</v>
      </c>
      <c r="U13" s="24">
        <v>14101</v>
      </c>
      <c r="V13" s="24">
        <v>17564</v>
      </c>
      <c r="W13" s="66">
        <v>8322</v>
      </c>
      <c r="X13" s="66">
        <v>2751</v>
      </c>
      <c r="Y13" s="66">
        <v>2877</v>
      </c>
      <c r="Z13" s="66">
        <v>1181</v>
      </c>
      <c r="AA13" s="24">
        <v>943</v>
      </c>
      <c r="AB13" s="24">
        <v>1373</v>
      </c>
      <c r="AC13" s="24">
        <v>1811</v>
      </c>
      <c r="AD13" s="24">
        <v>2838</v>
      </c>
      <c r="AE13" s="25">
        <v>92</v>
      </c>
      <c r="AF13" s="25">
        <v>154</v>
      </c>
      <c r="AG13" s="25">
        <v>1808</v>
      </c>
      <c r="AH13" s="25">
        <v>15336</v>
      </c>
      <c r="AI13" s="24">
        <v>5314</v>
      </c>
      <c r="AJ13" s="24">
        <v>5508</v>
      </c>
      <c r="AK13" s="24">
        <v>8288</v>
      </c>
      <c r="AL13" s="24">
        <v>8390</v>
      </c>
      <c r="AM13" s="25">
        <v>0</v>
      </c>
      <c r="AN13" s="25">
        <v>0</v>
      </c>
      <c r="AO13" s="25">
        <v>0</v>
      </c>
      <c r="AP13" s="25">
        <v>0</v>
      </c>
    </row>
    <row r="14" spans="1:42" s="3" customFormat="1" x14ac:dyDescent="0.3">
      <c r="A14" s="3" t="s">
        <v>145</v>
      </c>
      <c r="B14" s="3" t="s">
        <v>134</v>
      </c>
      <c r="C14" s="65">
        <v>378075</v>
      </c>
      <c r="D14" s="65">
        <v>378141</v>
      </c>
      <c r="E14" s="65">
        <v>366924</v>
      </c>
      <c r="F14" s="65">
        <v>351884</v>
      </c>
      <c r="G14" s="24">
        <v>209557</v>
      </c>
      <c r="H14" s="24">
        <v>197406</v>
      </c>
      <c r="I14" s="24">
        <v>149915</v>
      </c>
      <c r="J14" s="24">
        <v>100976</v>
      </c>
      <c r="K14" s="66">
        <v>71373</v>
      </c>
      <c r="L14" s="66">
        <v>80876</v>
      </c>
      <c r="M14" s="66">
        <v>114172</v>
      </c>
      <c r="N14" s="66">
        <v>134705</v>
      </c>
      <c r="O14" s="27">
        <v>75323</v>
      </c>
      <c r="P14" s="27">
        <v>76612</v>
      </c>
      <c r="Q14" s="27">
        <v>78626</v>
      </c>
      <c r="R14" s="27">
        <v>90410</v>
      </c>
      <c r="S14" s="24">
        <v>19422</v>
      </c>
      <c r="T14" s="24">
        <v>21429</v>
      </c>
      <c r="U14" s="24">
        <v>22847</v>
      </c>
      <c r="V14" s="24">
        <v>24703</v>
      </c>
      <c r="W14" s="66">
        <v>525</v>
      </c>
      <c r="X14" s="66">
        <v>466</v>
      </c>
      <c r="Y14" s="66">
        <v>322</v>
      </c>
      <c r="Z14" s="66">
        <v>228</v>
      </c>
      <c r="AA14" s="24">
        <v>41</v>
      </c>
      <c r="AB14" s="24">
        <v>53</v>
      </c>
      <c r="AC14" s="24">
        <v>46</v>
      </c>
      <c r="AD14" s="24">
        <v>41</v>
      </c>
      <c r="AE14" s="25">
        <v>0</v>
      </c>
      <c r="AF14" s="25">
        <v>0</v>
      </c>
      <c r="AG14" s="25">
        <v>73</v>
      </c>
      <c r="AH14" s="25">
        <v>1073</v>
      </c>
      <c r="AI14" s="24">
        <v>374</v>
      </c>
      <c r="AJ14" s="24">
        <v>355</v>
      </c>
      <c r="AK14" s="24">
        <v>437</v>
      </c>
      <c r="AL14" s="24">
        <v>316</v>
      </c>
      <c r="AM14" s="25">
        <v>0</v>
      </c>
      <c r="AN14" s="25">
        <v>0</v>
      </c>
      <c r="AO14" s="25">
        <v>0</v>
      </c>
      <c r="AP14" s="25">
        <v>0</v>
      </c>
    </row>
    <row r="15" spans="1:42" s="3" customFormat="1" x14ac:dyDescent="0.3">
      <c r="A15" s="3" t="s">
        <v>146</v>
      </c>
      <c r="B15" s="3" t="s">
        <v>134</v>
      </c>
      <c r="C15" s="65">
        <v>575326</v>
      </c>
      <c r="D15" s="65">
        <v>607117</v>
      </c>
      <c r="E15" s="65">
        <v>613032</v>
      </c>
      <c r="F15" s="65">
        <v>648613</v>
      </c>
      <c r="G15" s="24">
        <v>229880</v>
      </c>
      <c r="H15" s="24">
        <v>245902</v>
      </c>
      <c r="I15" s="24">
        <v>182896</v>
      </c>
      <c r="J15" s="24">
        <v>130225</v>
      </c>
      <c r="K15" s="66">
        <v>225698</v>
      </c>
      <c r="L15" s="66">
        <v>240437</v>
      </c>
      <c r="M15" s="66">
        <v>287603</v>
      </c>
      <c r="N15" s="66">
        <v>319391</v>
      </c>
      <c r="O15" s="27">
        <v>74997</v>
      </c>
      <c r="P15" s="27">
        <v>70458</v>
      </c>
      <c r="Q15" s="27">
        <v>68493</v>
      </c>
      <c r="R15" s="27">
        <v>68854</v>
      </c>
      <c r="S15" s="24">
        <v>8838</v>
      </c>
      <c r="T15" s="24">
        <v>6072</v>
      </c>
      <c r="U15" s="24">
        <v>8189</v>
      </c>
      <c r="V15" s="24">
        <v>6686</v>
      </c>
      <c r="W15" s="66">
        <v>254</v>
      </c>
      <c r="X15" s="66">
        <v>243</v>
      </c>
      <c r="Y15" s="66">
        <v>244</v>
      </c>
      <c r="Z15" s="66">
        <v>125</v>
      </c>
      <c r="AA15" s="24">
        <v>30059</v>
      </c>
      <c r="AB15" s="24">
        <v>36153</v>
      </c>
      <c r="AC15" s="24">
        <v>58834</v>
      </c>
      <c r="AD15" s="24">
        <v>113246</v>
      </c>
      <c r="AE15" s="25">
        <v>8</v>
      </c>
      <c r="AF15" s="25">
        <v>29</v>
      </c>
      <c r="AG15" s="25">
        <v>401</v>
      </c>
      <c r="AH15" s="25">
        <v>4580</v>
      </c>
      <c r="AI15" s="24">
        <v>548</v>
      </c>
      <c r="AJ15" s="24">
        <v>688</v>
      </c>
      <c r="AK15" s="24">
        <v>1050</v>
      </c>
      <c r="AL15" s="24">
        <v>623</v>
      </c>
      <c r="AM15" s="25">
        <v>0</v>
      </c>
      <c r="AN15" s="25">
        <v>0</v>
      </c>
      <c r="AO15" s="25">
        <v>0</v>
      </c>
      <c r="AP15" s="25">
        <v>0</v>
      </c>
    </row>
    <row r="16" spans="1:42" s="3" customFormat="1" x14ac:dyDescent="0.3">
      <c r="A16" s="3" t="s">
        <v>147</v>
      </c>
      <c r="B16" s="3" t="s">
        <v>134</v>
      </c>
      <c r="C16" s="65">
        <v>362393</v>
      </c>
      <c r="D16" s="65">
        <v>361361</v>
      </c>
      <c r="E16" s="65">
        <v>369184</v>
      </c>
      <c r="F16" s="65">
        <v>364762</v>
      </c>
      <c r="G16" s="24">
        <v>205106</v>
      </c>
      <c r="H16" s="24">
        <v>198153</v>
      </c>
      <c r="I16" s="24">
        <v>180708</v>
      </c>
      <c r="J16" s="24">
        <v>139845</v>
      </c>
      <c r="K16" s="66">
        <v>80578</v>
      </c>
      <c r="L16" s="66">
        <v>70026</v>
      </c>
      <c r="M16" s="66">
        <v>95196</v>
      </c>
      <c r="N16" s="66">
        <v>113559</v>
      </c>
      <c r="O16" s="27">
        <v>31200</v>
      </c>
      <c r="P16" s="27">
        <v>31278</v>
      </c>
      <c r="Q16" s="27">
        <v>32526</v>
      </c>
      <c r="R16" s="27">
        <v>31920</v>
      </c>
      <c r="S16" s="24">
        <v>30863</v>
      </c>
      <c r="T16" s="24">
        <v>42097</v>
      </c>
      <c r="U16" s="24">
        <v>30794</v>
      </c>
      <c r="V16" s="24">
        <v>30177</v>
      </c>
      <c r="W16" s="66">
        <v>261</v>
      </c>
      <c r="X16" s="66">
        <v>253</v>
      </c>
      <c r="Y16" s="66">
        <v>212</v>
      </c>
      <c r="Z16" s="66">
        <v>219</v>
      </c>
      <c r="AA16" s="24">
        <v>10484</v>
      </c>
      <c r="AB16" s="24">
        <v>15305</v>
      </c>
      <c r="AC16" s="24">
        <v>18935</v>
      </c>
      <c r="AD16" s="24">
        <v>28489</v>
      </c>
      <c r="AE16" s="25">
        <v>282</v>
      </c>
      <c r="AF16" s="25">
        <v>559</v>
      </c>
      <c r="AG16" s="25">
        <v>5930</v>
      </c>
      <c r="AH16" s="25">
        <v>15346</v>
      </c>
      <c r="AI16" s="24">
        <v>387</v>
      </c>
      <c r="AJ16" s="24">
        <v>417</v>
      </c>
      <c r="AK16" s="24">
        <v>638</v>
      </c>
      <c r="AL16" s="24">
        <v>651</v>
      </c>
      <c r="AM16" s="25">
        <v>2419</v>
      </c>
      <c r="AN16" s="25">
        <v>2540</v>
      </c>
      <c r="AO16" s="25">
        <v>3625</v>
      </c>
      <c r="AP16" s="25">
        <v>3902</v>
      </c>
    </row>
    <row r="17" spans="1:43" s="3" customFormat="1" x14ac:dyDescent="0.3">
      <c r="A17" s="3" t="s">
        <v>148</v>
      </c>
      <c r="B17" s="3" t="s">
        <v>134</v>
      </c>
      <c r="C17" s="65">
        <v>342459</v>
      </c>
      <c r="D17" s="65">
        <v>355353</v>
      </c>
      <c r="E17" s="65">
        <v>344133</v>
      </c>
      <c r="F17" s="65">
        <v>355048</v>
      </c>
      <c r="G17" s="24">
        <v>14364</v>
      </c>
      <c r="H17" s="24">
        <v>10142</v>
      </c>
      <c r="I17" s="24">
        <v>7393</v>
      </c>
      <c r="J17" s="24">
        <v>9715</v>
      </c>
      <c r="K17" s="66">
        <v>118758</v>
      </c>
      <c r="L17" s="66">
        <v>88025</v>
      </c>
      <c r="M17" s="66">
        <v>131869</v>
      </c>
      <c r="N17" s="66">
        <v>108104</v>
      </c>
      <c r="O17" s="27">
        <v>41442</v>
      </c>
      <c r="P17" s="27">
        <v>41470</v>
      </c>
      <c r="Q17" s="27">
        <v>26666</v>
      </c>
      <c r="R17" s="27">
        <v>25032</v>
      </c>
      <c r="S17" s="24">
        <v>132199</v>
      </c>
      <c r="T17" s="24">
        <v>176682</v>
      </c>
      <c r="U17" s="24">
        <v>118464</v>
      </c>
      <c r="V17" s="24">
        <v>135743</v>
      </c>
      <c r="W17" s="66">
        <v>74</v>
      </c>
      <c r="X17" s="66">
        <v>67</v>
      </c>
      <c r="Y17" s="66">
        <v>76</v>
      </c>
      <c r="Z17" s="66">
        <v>59</v>
      </c>
      <c r="AA17" s="24">
        <v>14743</v>
      </c>
      <c r="AB17" s="24">
        <v>18790</v>
      </c>
      <c r="AC17" s="24">
        <v>25927</v>
      </c>
      <c r="AD17" s="24">
        <v>29852</v>
      </c>
      <c r="AE17" s="25">
        <v>765</v>
      </c>
      <c r="AF17" s="25">
        <v>862</v>
      </c>
      <c r="AG17" s="25">
        <v>14736</v>
      </c>
      <c r="AH17" s="25">
        <v>29134</v>
      </c>
      <c r="AI17" s="24">
        <v>5981</v>
      </c>
      <c r="AJ17" s="24">
        <v>5279</v>
      </c>
      <c r="AK17" s="24">
        <v>6090</v>
      </c>
      <c r="AL17" s="24">
        <v>5296</v>
      </c>
      <c r="AM17" s="25">
        <v>12600</v>
      </c>
      <c r="AN17" s="25">
        <v>12552</v>
      </c>
      <c r="AO17" s="25">
        <v>12062</v>
      </c>
      <c r="AP17" s="25">
        <v>11559</v>
      </c>
    </row>
    <row r="18" spans="1:43" s="3" customFormat="1" x14ac:dyDescent="0.3">
      <c r="A18" s="3" t="s">
        <v>149</v>
      </c>
      <c r="B18" s="3" t="s">
        <v>134</v>
      </c>
      <c r="C18" s="65">
        <v>16532</v>
      </c>
      <c r="D18" s="65">
        <v>16496</v>
      </c>
      <c r="E18" s="65">
        <v>15317</v>
      </c>
      <c r="F18" s="65">
        <v>15151</v>
      </c>
      <c r="G18" s="24">
        <v>1890</v>
      </c>
      <c r="H18" s="24">
        <v>1764</v>
      </c>
      <c r="I18" s="24">
        <v>1862</v>
      </c>
      <c r="J18" s="24">
        <v>1890</v>
      </c>
      <c r="K18" s="66">
        <v>3685</v>
      </c>
      <c r="L18" s="66">
        <v>3846</v>
      </c>
      <c r="M18" s="66">
        <v>3019</v>
      </c>
      <c r="N18" s="66">
        <v>3095</v>
      </c>
      <c r="O18" s="27">
        <v>0</v>
      </c>
      <c r="P18" s="27">
        <v>0</v>
      </c>
      <c r="Q18" s="27">
        <v>0</v>
      </c>
      <c r="R18" s="27">
        <v>0</v>
      </c>
      <c r="S18" s="24">
        <v>1462</v>
      </c>
      <c r="T18" s="24">
        <v>1389</v>
      </c>
      <c r="U18" s="24">
        <v>1632</v>
      </c>
      <c r="V18" s="24">
        <v>1282</v>
      </c>
      <c r="W18" s="66">
        <v>8791</v>
      </c>
      <c r="X18" s="66">
        <v>8666</v>
      </c>
      <c r="Y18" s="66">
        <v>7510</v>
      </c>
      <c r="Z18" s="66">
        <v>7485</v>
      </c>
      <c r="AA18" s="24">
        <v>274</v>
      </c>
      <c r="AB18" s="24">
        <v>353</v>
      </c>
      <c r="AC18" s="24">
        <v>772</v>
      </c>
      <c r="AD18" s="24">
        <v>749</v>
      </c>
      <c r="AE18" s="25">
        <v>2</v>
      </c>
      <c r="AF18" s="25">
        <v>4</v>
      </c>
      <c r="AG18" s="25">
        <v>54</v>
      </c>
      <c r="AH18" s="25">
        <v>268</v>
      </c>
      <c r="AI18" s="24">
        <v>2</v>
      </c>
      <c r="AJ18" s="24">
        <v>39</v>
      </c>
      <c r="AK18" s="24">
        <v>52</v>
      </c>
      <c r="AL18" s="24">
        <v>107</v>
      </c>
      <c r="AM18" s="25">
        <v>201</v>
      </c>
      <c r="AN18" s="25">
        <v>224</v>
      </c>
      <c r="AO18" s="25">
        <v>230</v>
      </c>
      <c r="AP18" s="25">
        <v>108</v>
      </c>
    </row>
    <row r="19" spans="1:43" s="3" customFormat="1" x14ac:dyDescent="0.3"/>
    <row r="22" spans="1:43" s="3" customFormat="1" x14ac:dyDescent="0.3">
      <c r="A22" s="3" t="s">
        <v>118</v>
      </c>
      <c r="D22" s="3" t="s">
        <v>119</v>
      </c>
      <c r="AI22"/>
      <c r="AJ22"/>
      <c r="AK22"/>
      <c r="AL22"/>
      <c r="AM22"/>
      <c r="AN22"/>
      <c r="AO22"/>
      <c r="AP22"/>
      <c r="AQ22"/>
    </row>
    <row r="23" spans="1:43" s="3" customFormat="1" x14ac:dyDescent="0.3">
      <c r="D23" s="59" t="s">
        <v>120</v>
      </c>
      <c r="E23" s="59"/>
      <c r="F23" s="59"/>
      <c r="G23" s="59"/>
      <c r="H23" s="59" t="s">
        <v>121</v>
      </c>
      <c r="I23" s="59"/>
      <c r="J23" s="59"/>
      <c r="K23" s="59"/>
      <c r="L23" s="59" t="s">
        <v>122</v>
      </c>
      <c r="M23" s="59"/>
      <c r="N23" s="59"/>
      <c r="O23" s="59"/>
      <c r="P23" s="59" t="s">
        <v>123</v>
      </c>
      <c r="Q23" s="59"/>
      <c r="R23" s="59"/>
      <c r="S23" s="59"/>
      <c r="T23" s="59" t="s">
        <v>124</v>
      </c>
      <c r="U23" s="59"/>
      <c r="V23" s="59"/>
      <c r="W23" s="59"/>
      <c r="X23" s="59" t="s">
        <v>125</v>
      </c>
      <c r="Y23" s="59"/>
      <c r="Z23" s="59"/>
      <c r="AA23" s="59"/>
      <c r="AB23" s="59"/>
    </row>
    <row r="24" spans="1:43" s="3" customFormat="1" ht="15" thickBot="1" x14ac:dyDescent="0.35">
      <c r="D24" s="3">
        <v>2010</v>
      </c>
      <c r="E24" s="3">
        <v>2011</v>
      </c>
      <c r="F24" s="3">
        <v>2015</v>
      </c>
      <c r="G24" s="3">
        <v>2019</v>
      </c>
      <c r="H24" s="3">
        <v>2010</v>
      </c>
      <c r="I24" s="3">
        <v>2011</v>
      </c>
      <c r="J24" s="3">
        <v>2015</v>
      </c>
      <c r="K24" s="3">
        <v>2019</v>
      </c>
      <c r="L24" s="3">
        <v>2010</v>
      </c>
      <c r="M24" s="3">
        <v>2011</v>
      </c>
      <c r="N24" s="3">
        <v>2015</v>
      </c>
      <c r="O24" s="3">
        <v>2019</v>
      </c>
      <c r="P24" s="3">
        <v>2010</v>
      </c>
      <c r="Q24" s="3">
        <v>2011</v>
      </c>
      <c r="R24" s="3">
        <v>2015</v>
      </c>
      <c r="S24" s="3">
        <v>2019</v>
      </c>
      <c r="T24" s="3">
        <v>2010</v>
      </c>
      <c r="U24" s="3">
        <v>2011</v>
      </c>
      <c r="V24" s="3">
        <v>2015</v>
      </c>
      <c r="W24" s="3">
        <v>2019</v>
      </c>
      <c r="X24" s="3">
        <v>2010</v>
      </c>
      <c r="Y24" s="3">
        <v>2011</v>
      </c>
      <c r="Z24" s="3">
        <v>2015</v>
      </c>
      <c r="AA24" s="3">
        <v>2019</v>
      </c>
    </row>
    <row r="25" spans="1:43" s="3" customFormat="1" ht="15" thickBot="1" x14ac:dyDescent="0.35">
      <c r="A25" s="3" t="s">
        <v>116</v>
      </c>
      <c r="C25" s="49" t="s">
        <v>117</v>
      </c>
      <c r="D25" s="60">
        <f t="shared" ref="D25:H33" si="0">C8/1000*3.6</f>
        <v>14300.589599999999</v>
      </c>
      <c r="E25" s="61">
        <f t="shared" si="0"/>
        <v>14213.4696</v>
      </c>
      <c r="F25" s="61">
        <f t="shared" si="0"/>
        <v>14109.4584</v>
      </c>
      <c r="G25" s="61">
        <f t="shared" si="0"/>
        <v>14240.811600000001</v>
      </c>
      <c r="H25" s="60">
        <f t="shared" si="0"/>
        <v>6579.8568000000005</v>
      </c>
      <c r="I25" s="61">
        <f t="shared" ref="I25" si="1">H8/1000*3.6</f>
        <v>6184.4076000000005</v>
      </c>
      <c r="J25" s="61">
        <f t="shared" ref="J25:L33" si="2">I8/1000*3.6</f>
        <v>4827.5748000000003</v>
      </c>
      <c r="K25" s="61">
        <f t="shared" si="2"/>
        <v>3454.2251999999999</v>
      </c>
      <c r="L25" s="60">
        <f t="shared" si="2"/>
        <v>3245.0003999999999</v>
      </c>
      <c r="M25" s="61">
        <f t="shared" ref="M25" si="3">L8/1000*3.6</f>
        <v>3334.6439999999998</v>
      </c>
      <c r="N25" s="61">
        <f t="shared" ref="N25:P33" si="4">M8/1000*3.6</f>
        <v>4455.5616</v>
      </c>
      <c r="O25" s="61">
        <f t="shared" si="4"/>
        <v>5309.0424000000003</v>
      </c>
      <c r="P25" s="60">
        <f t="shared" si="4"/>
        <v>2905.0848000000001</v>
      </c>
      <c r="Q25" s="61">
        <f t="shared" ref="Q25" si="5">P8/1000*3.6</f>
        <v>2844.7343999999998</v>
      </c>
      <c r="R25" s="61">
        <f t="shared" ref="R25:T33" si="6">Q8/1000*3.6</f>
        <v>2869.8407999999999</v>
      </c>
      <c r="S25" s="61">
        <f t="shared" si="6"/>
        <v>2913.8724000000002</v>
      </c>
      <c r="T25" s="60">
        <f t="shared" si="6"/>
        <v>930.43799999999999</v>
      </c>
      <c r="U25" s="61">
        <f t="shared" ref="U25" si="7">T8/1000*3.6</f>
        <v>1143.1116</v>
      </c>
      <c r="V25" s="61">
        <f t="shared" ref="V25:X33" si="8">U8/1000*3.6</f>
        <v>891.4896</v>
      </c>
      <c r="W25" s="61">
        <f t="shared" si="8"/>
        <v>980.55720000000008</v>
      </c>
      <c r="X25" s="60">
        <f t="shared" si="8"/>
        <v>80.55</v>
      </c>
      <c r="Y25" s="61">
        <f t="shared" ref="Y25" si="9">X8/1000*3.6</f>
        <v>55.2348</v>
      </c>
      <c r="Z25" s="61">
        <f t="shared" ref="Z25:AA33" si="10">Y8/1000*3.6</f>
        <v>59.853600000000007</v>
      </c>
      <c r="AA25" s="62">
        <f t="shared" si="10"/>
        <v>39.686399999999999</v>
      </c>
    </row>
    <row r="26" spans="1:43" s="3" customFormat="1" x14ac:dyDescent="0.3">
      <c r="A26" s="3" t="s">
        <v>0</v>
      </c>
      <c r="C26" s="50">
        <v>1</v>
      </c>
      <c r="D26" s="60">
        <f t="shared" si="0"/>
        <v>444.38760000000002</v>
      </c>
      <c r="E26" s="61">
        <f t="shared" si="0"/>
        <v>421.2756</v>
      </c>
      <c r="F26" s="61">
        <f t="shared" si="0"/>
        <v>381.71160000000003</v>
      </c>
      <c r="G26" s="61">
        <f t="shared" si="0"/>
        <v>345.78720000000004</v>
      </c>
      <c r="H26" s="60">
        <f t="shared" si="0"/>
        <v>50.472000000000001</v>
      </c>
      <c r="I26" s="61">
        <f t="shared" ref="I26" si="11">H9/1000*3.6</f>
        <v>24.483600000000003</v>
      </c>
      <c r="J26" s="61">
        <f t="shared" si="2"/>
        <v>13.816800000000001</v>
      </c>
      <c r="K26" s="61">
        <f t="shared" si="2"/>
        <v>1.6452</v>
      </c>
      <c r="L26" s="60">
        <f t="shared" si="2"/>
        <v>198.41400000000002</v>
      </c>
      <c r="M26" s="61">
        <f t="shared" ref="M26" si="12">L9/1000*3.6</f>
        <v>216.43560000000002</v>
      </c>
      <c r="N26" s="61">
        <f t="shared" si="4"/>
        <v>186.99119999999999</v>
      </c>
      <c r="O26" s="61">
        <f t="shared" si="4"/>
        <v>168.84360000000001</v>
      </c>
      <c r="P26" s="60">
        <f t="shared" si="4"/>
        <v>138.09959999999998</v>
      </c>
      <c r="Q26" s="61">
        <f t="shared" ref="Q26" si="13">P9/1000*3.6</f>
        <v>123.4188</v>
      </c>
      <c r="R26" s="61">
        <f t="shared" si="6"/>
        <v>114.804</v>
      </c>
      <c r="S26" s="61">
        <f t="shared" si="6"/>
        <v>107.34480000000001</v>
      </c>
      <c r="T26" s="60">
        <f t="shared" si="6"/>
        <v>26.208000000000002</v>
      </c>
      <c r="U26" s="61">
        <f t="shared" ref="U26" si="14">T9/1000*3.6</f>
        <v>28.594799999999999</v>
      </c>
      <c r="V26" s="61">
        <f t="shared" si="8"/>
        <v>23.410800000000002</v>
      </c>
      <c r="W26" s="61">
        <f t="shared" si="8"/>
        <v>25.340399999999999</v>
      </c>
      <c r="X26" s="60">
        <f t="shared" si="8"/>
        <v>3.2040000000000002</v>
      </c>
      <c r="Y26" s="61">
        <f t="shared" ref="Y26" si="15">X9/1000*3.6</f>
        <v>1.7784</v>
      </c>
      <c r="Z26" s="61">
        <f t="shared" si="10"/>
        <v>6.9408000000000003</v>
      </c>
      <c r="AA26" s="62">
        <f t="shared" si="10"/>
        <v>0.84599999999999997</v>
      </c>
    </row>
    <row r="27" spans="1:43" s="3" customFormat="1" x14ac:dyDescent="0.3">
      <c r="A27" s="3" t="s">
        <v>1</v>
      </c>
      <c r="C27" s="50">
        <v>2</v>
      </c>
      <c r="D27" s="43">
        <f t="shared" si="0"/>
        <v>1535.7528</v>
      </c>
      <c r="E27" s="45">
        <f t="shared" si="0"/>
        <v>1524.7548000000002</v>
      </c>
      <c r="F27" s="45">
        <f t="shared" si="0"/>
        <v>1515.8556000000001</v>
      </c>
      <c r="G27" s="45">
        <f t="shared" si="0"/>
        <v>1542.5388</v>
      </c>
      <c r="H27" s="43">
        <f t="shared" si="0"/>
        <v>464.21999999999997</v>
      </c>
      <c r="I27" s="45">
        <f t="shared" ref="I27" si="16">H10/1000*3.6</f>
        <v>406.7208</v>
      </c>
      <c r="J27" s="45">
        <f t="shared" si="2"/>
        <v>244.76399999999998</v>
      </c>
      <c r="K27" s="45">
        <f t="shared" si="2"/>
        <v>144.47880000000001</v>
      </c>
      <c r="L27" s="43">
        <f t="shared" si="2"/>
        <v>379.6884</v>
      </c>
      <c r="M27" s="45">
        <f t="shared" ref="M27" si="17">L10/1000*3.6</f>
        <v>416.44080000000002</v>
      </c>
      <c r="N27" s="45">
        <f t="shared" si="4"/>
        <v>541.55520000000001</v>
      </c>
      <c r="O27" s="45">
        <f t="shared" si="4"/>
        <v>664.49519999999995</v>
      </c>
      <c r="P27" s="43">
        <f t="shared" si="4"/>
        <v>548.88840000000005</v>
      </c>
      <c r="Q27" s="45">
        <f t="shared" ref="Q27" si="18">P10/1000*3.6</f>
        <v>548.81280000000004</v>
      </c>
      <c r="R27" s="45">
        <f t="shared" si="6"/>
        <v>570.17160000000001</v>
      </c>
      <c r="S27" s="45">
        <f t="shared" si="6"/>
        <v>557.03520000000003</v>
      </c>
      <c r="T27" s="43">
        <f t="shared" si="6"/>
        <v>99.939599999999999</v>
      </c>
      <c r="U27" s="45">
        <f t="shared" ref="U27" si="19">T10/1000*3.6</f>
        <v>112.1724</v>
      </c>
      <c r="V27" s="45">
        <f t="shared" si="8"/>
        <v>102.81960000000001</v>
      </c>
      <c r="W27" s="45">
        <f t="shared" si="8"/>
        <v>120.744</v>
      </c>
      <c r="X27" s="43">
        <f t="shared" si="8"/>
        <v>7.7940000000000005</v>
      </c>
      <c r="Y27" s="45">
        <f t="shared" ref="Y27" si="20">X10/1000*3.6</f>
        <v>4.8204000000000002</v>
      </c>
      <c r="Z27" s="45">
        <f t="shared" si="10"/>
        <v>9.4643999999999995</v>
      </c>
      <c r="AA27" s="46">
        <f t="shared" si="10"/>
        <v>2.5703999999999998</v>
      </c>
    </row>
    <row r="28" spans="1:43" s="3" customFormat="1" x14ac:dyDescent="0.3">
      <c r="A28" s="3" t="s">
        <v>2</v>
      </c>
      <c r="C28" s="50">
        <v>3</v>
      </c>
      <c r="D28" s="43">
        <f t="shared" si="0"/>
        <v>2283.7788</v>
      </c>
      <c r="E28" s="45">
        <f t="shared" si="0"/>
        <v>2224.0656000000004</v>
      </c>
      <c r="F28" s="45">
        <f t="shared" si="0"/>
        <v>2114.5140000000001</v>
      </c>
      <c r="G28" s="45">
        <f t="shared" si="0"/>
        <v>2053.98</v>
      </c>
      <c r="H28" s="43">
        <f t="shared" si="0"/>
        <v>1532.3508000000002</v>
      </c>
      <c r="I28" s="45">
        <f>H11/1000*3.6</f>
        <v>1420.5348000000001</v>
      </c>
      <c r="J28" s="45">
        <f t="shared" si="2"/>
        <v>1119.5927999999999</v>
      </c>
      <c r="K28" s="45">
        <f t="shared" si="2"/>
        <v>785.21040000000005</v>
      </c>
      <c r="L28" s="43">
        <f t="shared" si="2"/>
        <v>126.83160000000001</v>
      </c>
      <c r="M28" s="45">
        <f>L11/1000*3.6</f>
        <v>163.49040000000002</v>
      </c>
      <c r="N28" s="45">
        <f t="shared" si="4"/>
        <v>308.20319999999998</v>
      </c>
      <c r="O28" s="45">
        <f t="shared" si="4"/>
        <v>549.09</v>
      </c>
      <c r="P28" s="43">
        <f t="shared" si="4"/>
        <v>557.64</v>
      </c>
      <c r="Q28" s="45">
        <f>P11/1000*3.6</f>
        <v>558.58320000000003</v>
      </c>
      <c r="R28" s="45">
        <f t="shared" si="6"/>
        <v>554.40359999999998</v>
      </c>
      <c r="S28" s="45">
        <f t="shared" si="6"/>
        <v>571.26960000000008</v>
      </c>
      <c r="T28" s="43">
        <f t="shared" si="6"/>
        <v>15.120000000000001</v>
      </c>
      <c r="U28" s="45">
        <f>T11/1000*3.6</f>
        <v>15.314399999999999</v>
      </c>
      <c r="V28" s="45">
        <f t="shared" si="8"/>
        <v>16.588799999999999</v>
      </c>
      <c r="W28" s="45">
        <f t="shared" si="8"/>
        <v>13.4604</v>
      </c>
      <c r="X28" s="43">
        <f t="shared" si="8"/>
        <v>2.7072000000000003</v>
      </c>
      <c r="Y28" s="45">
        <f>X11/1000*3.6</f>
        <v>2.7360000000000002</v>
      </c>
      <c r="Z28" s="45">
        <f t="shared" si="10"/>
        <v>1.9476000000000002</v>
      </c>
      <c r="AA28" s="46">
        <f t="shared" si="10"/>
        <v>1.6524000000000001</v>
      </c>
    </row>
    <row r="29" spans="1:43" s="3" customFormat="1" x14ac:dyDescent="0.3">
      <c r="A29" s="3" t="s">
        <v>3</v>
      </c>
      <c r="C29" s="50">
        <v>4</v>
      </c>
      <c r="D29" s="43">
        <f t="shared" si="0"/>
        <v>1182.4811999999999</v>
      </c>
      <c r="E29" s="45">
        <f t="shared" si="0"/>
        <v>1181.9195999999999</v>
      </c>
      <c r="F29" s="45">
        <f t="shared" si="0"/>
        <v>1168.9307999999999</v>
      </c>
      <c r="G29" s="45">
        <f t="shared" si="0"/>
        <v>1205.1000000000001</v>
      </c>
      <c r="H29" s="43">
        <f t="shared" si="0"/>
        <v>823.46400000000006</v>
      </c>
      <c r="I29" s="45">
        <f>H12/1000*3.6</f>
        <v>823.23</v>
      </c>
      <c r="J29" s="45">
        <f t="shared" si="2"/>
        <v>701.14319999999998</v>
      </c>
      <c r="K29" s="45">
        <f t="shared" si="2"/>
        <v>573.02280000000007</v>
      </c>
      <c r="L29" s="43">
        <f t="shared" si="2"/>
        <v>46.576800000000006</v>
      </c>
      <c r="M29" s="45">
        <f>L12/1000*3.6</f>
        <v>42.170400000000001</v>
      </c>
      <c r="N29" s="45">
        <f t="shared" si="4"/>
        <v>60.685200000000002</v>
      </c>
      <c r="O29" s="45">
        <f t="shared" si="4"/>
        <v>115.93080000000002</v>
      </c>
      <c r="P29" s="43">
        <f t="shared" si="4"/>
        <v>171.126</v>
      </c>
      <c r="Q29" s="45">
        <f>P12/1000*3.6</f>
        <v>146.86920000000001</v>
      </c>
      <c r="R29" s="45">
        <f t="shared" si="6"/>
        <v>168.03720000000001</v>
      </c>
      <c r="S29" s="45">
        <f t="shared" si="6"/>
        <v>161.02440000000001</v>
      </c>
      <c r="T29" s="43">
        <f t="shared" si="6"/>
        <v>42.5124</v>
      </c>
      <c r="U29" s="45">
        <f>T12/1000*3.6</f>
        <v>48.816000000000003</v>
      </c>
      <c r="V29" s="45">
        <f t="shared" si="8"/>
        <v>42.976800000000004</v>
      </c>
      <c r="W29" s="45">
        <f t="shared" si="8"/>
        <v>42.854399999999998</v>
      </c>
      <c r="X29" s="43">
        <f t="shared" si="8"/>
        <v>1.2276</v>
      </c>
      <c r="Y29" s="45">
        <f>X12/1000*3.6</f>
        <v>1.0980000000000001</v>
      </c>
      <c r="Z29" s="45">
        <f t="shared" si="10"/>
        <v>1.0331999999999999</v>
      </c>
      <c r="AA29" s="46">
        <f t="shared" si="10"/>
        <v>1.1448</v>
      </c>
    </row>
    <row r="30" spans="1:43" s="3" customFormat="1" x14ac:dyDescent="0.3">
      <c r="A30" s="3" t="s">
        <v>4</v>
      </c>
      <c r="C30" s="50">
        <v>5</v>
      </c>
      <c r="D30" s="43">
        <f t="shared" si="0"/>
        <v>2824.9632000000001</v>
      </c>
      <c r="E30" s="45">
        <f t="shared" si="0"/>
        <v>2674.9728</v>
      </c>
      <c r="F30" s="45">
        <f t="shared" si="0"/>
        <v>2777.5223999999998</v>
      </c>
      <c r="G30" s="45">
        <f t="shared" si="0"/>
        <v>2845.7568000000001</v>
      </c>
      <c r="H30" s="43">
        <f t="shared" si="0"/>
        <v>1330.4772</v>
      </c>
      <c r="I30" s="45">
        <f>H13/1000*3.6</f>
        <v>1157.3208</v>
      </c>
      <c r="J30" s="45">
        <f t="shared" si="2"/>
        <v>866.27520000000004</v>
      </c>
      <c r="K30" s="45">
        <f t="shared" si="2"/>
        <v>572.32799999999997</v>
      </c>
      <c r="L30" s="43">
        <f t="shared" si="2"/>
        <v>693.16199999999992</v>
      </c>
      <c r="M30" s="45">
        <f>L13/1000*3.6</f>
        <v>756.54719999999998</v>
      </c>
      <c r="N30" s="45">
        <f t="shared" si="4"/>
        <v>1083.4344000000001</v>
      </c>
      <c r="O30" s="45">
        <f t="shared" si="4"/>
        <v>1366.8083999999999</v>
      </c>
      <c r="P30" s="43">
        <f t="shared" si="4"/>
        <v>686.66760000000011</v>
      </c>
      <c r="Q30" s="45">
        <f>P13/1000*3.6</f>
        <v>675.7056</v>
      </c>
      <c r="R30" s="45">
        <f t="shared" si="6"/>
        <v>719.70119999999997</v>
      </c>
      <c r="S30" s="45">
        <f t="shared" si="6"/>
        <v>738.82080000000008</v>
      </c>
      <c r="T30" s="43">
        <f t="shared" si="6"/>
        <v>52.631999999999998</v>
      </c>
      <c r="U30" s="45">
        <f>T13/1000*3.6</f>
        <v>46.605600000000003</v>
      </c>
      <c r="V30" s="45">
        <f t="shared" si="8"/>
        <v>50.763600000000004</v>
      </c>
      <c r="W30" s="45">
        <f t="shared" si="8"/>
        <v>63.230400000000003</v>
      </c>
      <c r="X30" s="43">
        <f t="shared" si="8"/>
        <v>29.959199999999999</v>
      </c>
      <c r="Y30" s="45">
        <f>X13/1000*3.6</f>
        <v>9.9035999999999991</v>
      </c>
      <c r="Z30" s="45">
        <f t="shared" si="10"/>
        <v>10.357199999999999</v>
      </c>
      <c r="AA30" s="46">
        <f t="shared" si="10"/>
        <v>4.2516000000000007</v>
      </c>
    </row>
    <row r="31" spans="1:43" s="3" customFormat="1" x14ac:dyDescent="0.3">
      <c r="A31" s="3" t="s">
        <v>5</v>
      </c>
      <c r="C31" s="50">
        <v>6</v>
      </c>
      <c r="D31" s="43">
        <f t="shared" si="0"/>
        <v>1361.07</v>
      </c>
      <c r="E31" s="45">
        <f t="shared" si="0"/>
        <v>1361.3076000000001</v>
      </c>
      <c r="F31" s="45">
        <f t="shared" si="0"/>
        <v>1320.9264000000001</v>
      </c>
      <c r="G31" s="45">
        <f t="shared" si="0"/>
        <v>1266.7824000000001</v>
      </c>
      <c r="H31" s="43">
        <f t="shared" si="0"/>
        <v>754.40519999999992</v>
      </c>
      <c r="I31" s="45">
        <f t="shared" ref="I31" si="21">H14/1000*3.6</f>
        <v>710.66160000000002</v>
      </c>
      <c r="J31" s="45">
        <f t="shared" si="2"/>
        <v>539.69399999999996</v>
      </c>
      <c r="K31" s="45">
        <f t="shared" si="2"/>
        <v>363.5136</v>
      </c>
      <c r="L31" s="43">
        <f t="shared" si="2"/>
        <v>256.94280000000003</v>
      </c>
      <c r="M31" s="45">
        <f t="shared" ref="M31" si="22">L14/1000*3.6</f>
        <v>291.15360000000004</v>
      </c>
      <c r="N31" s="45">
        <f t="shared" si="4"/>
        <v>411.01920000000001</v>
      </c>
      <c r="O31" s="45">
        <f t="shared" si="4"/>
        <v>484.93800000000005</v>
      </c>
      <c r="P31" s="43">
        <f t="shared" si="4"/>
        <v>271.1628</v>
      </c>
      <c r="Q31" s="45">
        <f t="shared" ref="Q31" si="23">P14/1000*3.6</f>
        <v>275.8032</v>
      </c>
      <c r="R31" s="45">
        <f t="shared" si="6"/>
        <v>283.05360000000002</v>
      </c>
      <c r="S31" s="45">
        <f t="shared" si="6"/>
        <v>325.476</v>
      </c>
      <c r="T31" s="43">
        <f t="shared" si="6"/>
        <v>69.919200000000004</v>
      </c>
      <c r="U31" s="45">
        <f t="shared" ref="U31" si="24">T14/1000*3.6</f>
        <v>77.14439999999999</v>
      </c>
      <c r="V31" s="45">
        <f t="shared" si="8"/>
        <v>82.249200000000002</v>
      </c>
      <c r="W31" s="45">
        <f t="shared" si="8"/>
        <v>88.930800000000005</v>
      </c>
      <c r="X31" s="43">
        <f t="shared" si="8"/>
        <v>1.8900000000000001</v>
      </c>
      <c r="Y31" s="45">
        <f t="shared" ref="Y31" si="25">X14/1000*3.6</f>
        <v>1.6776000000000002</v>
      </c>
      <c r="Z31" s="45">
        <f t="shared" si="10"/>
        <v>1.1592</v>
      </c>
      <c r="AA31" s="46">
        <f t="shared" si="10"/>
        <v>0.82080000000000009</v>
      </c>
    </row>
    <row r="32" spans="1:43" s="3" customFormat="1" x14ac:dyDescent="0.3">
      <c r="A32" s="3" t="s">
        <v>6</v>
      </c>
      <c r="C32" s="50">
        <v>7</v>
      </c>
      <c r="D32" s="43">
        <f t="shared" si="0"/>
        <v>2071.1736000000001</v>
      </c>
      <c r="E32" s="45">
        <f t="shared" si="0"/>
        <v>2185.6212</v>
      </c>
      <c r="F32" s="45">
        <f t="shared" si="0"/>
        <v>2206.9152000000004</v>
      </c>
      <c r="G32" s="45">
        <f t="shared" si="0"/>
        <v>2335.0068000000001</v>
      </c>
      <c r="H32" s="43">
        <f t="shared" si="0"/>
        <v>827.56799999999998</v>
      </c>
      <c r="I32" s="45">
        <f>H15/1000*3.6</f>
        <v>885.24720000000002</v>
      </c>
      <c r="J32" s="45">
        <f t="shared" si="2"/>
        <v>658.42559999999992</v>
      </c>
      <c r="K32" s="45">
        <f t="shared" si="2"/>
        <v>468.81</v>
      </c>
      <c r="L32" s="43">
        <f t="shared" si="2"/>
        <v>812.51280000000008</v>
      </c>
      <c r="M32" s="45">
        <f>L15/1000*3.6</f>
        <v>865.57320000000004</v>
      </c>
      <c r="N32" s="45">
        <f t="shared" si="4"/>
        <v>1035.3708000000001</v>
      </c>
      <c r="O32" s="45">
        <f t="shared" si="4"/>
        <v>1149.8076000000001</v>
      </c>
      <c r="P32" s="43">
        <f t="shared" si="4"/>
        <v>269.98919999999998</v>
      </c>
      <c r="Q32" s="45">
        <f>P15/1000*3.6</f>
        <v>253.64879999999999</v>
      </c>
      <c r="R32" s="45">
        <f t="shared" si="6"/>
        <v>246.57479999999998</v>
      </c>
      <c r="S32" s="45">
        <f t="shared" si="6"/>
        <v>247.87440000000001</v>
      </c>
      <c r="T32" s="43">
        <f t="shared" si="6"/>
        <v>31.816799999999997</v>
      </c>
      <c r="U32" s="45">
        <f>T15/1000*3.6</f>
        <v>21.859200000000001</v>
      </c>
      <c r="V32" s="45">
        <f t="shared" si="8"/>
        <v>29.480399999999999</v>
      </c>
      <c r="W32" s="45">
        <f t="shared" si="8"/>
        <v>24.069600000000001</v>
      </c>
      <c r="X32" s="43">
        <f t="shared" si="8"/>
        <v>0.91439999999999999</v>
      </c>
      <c r="Y32" s="45">
        <f>X15/1000*3.6</f>
        <v>0.87480000000000002</v>
      </c>
      <c r="Z32" s="45">
        <f t="shared" si="10"/>
        <v>0.87839999999999996</v>
      </c>
      <c r="AA32" s="46">
        <f t="shared" si="10"/>
        <v>0.45</v>
      </c>
    </row>
    <row r="33" spans="1:42" s="3" customFormat="1" x14ac:dyDescent="0.3">
      <c r="A33" s="3" t="s">
        <v>7</v>
      </c>
      <c r="C33" s="50">
        <v>8</v>
      </c>
      <c r="D33" s="43">
        <f t="shared" si="0"/>
        <v>1304.6147999999998</v>
      </c>
      <c r="E33" s="45">
        <f t="shared" si="0"/>
        <v>1300.8996</v>
      </c>
      <c r="F33" s="45">
        <f t="shared" si="0"/>
        <v>1329.0624</v>
      </c>
      <c r="G33" s="45">
        <f t="shared" si="0"/>
        <v>1313.1432</v>
      </c>
      <c r="H33" s="43">
        <f t="shared" si="0"/>
        <v>738.38160000000005</v>
      </c>
      <c r="I33" s="45">
        <f>H16/1000*3.6</f>
        <v>713.35079999999994</v>
      </c>
      <c r="J33" s="45">
        <f t="shared" si="2"/>
        <v>650.54880000000003</v>
      </c>
      <c r="K33" s="45">
        <f t="shared" si="2"/>
        <v>503.44200000000001</v>
      </c>
      <c r="L33" s="43">
        <f t="shared" si="2"/>
        <v>290.08080000000001</v>
      </c>
      <c r="M33" s="45">
        <f>L16/1000*3.6</f>
        <v>252.09359999999998</v>
      </c>
      <c r="N33" s="45">
        <f t="shared" si="4"/>
        <v>342.7056</v>
      </c>
      <c r="O33" s="45">
        <f t="shared" si="4"/>
        <v>408.81240000000003</v>
      </c>
      <c r="P33" s="43">
        <f t="shared" si="4"/>
        <v>112.32</v>
      </c>
      <c r="Q33" s="45">
        <f>P16/1000*3.6</f>
        <v>112.60079999999999</v>
      </c>
      <c r="R33" s="45">
        <f t="shared" si="6"/>
        <v>117.09360000000001</v>
      </c>
      <c r="S33" s="45">
        <f t="shared" si="6"/>
        <v>114.91200000000001</v>
      </c>
      <c r="T33" s="43">
        <f t="shared" si="6"/>
        <v>111.10680000000001</v>
      </c>
      <c r="U33" s="45">
        <f>T16/1000*3.6</f>
        <v>151.54920000000001</v>
      </c>
      <c r="V33" s="45">
        <f t="shared" si="8"/>
        <v>110.8584</v>
      </c>
      <c r="W33" s="45">
        <f t="shared" si="8"/>
        <v>108.63720000000001</v>
      </c>
      <c r="X33" s="43">
        <f t="shared" si="8"/>
        <v>0.9396000000000001</v>
      </c>
      <c r="Y33" s="45">
        <f>X16/1000*3.6</f>
        <v>0.91080000000000005</v>
      </c>
      <c r="Z33" s="45">
        <f t="shared" si="10"/>
        <v>0.76319999999999999</v>
      </c>
      <c r="AA33" s="46">
        <f t="shared" si="10"/>
        <v>0.78839999999999999</v>
      </c>
    </row>
    <row r="34" spans="1:42" s="3" customFormat="1" ht="15" thickBot="1" x14ac:dyDescent="0.35">
      <c r="A34" s="3" t="s">
        <v>8</v>
      </c>
      <c r="C34" s="51">
        <v>9</v>
      </c>
      <c r="D34" s="44">
        <f>(C17+C18)/1000*3.6</f>
        <v>1292.3676</v>
      </c>
      <c r="E34" s="47">
        <f>(D17+D18)/1000*3.6</f>
        <v>1338.6564000000001</v>
      </c>
      <c r="F34" s="47">
        <f>(E17+E18)/1000*3.6</f>
        <v>1294.02</v>
      </c>
      <c r="G34" s="47">
        <f>(F17+F18)/1000*3.6</f>
        <v>1332.7164</v>
      </c>
      <c r="H34" s="44">
        <f>(G17+G18)/1000*3.6</f>
        <v>58.514400000000009</v>
      </c>
      <c r="I34" s="47">
        <f t="shared" ref="I34" si="26">(H17+H18)/1000*3.6</f>
        <v>42.861600000000003</v>
      </c>
      <c r="J34" s="47">
        <f>(I17+I18)/1000*3.6</f>
        <v>33.318000000000005</v>
      </c>
      <c r="K34" s="47">
        <f>(J17+J18)/1000*3.6</f>
        <v>41.778000000000006</v>
      </c>
      <c r="L34" s="44">
        <f>(K17+K18)/1000*3.6</f>
        <v>440.79480000000001</v>
      </c>
      <c r="M34" s="47">
        <f t="shared" ref="M34" si="27">(L17+L18)/1000*3.6</f>
        <v>330.73559999999998</v>
      </c>
      <c r="N34" s="47">
        <f>(M17+M18)/1000*3.6</f>
        <v>485.59680000000003</v>
      </c>
      <c r="O34" s="47">
        <f>(N17+N18)/1000*3.6</f>
        <v>400.31639999999999</v>
      </c>
      <c r="P34" s="44">
        <f>(O17+O18)/1000*3.6</f>
        <v>149.19120000000001</v>
      </c>
      <c r="Q34" s="47">
        <f t="shared" ref="Q34" si="28">(P17+P18)/1000*3.6</f>
        <v>149.292</v>
      </c>
      <c r="R34" s="47">
        <f>(Q17+Q18)/1000*3.6</f>
        <v>95.997600000000006</v>
      </c>
      <c r="S34" s="47">
        <f>(R17+R18)/1000*3.6</f>
        <v>90.115200000000002</v>
      </c>
      <c r="T34" s="44">
        <f>(S17+S18)/1000*3.6</f>
        <v>481.17959999999999</v>
      </c>
      <c r="U34" s="67">
        <f>(T17+T18)/1000*3.6*0.7</f>
        <v>448.73892000000001</v>
      </c>
      <c r="V34" s="47">
        <f>(U17+U18)/1000*3.6</f>
        <v>432.34560000000005</v>
      </c>
      <c r="W34" s="47">
        <f>(V17+V18)/1000*3.6</f>
        <v>493.29</v>
      </c>
      <c r="X34" s="44">
        <f>(W17+W18)/1000*3.6</f>
        <v>31.914000000000001</v>
      </c>
      <c r="Y34" s="47">
        <f t="shared" ref="Y34" si="29">(X17+X18)/1000*3.6</f>
        <v>31.438800000000004</v>
      </c>
      <c r="Z34" s="47">
        <f>(Y17+Y18)/1000*3.6</f>
        <v>27.309600000000003</v>
      </c>
      <c r="AA34" s="48">
        <f>(Z17+Z18)/1000*3.6</f>
        <v>27.1584</v>
      </c>
    </row>
    <row r="35" spans="1:42" s="3" customFormat="1" x14ac:dyDescent="0.3">
      <c r="H35" s="14"/>
      <c r="I35" s="14"/>
      <c r="J35" s="23"/>
      <c r="K35" s="23"/>
      <c r="L35" s="23"/>
      <c r="M35" s="23"/>
      <c r="N35" s="23"/>
      <c r="O35" s="23"/>
      <c r="P35" s="23"/>
      <c r="Q35" s="23"/>
      <c r="R35" s="23"/>
      <c r="S35" s="17"/>
    </row>
    <row r="36" spans="1:42" s="3" customFormat="1" x14ac:dyDescent="0.3">
      <c r="D36" s="63" t="s">
        <v>114</v>
      </c>
      <c r="E36" s="63"/>
      <c r="F36" s="63"/>
      <c r="G36" s="63"/>
      <c r="H36" s="64" t="s">
        <v>115</v>
      </c>
      <c r="I36" s="64"/>
      <c r="J36" s="64"/>
      <c r="K36" s="64"/>
      <c r="L36" s="63" t="s">
        <v>151</v>
      </c>
      <c r="M36" s="63"/>
      <c r="N36" s="63"/>
      <c r="O36" s="63"/>
      <c r="P36" s="64" t="s">
        <v>150</v>
      </c>
      <c r="Q36" s="64"/>
      <c r="R36" s="64"/>
      <c r="S36" s="64"/>
    </row>
    <row r="37" spans="1:42" s="3" customFormat="1" ht="15" thickBot="1" x14ac:dyDescent="0.35">
      <c r="D37" s="24">
        <v>2010</v>
      </c>
      <c r="E37" s="24">
        <v>2011</v>
      </c>
      <c r="F37" s="24">
        <v>2015</v>
      </c>
      <c r="G37" s="24">
        <v>2020</v>
      </c>
      <c r="H37" s="25">
        <v>2010</v>
      </c>
      <c r="I37" s="25">
        <v>2011</v>
      </c>
      <c r="J37" s="25">
        <v>2015</v>
      </c>
      <c r="K37" s="25">
        <v>2020</v>
      </c>
      <c r="L37" s="24">
        <v>2010</v>
      </c>
      <c r="M37" s="24">
        <v>2011</v>
      </c>
      <c r="N37" s="24">
        <v>2015</v>
      </c>
      <c r="O37" s="24">
        <v>2020</v>
      </c>
      <c r="P37" s="25">
        <v>2010</v>
      </c>
      <c r="Q37" s="25">
        <v>2011</v>
      </c>
      <c r="R37" s="25">
        <v>2015</v>
      </c>
      <c r="S37" s="25">
        <v>2020</v>
      </c>
      <c r="AH37"/>
      <c r="AI37"/>
      <c r="AJ37"/>
      <c r="AK37"/>
      <c r="AL37"/>
      <c r="AM37"/>
      <c r="AN37"/>
      <c r="AO37"/>
      <c r="AP37"/>
    </row>
    <row r="38" spans="1:42" s="3" customFormat="1" ht="15" thickBot="1" x14ac:dyDescent="0.35">
      <c r="A38" s="3" t="s">
        <v>116</v>
      </c>
      <c r="C38" s="49" t="s">
        <v>117</v>
      </c>
      <c r="D38" s="52">
        <f t="shared" ref="D38:S38" si="30">AA8/1000*3.6</f>
        <v>340.68959999999998</v>
      </c>
      <c r="E38" s="52">
        <f t="shared" si="30"/>
        <v>432.43559999999997</v>
      </c>
      <c r="F38" s="52">
        <f t="shared" si="30"/>
        <v>685.9692</v>
      </c>
      <c r="G38" s="52">
        <f t="shared" si="30"/>
        <v>1079.2260000000001</v>
      </c>
      <c r="H38" s="55">
        <f t="shared" si="30"/>
        <v>4.3415999999999997</v>
      </c>
      <c r="I38" s="55">
        <f t="shared" si="30"/>
        <v>6.2172000000000001</v>
      </c>
      <c r="J38" s="55">
        <f t="shared" si="30"/>
        <v>88.041600000000003</v>
      </c>
      <c r="K38" s="55">
        <f t="shared" si="30"/>
        <v>257.56920000000002</v>
      </c>
      <c r="L38" s="52">
        <f t="shared" si="30"/>
        <v>100.1592</v>
      </c>
      <c r="M38" s="52">
        <f t="shared" si="30"/>
        <v>96.199200000000005</v>
      </c>
      <c r="N38" s="52">
        <f t="shared" si="30"/>
        <v>116.58960000000002</v>
      </c>
      <c r="O38" s="52">
        <f t="shared" si="30"/>
        <v>103.5108</v>
      </c>
      <c r="P38" s="55">
        <f t="shared" si="30"/>
        <v>54.788399999999996</v>
      </c>
      <c r="Q38" s="55">
        <f t="shared" si="30"/>
        <v>55.137600000000006</v>
      </c>
      <c r="R38" s="55">
        <f t="shared" si="30"/>
        <v>57.3048</v>
      </c>
      <c r="S38" s="55">
        <f t="shared" si="30"/>
        <v>56.048400000000001</v>
      </c>
      <c r="AH38"/>
      <c r="AI38"/>
      <c r="AJ38"/>
      <c r="AK38"/>
      <c r="AL38"/>
      <c r="AM38"/>
      <c r="AN38"/>
      <c r="AO38"/>
      <c r="AP38"/>
    </row>
    <row r="39" spans="1:42" s="3" customFormat="1" x14ac:dyDescent="0.3">
      <c r="A39" s="3" t="s">
        <v>0</v>
      </c>
      <c r="C39" s="50">
        <v>1</v>
      </c>
      <c r="D39" s="53">
        <f t="shared" ref="D39:D47" si="31">AA9/1000*3.6</f>
        <v>2.2031999999999998</v>
      </c>
      <c r="E39" s="53">
        <f t="shared" ref="E39:E47" si="32">AB9/1000*3.6</f>
        <v>3.0996000000000001</v>
      </c>
      <c r="F39" s="53">
        <f t="shared" ref="F39:G47" si="33">AC9/1000*3.6</f>
        <v>8.0424000000000007</v>
      </c>
      <c r="G39" s="53">
        <f t="shared" si="33"/>
        <v>13.0572</v>
      </c>
      <c r="H39" s="56">
        <f t="shared" ref="H39:H47" si="34">AE9/1000*3.6</f>
        <v>3.6000000000000003E-3</v>
      </c>
      <c r="I39" s="56">
        <f t="shared" ref="I39:I47" si="35">AF9/1000*3.6</f>
        <v>2.1600000000000001E-2</v>
      </c>
      <c r="J39" s="56">
        <f t="shared" ref="J39:K47" si="36">AG9/1000*3.6</f>
        <v>1.9008</v>
      </c>
      <c r="K39" s="56">
        <f t="shared" si="36"/>
        <v>5.7528000000000006</v>
      </c>
      <c r="L39" s="53">
        <f t="shared" ref="L39:L47" si="37">AI9/1000*3.6</f>
        <v>20.624400000000001</v>
      </c>
      <c r="M39" s="53">
        <f t="shared" ref="M39:M47" si="38">AJ9/1000*3.6</f>
        <v>18.212400000000002</v>
      </c>
      <c r="N39" s="53">
        <f t="shared" ref="N39:N47" si="39">AK9/1000*3.6</f>
        <v>21.7044</v>
      </c>
      <c r="O39" s="53">
        <f t="shared" ref="O39:O47" si="40">AL9/1000*3.6</f>
        <v>18.341999999999999</v>
      </c>
      <c r="P39" s="56">
        <f t="shared" ref="P39:P47" si="41">AM9/1000*3.6</f>
        <v>0</v>
      </c>
      <c r="Q39" s="56">
        <f t="shared" ref="Q39:Q47" si="42">AN9/1000*3.6</f>
        <v>0</v>
      </c>
      <c r="R39" s="56">
        <f t="shared" ref="R39:R47" si="43">AO9/1000*3.6</f>
        <v>0</v>
      </c>
      <c r="S39" s="56">
        <f t="shared" ref="S39:S47" si="44">AP9/1000*3.6</f>
        <v>0</v>
      </c>
      <c r="AH39"/>
      <c r="AI39"/>
      <c r="AJ39"/>
      <c r="AK39"/>
      <c r="AL39"/>
      <c r="AM39"/>
      <c r="AN39"/>
      <c r="AO39"/>
      <c r="AP39"/>
    </row>
    <row r="40" spans="1:42" s="3" customFormat="1" x14ac:dyDescent="0.3">
      <c r="A40" s="3" t="s">
        <v>1</v>
      </c>
      <c r="C40" s="50">
        <v>2</v>
      </c>
      <c r="D40" s="53">
        <f t="shared" si="31"/>
        <v>16.066800000000001</v>
      </c>
      <c r="E40" s="53">
        <f t="shared" si="32"/>
        <v>16.678799999999999</v>
      </c>
      <c r="F40" s="53">
        <f t="shared" si="33"/>
        <v>26.456400000000002</v>
      </c>
      <c r="G40" s="53">
        <f t="shared" si="33"/>
        <v>30.286800000000003</v>
      </c>
      <c r="H40" s="56">
        <f t="shared" si="34"/>
        <v>0.1008</v>
      </c>
      <c r="I40" s="56">
        <f t="shared" si="35"/>
        <v>0.30600000000000005</v>
      </c>
      <c r="J40" s="56">
        <f t="shared" si="36"/>
        <v>2.3184</v>
      </c>
      <c r="K40" s="56">
        <f t="shared" si="36"/>
        <v>6.39</v>
      </c>
      <c r="L40" s="53">
        <f t="shared" si="37"/>
        <v>15.4872</v>
      </c>
      <c r="M40" s="53">
        <f t="shared" si="38"/>
        <v>14.641200000000001</v>
      </c>
      <c r="N40" s="53">
        <f t="shared" si="39"/>
        <v>15.469199999999999</v>
      </c>
      <c r="O40" s="53">
        <f t="shared" si="40"/>
        <v>13.2372</v>
      </c>
      <c r="P40" s="56">
        <f t="shared" si="41"/>
        <v>0</v>
      </c>
      <c r="Q40" s="56">
        <f t="shared" si="42"/>
        <v>0</v>
      </c>
      <c r="R40" s="56">
        <f t="shared" si="43"/>
        <v>0</v>
      </c>
      <c r="S40" s="56">
        <f t="shared" si="44"/>
        <v>0</v>
      </c>
      <c r="AH40"/>
      <c r="AI40"/>
      <c r="AJ40"/>
      <c r="AK40"/>
      <c r="AL40"/>
      <c r="AM40"/>
      <c r="AN40"/>
      <c r="AO40"/>
      <c r="AP40"/>
    </row>
    <row r="41" spans="1:42" s="3" customFormat="1" x14ac:dyDescent="0.3">
      <c r="A41" s="3" t="s">
        <v>2</v>
      </c>
      <c r="C41" s="50">
        <v>3</v>
      </c>
      <c r="D41" s="53">
        <f t="shared" si="31"/>
        <v>31.8492</v>
      </c>
      <c r="E41" s="53">
        <f t="shared" si="32"/>
        <v>40.816800000000001</v>
      </c>
      <c r="F41" s="53">
        <f t="shared" si="33"/>
        <v>82.094399999999993</v>
      </c>
      <c r="G41" s="53">
        <f t="shared" si="33"/>
        <v>105.9192</v>
      </c>
      <c r="H41" s="56">
        <f t="shared" si="34"/>
        <v>9.7199999999999995E-2</v>
      </c>
      <c r="I41" s="56">
        <f t="shared" si="35"/>
        <v>0.108</v>
      </c>
      <c r="J41" s="56">
        <f t="shared" si="36"/>
        <v>0.93240000000000001</v>
      </c>
      <c r="K41" s="56">
        <f t="shared" si="36"/>
        <v>2.7072000000000003</v>
      </c>
      <c r="L41" s="53">
        <f t="shared" si="37"/>
        <v>12.841200000000001</v>
      </c>
      <c r="M41" s="53">
        <f t="shared" si="38"/>
        <v>13.9536</v>
      </c>
      <c r="N41" s="53">
        <f t="shared" si="39"/>
        <v>14.144399999999999</v>
      </c>
      <c r="O41" s="53">
        <f t="shared" si="40"/>
        <v>13.0932</v>
      </c>
      <c r="P41" s="56">
        <f t="shared" si="41"/>
        <v>0</v>
      </c>
      <c r="Q41" s="56">
        <f t="shared" si="42"/>
        <v>0</v>
      </c>
      <c r="R41" s="56">
        <f t="shared" si="43"/>
        <v>0</v>
      </c>
      <c r="S41" s="56">
        <f t="shared" si="44"/>
        <v>0</v>
      </c>
      <c r="AH41"/>
      <c r="AI41"/>
      <c r="AJ41"/>
      <c r="AK41"/>
      <c r="AL41"/>
      <c r="AM41"/>
      <c r="AN41"/>
      <c r="AO41"/>
      <c r="AP41"/>
    </row>
    <row r="42" spans="1:42" s="3" customFormat="1" x14ac:dyDescent="0.3">
      <c r="A42" s="3" t="s">
        <v>3</v>
      </c>
      <c r="C42" s="50">
        <v>4</v>
      </c>
      <c r="D42" s="53">
        <f t="shared" si="31"/>
        <v>87.012000000000015</v>
      </c>
      <c r="E42" s="53">
        <f t="shared" si="32"/>
        <v>112.53959999999999</v>
      </c>
      <c r="F42" s="53">
        <f t="shared" si="33"/>
        <v>186.60599999999999</v>
      </c>
      <c r="G42" s="53">
        <f t="shared" si="33"/>
        <v>299.18520000000001</v>
      </c>
      <c r="H42" s="56">
        <f t="shared" si="34"/>
        <v>0</v>
      </c>
      <c r="I42" s="56">
        <f t="shared" si="35"/>
        <v>0</v>
      </c>
      <c r="J42" s="56">
        <f t="shared" si="36"/>
        <v>7.5600000000000001E-2</v>
      </c>
      <c r="K42" s="56">
        <f t="shared" si="36"/>
        <v>6.0696000000000003</v>
      </c>
      <c r="L42" s="53">
        <f t="shared" si="37"/>
        <v>5.8212000000000002</v>
      </c>
      <c r="M42" s="53">
        <f t="shared" si="38"/>
        <v>5.1623999999999999</v>
      </c>
      <c r="N42" s="53">
        <f t="shared" si="39"/>
        <v>5.6664000000000003</v>
      </c>
      <c r="O42" s="53">
        <f t="shared" si="40"/>
        <v>3.4596</v>
      </c>
      <c r="P42" s="56">
        <f t="shared" si="41"/>
        <v>0</v>
      </c>
      <c r="Q42" s="56">
        <f t="shared" si="42"/>
        <v>0</v>
      </c>
      <c r="R42" s="56">
        <f t="shared" si="43"/>
        <v>0</v>
      </c>
      <c r="S42" s="56">
        <f t="shared" si="44"/>
        <v>0</v>
      </c>
      <c r="AH42"/>
      <c r="AI42"/>
      <c r="AJ42"/>
      <c r="AK42"/>
      <c r="AL42"/>
      <c r="AM42"/>
      <c r="AN42"/>
      <c r="AO42"/>
      <c r="AP42"/>
    </row>
    <row r="43" spans="1:42" s="3" customFormat="1" x14ac:dyDescent="0.3">
      <c r="A43" s="3" t="s">
        <v>4</v>
      </c>
      <c r="C43" s="50">
        <v>5</v>
      </c>
      <c r="D43" s="53">
        <f t="shared" si="31"/>
        <v>3.3948</v>
      </c>
      <c r="E43" s="53">
        <f t="shared" si="32"/>
        <v>4.9428000000000001</v>
      </c>
      <c r="F43" s="53">
        <f t="shared" si="33"/>
        <v>6.5195999999999996</v>
      </c>
      <c r="G43" s="53">
        <f t="shared" si="33"/>
        <v>10.216800000000001</v>
      </c>
      <c r="H43" s="56">
        <f t="shared" si="34"/>
        <v>0.33119999999999999</v>
      </c>
      <c r="I43" s="56">
        <f t="shared" si="35"/>
        <v>0.5544</v>
      </c>
      <c r="J43" s="56">
        <f t="shared" si="36"/>
        <v>6.5087999999999999</v>
      </c>
      <c r="K43" s="56">
        <f t="shared" si="36"/>
        <v>55.209600000000002</v>
      </c>
      <c r="L43" s="53">
        <f t="shared" si="37"/>
        <v>19.130400000000002</v>
      </c>
      <c r="M43" s="53">
        <f t="shared" si="38"/>
        <v>19.828800000000001</v>
      </c>
      <c r="N43" s="53">
        <f t="shared" si="39"/>
        <v>29.8368</v>
      </c>
      <c r="O43" s="53">
        <f t="shared" si="40"/>
        <v>30.204000000000004</v>
      </c>
      <c r="P43" s="56">
        <f t="shared" si="41"/>
        <v>0</v>
      </c>
      <c r="Q43" s="56">
        <f t="shared" si="42"/>
        <v>0</v>
      </c>
      <c r="R43" s="56">
        <f t="shared" si="43"/>
        <v>0</v>
      </c>
      <c r="S43" s="56">
        <f t="shared" si="44"/>
        <v>0</v>
      </c>
      <c r="AH43"/>
      <c r="AI43"/>
      <c r="AJ43"/>
      <c r="AK43"/>
      <c r="AL43"/>
      <c r="AM43"/>
      <c r="AN43"/>
      <c r="AO43"/>
      <c r="AP43"/>
    </row>
    <row r="44" spans="1:42" s="3" customFormat="1" x14ac:dyDescent="0.3">
      <c r="A44" s="3" t="s">
        <v>5</v>
      </c>
      <c r="C44" s="50">
        <v>6</v>
      </c>
      <c r="D44" s="53">
        <f t="shared" si="31"/>
        <v>0.14760000000000001</v>
      </c>
      <c r="E44" s="53">
        <f t="shared" si="32"/>
        <v>0.1908</v>
      </c>
      <c r="F44" s="53">
        <f t="shared" si="33"/>
        <v>0.1656</v>
      </c>
      <c r="G44" s="53">
        <f t="shared" si="33"/>
        <v>0.14760000000000001</v>
      </c>
      <c r="H44" s="56">
        <f t="shared" si="34"/>
        <v>0</v>
      </c>
      <c r="I44" s="56">
        <f t="shared" si="35"/>
        <v>0</v>
      </c>
      <c r="J44" s="56">
        <f t="shared" si="36"/>
        <v>0.26279999999999998</v>
      </c>
      <c r="K44" s="56">
        <f t="shared" si="36"/>
        <v>3.8628</v>
      </c>
      <c r="L44" s="53">
        <f t="shared" si="37"/>
        <v>1.3464</v>
      </c>
      <c r="M44" s="53">
        <f t="shared" si="38"/>
        <v>1.278</v>
      </c>
      <c r="N44" s="53">
        <f t="shared" si="39"/>
        <v>1.5731999999999999</v>
      </c>
      <c r="O44" s="53">
        <f t="shared" si="40"/>
        <v>1.1375999999999999</v>
      </c>
      <c r="P44" s="56">
        <f t="shared" si="41"/>
        <v>0</v>
      </c>
      <c r="Q44" s="56">
        <f t="shared" si="42"/>
        <v>0</v>
      </c>
      <c r="R44" s="56">
        <f t="shared" si="43"/>
        <v>0</v>
      </c>
      <c r="S44" s="56">
        <f t="shared" si="44"/>
        <v>0</v>
      </c>
      <c r="AH44"/>
      <c r="AI44"/>
      <c r="AJ44"/>
      <c r="AK44"/>
      <c r="AL44"/>
      <c r="AM44"/>
      <c r="AN44"/>
      <c r="AO44"/>
      <c r="AP44"/>
    </row>
    <row r="45" spans="1:42" s="3" customFormat="1" x14ac:dyDescent="0.3">
      <c r="A45" s="3" t="s">
        <v>6</v>
      </c>
      <c r="C45" s="50">
        <v>7</v>
      </c>
      <c r="D45" s="53">
        <f t="shared" si="31"/>
        <v>108.2124</v>
      </c>
      <c r="E45" s="53">
        <f t="shared" si="32"/>
        <v>130.1508</v>
      </c>
      <c r="F45" s="53">
        <f t="shared" si="33"/>
        <v>211.80240000000001</v>
      </c>
      <c r="G45" s="53">
        <f t="shared" si="33"/>
        <v>407.68559999999997</v>
      </c>
      <c r="H45" s="56">
        <f t="shared" si="34"/>
        <v>2.8800000000000003E-2</v>
      </c>
      <c r="I45" s="56">
        <f t="shared" si="35"/>
        <v>0.10440000000000001</v>
      </c>
      <c r="J45" s="56">
        <f t="shared" si="36"/>
        <v>1.4436000000000002</v>
      </c>
      <c r="K45" s="56">
        <f t="shared" si="36"/>
        <v>16.488</v>
      </c>
      <c r="L45" s="53">
        <f t="shared" si="37"/>
        <v>1.9728000000000001</v>
      </c>
      <c r="M45" s="53">
        <f t="shared" si="38"/>
        <v>2.4767999999999999</v>
      </c>
      <c r="N45" s="53">
        <f t="shared" si="39"/>
        <v>3.7800000000000002</v>
      </c>
      <c r="O45" s="53">
        <f t="shared" si="40"/>
        <v>2.2427999999999999</v>
      </c>
      <c r="P45" s="56">
        <f t="shared" si="41"/>
        <v>0</v>
      </c>
      <c r="Q45" s="56">
        <f t="shared" si="42"/>
        <v>0</v>
      </c>
      <c r="R45" s="56">
        <f t="shared" si="43"/>
        <v>0</v>
      </c>
      <c r="S45" s="56">
        <f t="shared" si="44"/>
        <v>0</v>
      </c>
      <c r="AH45"/>
      <c r="AI45"/>
      <c r="AJ45"/>
      <c r="AK45"/>
      <c r="AL45"/>
      <c r="AM45"/>
      <c r="AN45"/>
      <c r="AO45"/>
      <c r="AP45"/>
    </row>
    <row r="46" spans="1:42" s="3" customFormat="1" x14ac:dyDescent="0.3">
      <c r="A46" s="3" t="s">
        <v>7</v>
      </c>
      <c r="C46" s="50">
        <v>8</v>
      </c>
      <c r="D46" s="53">
        <f t="shared" si="31"/>
        <v>37.742400000000004</v>
      </c>
      <c r="E46" s="53">
        <f t="shared" si="32"/>
        <v>55.097999999999999</v>
      </c>
      <c r="F46" s="53">
        <f t="shared" si="33"/>
        <v>68.165999999999997</v>
      </c>
      <c r="G46" s="53">
        <f t="shared" si="33"/>
        <v>102.5604</v>
      </c>
      <c r="H46" s="56">
        <f t="shared" si="34"/>
        <v>1.0151999999999999</v>
      </c>
      <c r="I46" s="56">
        <f t="shared" si="35"/>
        <v>2.0124000000000004</v>
      </c>
      <c r="J46" s="56">
        <f t="shared" si="36"/>
        <v>21.347999999999999</v>
      </c>
      <c r="K46" s="56">
        <f t="shared" si="36"/>
        <v>55.245600000000003</v>
      </c>
      <c r="L46" s="53">
        <f t="shared" si="37"/>
        <v>1.3932</v>
      </c>
      <c r="M46" s="53">
        <f t="shared" si="38"/>
        <v>1.5011999999999999</v>
      </c>
      <c r="N46" s="53">
        <f t="shared" si="39"/>
        <v>2.2968000000000002</v>
      </c>
      <c r="O46" s="53">
        <f t="shared" si="40"/>
        <v>2.3436000000000003</v>
      </c>
      <c r="P46" s="56">
        <f t="shared" si="41"/>
        <v>8.708400000000001</v>
      </c>
      <c r="Q46" s="56">
        <f t="shared" si="42"/>
        <v>9.1440000000000001</v>
      </c>
      <c r="R46" s="56">
        <f t="shared" si="43"/>
        <v>13.05</v>
      </c>
      <c r="S46" s="56">
        <f t="shared" si="44"/>
        <v>14.0472</v>
      </c>
      <c r="AH46"/>
      <c r="AI46"/>
      <c r="AJ46"/>
      <c r="AK46"/>
      <c r="AL46"/>
      <c r="AM46"/>
      <c r="AN46"/>
      <c r="AO46"/>
      <c r="AP46"/>
    </row>
    <row r="47" spans="1:42" s="3" customFormat="1" ht="15" thickBot="1" x14ac:dyDescent="0.35">
      <c r="A47" s="3" t="s">
        <v>8</v>
      </c>
      <c r="C47" s="51">
        <v>9</v>
      </c>
      <c r="D47" s="54">
        <f t="shared" si="31"/>
        <v>53.074800000000003</v>
      </c>
      <c r="E47" s="54">
        <f t="shared" si="32"/>
        <v>67.644000000000005</v>
      </c>
      <c r="F47" s="54">
        <f t="shared" si="33"/>
        <v>93.337199999999996</v>
      </c>
      <c r="G47" s="54">
        <f t="shared" si="33"/>
        <v>107.46720000000001</v>
      </c>
      <c r="H47" s="57">
        <f t="shared" si="34"/>
        <v>2.754</v>
      </c>
      <c r="I47" s="57">
        <f t="shared" si="35"/>
        <v>3.1032000000000002</v>
      </c>
      <c r="J47" s="57">
        <f t="shared" si="36"/>
        <v>53.049600000000005</v>
      </c>
      <c r="K47" s="57">
        <f t="shared" si="36"/>
        <v>104.8824</v>
      </c>
      <c r="L47" s="54">
        <f t="shared" si="37"/>
        <v>21.531600000000001</v>
      </c>
      <c r="M47" s="54">
        <f t="shared" si="38"/>
        <v>19.0044</v>
      </c>
      <c r="N47" s="54">
        <f t="shared" si="39"/>
        <v>21.923999999999999</v>
      </c>
      <c r="O47" s="54">
        <f t="shared" si="40"/>
        <v>19.0656</v>
      </c>
      <c r="P47" s="57">
        <f t="shared" si="41"/>
        <v>45.36</v>
      </c>
      <c r="Q47" s="57">
        <f t="shared" si="42"/>
        <v>45.187199999999997</v>
      </c>
      <c r="R47" s="57">
        <f t="shared" si="43"/>
        <v>43.423200000000001</v>
      </c>
      <c r="S47" s="57">
        <f t="shared" si="44"/>
        <v>41.612400000000001</v>
      </c>
      <c r="AH47"/>
      <c r="AI47"/>
      <c r="AJ47"/>
      <c r="AK47"/>
      <c r="AL47"/>
      <c r="AM47"/>
      <c r="AN47"/>
      <c r="AO47"/>
      <c r="AP47"/>
    </row>
    <row r="48" spans="1:42" x14ac:dyDescent="0.3">
      <c r="S48" s="3"/>
    </row>
  </sheetData>
  <mergeCells count="10">
    <mergeCell ref="C6:F6"/>
    <mergeCell ref="G6:J6"/>
    <mergeCell ref="K6:N6"/>
    <mergeCell ref="S6:V6"/>
    <mergeCell ref="O6:R6"/>
    <mergeCell ref="W6:Z6"/>
    <mergeCell ref="AA6:AD6"/>
    <mergeCell ref="AE6:AH6"/>
    <mergeCell ref="AI6:AL6"/>
    <mergeCell ref="AM6:AP6"/>
  </mergeCells>
  <hyperlinks>
    <hyperlink ref="A1" r:id="rId1" xr:uid="{44FBAE0B-ED20-4519-B44D-EC0224F5C641}"/>
  </hyperlinks>
  <pageMargins left="0.7" right="0.7" top="0.75" bottom="0.75" header="0.3" footer="0.3"/>
  <pageSetup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A113-7D9E-45DF-AF77-88EEB0EB5DDD}">
  <dimension ref="B1:H198"/>
  <sheetViews>
    <sheetView workbookViewId="0">
      <selection activeCell="D9" sqref="D9"/>
    </sheetView>
  </sheetViews>
  <sheetFormatPr defaultRowHeight="14.4" x14ac:dyDescent="0.3"/>
  <cols>
    <col min="2" max="2" width="38.21875" customWidth="1"/>
    <col min="3" max="3" width="22.109375" bestFit="1" customWidth="1"/>
    <col min="4" max="4" width="23.5546875" bestFit="1" customWidth="1"/>
  </cols>
  <sheetData>
    <row r="1" spans="2:8" x14ac:dyDescent="0.3">
      <c r="B1" t="s">
        <v>153</v>
      </c>
    </row>
    <row r="2" spans="2:8" x14ac:dyDescent="0.3">
      <c r="B2" t="s">
        <v>154</v>
      </c>
    </row>
    <row r="3" spans="2:8" x14ac:dyDescent="0.3">
      <c r="B3" t="s">
        <v>155</v>
      </c>
    </row>
    <row r="4" spans="2:8" x14ac:dyDescent="0.3">
      <c r="B4" t="s">
        <v>131</v>
      </c>
    </row>
    <row r="5" spans="2:8" x14ac:dyDescent="0.3">
      <c r="B5" t="s">
        <v>156</v>
      </c>
      <c r="C5" t="s">
        <v>157</v>
      </c>
      <c r="D5" t="s">
        <v>158</v>
      </c>
      <c r="E5">
        <v>2010</v>
      </c>
      <c r="F5">
        <v>2011</v>
      </c>
      <c r="G5">
        <v>2015</v>
      </c>
      <c r="H5">
        <v>2019</v>
      </c>
    </row>
    <row r="6" spans="2:8" x14ac:dyDescent="0.3">
      <c r="B6" t="s">
        <v>153</v>
      </c>
      <c r="C6" t="s">
        <v>134</v>
      </c>
    </row>
    <row r="7" spans="2:8" x14ac:dyDescent="0.3">
      <c r="B7" t="s">
        <v>159</v>
      </c>
      <c r="D7" t="s">
        <v>160</v>
      </c>
    </row>
    <row r="8" spans="2:8" x14ac:dyDescent="0.3">
      <c r="B8" t="s">
        <v>161</v>
      </c>
      <c r="C8" t="s">
        <v>134</v>
      </c>
      <c r="D8" t="s">
        <v>162</v>
      </c>
      <c r="E8">
        <v>3972386</v>
      </c>
      <c r="F8">
        <v>3948186</v>
      </c>
      <c r="G8">
        <v>3919294</v>
      </c>
      <c r="H8">
        <v>3955781</v>
      </c>
    </row>
    <row r="9" spans="2:8" x14ac:dyDescent="0.3">
      <c r="B9" t="s">
        <v>163</v>
      </c>
      <c r="C9" t="s">
        <v>134</v>
      </c>
      <c r="D9" t="s">
        <v>164</v>
      </c>
      <c r="E9">
        <v>123441</v>
      </c>
      <c r="F9">
        <v>117021</v>
      </c>
      <c r="G9">
        <v>106031</v>
      </c>
      <c r="H9">
        <v>96052</v>
      </c>
    </row>
    <row r="10" spans="2:8" x14ac:dyDescent="0.3">
      <c r="B10" t="s">
        <v>165</v>
      </c>
      <c r="C10" t="s">
        <v>134</v>
      </c>
      <c r="D10" t="s">
        <v>166</v>
      </c>
      <c r="E10">
        <v>426598</v>
      </c>
      <c r="F10">
        <v>423543</v>
      </c>
      <c r="G10">
        <v>421071</v>
      </c>
      <c r="H10">
        <v>428483</v>
      </c>
    </row>
    <row r="11" spans="2:8" x14ac:dyDescent="0.3">
      <c r="B11" t="s">
        <v>167</v>
      </c>
      <c r="C11" t="s">
        <v>134</v>
      </c>
      <c r="D11" t="s">
        <v>168</v>
      </c>
      <c r="E11">
        <v>634383</v>
      </c>
      <c r="F11">
        <v>617796</v>
      </c>
      <c r="G11">
        <v>587365</v>
      </c>
      <c r="H11">
        <v>570550</v>
      </c>
    </row>
    <row r="12" spans="2:8" x14ac:dyDescent="0.3">
      <c r="B12" t="s">
        <v>169</v>
      </c>
      <c r="C12" t="s">
        <v>134</v>
      </c>
      <c r="D12" t="s">
        <v>170</v>
      </c>
      <c r="E12">
        <v>328467</v>
      </c>
      <c r="F12">
        <v>328311</v>
      </c>
      <c r="G12">
        <v>324703</v>
      </c>
      <c r="H12">
        <v>334750</v>
      </c>
    </row>
    <row r="13" spans="2:8" x14ac:dyDescent="0.3">
      <c r="B13" t="s">
        <v>171</v>
      </c>
      <c r="C13" t="s">
        <v>134</v>
      </c>
      <c r="D13" t="s">
        <v>172</v>
      </c>
      <c r="E13">
        <v>784712</v>
      </c>
      <c r="F13">
        <v>743048</v>
      </c>
      <c r="G13">
        <v>771534</v>
      </c>
      <c r="H13">
        <v>790488</v>
      </c>
    </row>
    <row r="14" spans="2:8" x14ac:dyDescent="0.3">
      <c r="B14" t="s">
        <v>173</v>
      </c>
      <c r="C14" t="s">
        <v>134</v>
      </c>
      <c r="D14" t="s">
        <v>174</v>
      </c>
      <c r="E14">
        <v>378075</v>
      </c>
      <c r="F14">
        <v>378141</v>
      </c>
      <c r="G14">
        <v>366924</v>
      </c>
      <c r="H14">
        <v>351884</v>
      </c>
    </row>
    <row r="15" spans="2:8" x14ac:dyDescent="0.3">
      <c r="B15" t="s">
        <v>175</v>
      </c>
      <c r="C15" t="s">
        <v>134</v>
      </c>
      <c r="D15" t="s">
        <v>176</v>
      </c>
      <c r="E15">
        <v>575326</v>
      </c>
      <c r="F15">
        <v>607117</v>
      </c>
      <c r="G15">
        <v>613032</v>
      </c>
      <c r="H15">
        <v>648613</v>
      </c>
    </row>
    <row r="16" spans="2:8" x14ac:dyDescent="0.3">
      <c r="B16" t="s">
        <v>177</v>
      </c>
      <c r="C16" t="s">
        <v>134</v>
      </c>
      <c r="D16" t="s">
        <v>178</v>
      </c>
      <c r="E16">
        <v>362393</v>
      </c>
      <c r="F16">
        <v>361361</v>
      </c>
      <c r="G16">
        <v>369184</v>
      </c>
      <c r="H16">
        <v>364762</v>
      </c>
    </row>
    <row r="17" spans="2:8" x14ac:dyDescent="0.3">
      <c r="B17" t="s">
        <v>179</v>
      </c>
      <c r="C17" t="s">
        <v>134</v>
      </c>
      <c r="D17" t="s">
        <v>180</v>
      </c>
      <c r="E17">
        <v>342459</v>
      </c>
      <c r="F17">
        <v>355353</v>
      </c>
      <c r="G17">
        <v>344133</v>
      </c>
      <c r="H17">
        <v>355048</v>
      </c>
    </row>
    <row r="18" spans="2:8" x14ac:dyDescent="0.3">
      <c r="B18" t="s">
        <v>181</v>
      </c>
      <c r="C18" t="s">
        <v>134</v>
      </c>
      <c r="D18" t="s">
        <v>182</v>
      </c>
      <c r="E18">
        <v>16532</v>
      </c>
      <c r="F18">
        <v>16496</v>
      </c>
      <c r="G18">
        <v>15317</v>
      </c>
      <c r="H18">
        <v>15151</v>
      </c>
    </row>
    <row r="19" spans="2:8" x14ac:dyDescent="0.3">
      <c r="B19" t="s">
        <v>183</v>
      </c>
      <c r="C19" t="s">
        <v>134</v>
      </c>
      <c r="D19" t="s">
        <v>184</v>
      </c>
      <c r="E19">
        <v>1827738</v>
      </c>
      <c r="F19">
        <v>1717891</v>
      </c>
      <c r="G19">
        <v>1340993</v>
      </c>
      <c r="H19">
        <v>959507</v>
      </c>
    </row>
    <row r="20" spans="2:8" x14ac:dyDescent="0.3">
      <c r="B20" t="s">
        <v>185</v>
      </c>
      <c r="C20" t="s">
        <v>134</v>
      </c>
      <c r="D20" t="s">
        <v>186</v>
      </c>
      <c r="E20">
        <v>14020</v>
      </c>
      <c r="F20">
        <v>6801</v>
      </c>
      <c r="G20">
        <v>3838</v>
      </c>
      <c r="H20">
        <v>457</v>
      </c>
    </row>
    <row r="21" spans="2:8" x14ac:dyDescent="0.3">
      <c r="B21" t="s">
        <v>187</v>
      </c>
      <c r="C21" t="s">
        <v>134</v>
      </c>
      <c r="D21" t="s">
        <v>188</v>
      </c>
      <c r="E21">
        <v>128950</v>
      </c>
      <c r="F21">
        <v>112978</v>
      </c>
      <c r="G21">
        <v>67990</v>
      </c>
      <c r="H21">
        <v>40133</v>
      </c>
    </row>
    <row r="22" spans="2:8" x14ac:dyDescent="0.3">
      <c r="B22" t="s">
        <v>189</v>
      </c>
      <c r="C22" t="s">
        <v>134</v>
      </c>
      <c r="D22" t="s">
        <v>190</v>
      </c>
      <c r="E22">
        <v>425653</v>
      </c>
      <c r="F22">
        <v>394593</v>
      </c>
      <c r="G22">
        <v>310998</v>
      </c>
      <c r="H22">
        <v>218114</v>
      </c>
    </row>
    <row r="23" spans="2:8" x14ac:dyDescent="0.3">
      <c r="B23" t="s">
        <v>191</v>
      </c>
      <c r="C23" t="s">
        <v>134</v>
      </c>
      <c r="D23" t="s">
        <v>192</v>
      </c>
      <c r="E23">
        <v>228740</v>
      </c>
      <c r="F23">
        <v>228675</v>
      </c>
      <c r="G23">
        <v>194762</v>
      </c>
      <c r="H23">
        <v>159173</v>
      </c>
    </row>
    <row r="24" spans="2:8" x14ac:dyDescent="0.3">
      <c r="B24" t="s">
        <v>193</v>
      </c>
      <c r="C24" t="s">
        <v>134</v>
      </c>
      <c r="D24" t="s">
        <v>194</v>
      </c>
      <c r="E24">
        <v>369577</v>
      </c>
      <c r="F24">
        <v>321478</v>
      </c>
      <c r="G24">
        <v>240632</v>
      </c>
      <c r="H24">
        <v>158980</v>
      </c>
    </row>
    <row r="25" spans="2:8" x14ac:dyDescent="0.3">
      <c r="B25" t="s">
        <v>195</v>
      </c>
      <c r="C25" t="s">
        <v>134</v>
      </c>
      <c r="D25" t="s">
        <v>196</v>
      </c>
      <c r="E25">
        <v>209557</v>
      </c>
      <c r="F25">
        <v>197406</v>
      </c>
      <c r="G25">
        <v>149915</v>
      </c>
      <c r="H25">
        <v>100976</v>
      </c>
    </row>
    <row r="26" spans="2:8" x14ac:dyDescent="0.3">
      <c r="B26" t="s">
        <v>197</v>
      </c>
      <c r="C26" t="s">
        <v>134</v>
      </c>
      <c r="D26" t="s">
        <v>198</v>
      </c>
      <c r="E26">
        <v>229880</v>
      </c>
      <c r="F26">
        <v>245902</v>
      </c>
      <c r="G26">
        <v>182896</v>
      </c>
      <c r="H26">
        <v>130225</v>
      </c>
    </row>
    <row r="27" spans="2:8" x14ac:dyDescent="0.3">
      <c r="B27" t="s">
        <v>199</v>
      </c>
      <c r="C27" t="s">
        <v>134</v>
      </c>
      <c r="D27" t="s">
        <v>200</v>
      </c>
      <c r="E27">
        <v>205106</v>
      </c>
      <c r="F27">
        <v>198153</v>
      </c>
      <c r="G27">
        <v>180708</v>
      </c>
      <c r="H27">
        <v>139845</v>
      </c>
    </row>
    <row r="28" spans="2:8" x14ac:dyDescent="0.3">
      <c r="B28" t="s">
        <v>201</v>
      </c>
      <c r="C28" t="s">
        <v>134</v>
      </c>
      <c r="D28" t="s">
        <v>202</v>
      </c>
      <c r="E28">
        <v>14364</v>
      </c>
      <c r="F28">
        <v>10142</v>
      </c>
      <c r="G28">
        <v>7393</v>
      </c>
      <c r="H28">
        <v>9715</v>
      </c>
    </row>
    <row r="29" spans="2:8" x14ac:dyDescent="0.3">
      <c r="B29" t="s">
        <v>203</v>
      </c>
      <c r="C29" t="s">
        <v>134</v>
      </c>
      <c r="D29" t="s">
        <v>204</v>
      </c>
      <c r="E29">
        <v>1890</v>
      </c>
      <c r="F29">
        <v>1764</v>
      </c>
      <c r="G29">
        <v>1862</v>
      </c>
      <c r="H29">
        <v>1890</v>
      </c>
    </row>
    <row r="30" spans="2:8" x14ac:dyDescent="0.3">
      <c r="B30" t="s">
        <v>205</v>
      </c>
      <c r="C30" t="s">
        <v>134</v>
      </c>
      <c r="D30" t="s">
        <v>206</v>
      </c>
      <c r="E30">
        <v>901389</v>
      </c>
      <c r="F30">
        <v>926290</v>
      </c>
      <c r="G30">
        <v>1237656</v>
      </c>
      <c r="H30">
        <v>1474734</v>
      </c>
    </row>
    <row r="31" spans="2:8" x14ac:dyDescent="0.3">
      <c r="B31" t="s">
        <v>207</v>
      </c>
      <c r="C31" t="s">
        <v>134</v>
      </c>
      <c r="D31" t="s">
        <v>208</v>
      </c>
      <c r="E31">
        <v>55115</v>
      </c>
      <c r="F31">
        <v>60121</v>
      </c>
      <c r="G31">
        <v>51942</v>
      </c>
      <c r="H31">
        <v>46901</v>
      </c>
    </row>
    <row r="32" spans="2:8" x14ac:dyDescent="0.3">
      <c r="B32" t="s">
        <v>209</v>
      </c>
      <c r="C32" t="s">
        <v>134</v>
      </c>
      <c r="D32" t="s">
        <v>210</v>
      </c>
      <c r="E32">
        <v>105469</v>
      </c>
      <c r="F32">
        <v>115678</v>
      </c>
      <c r="G32">
        <v>150432</v>
      </c>
      <c r="H32">
        <v>184582</v>
      </c>
    </row>
    <row r="33" spans="2:8" x14ac:dyDescent="0.3">
      <c r="B33" t="s">
        <v>211</v>
      </c>
      <c r="C33" t="s">
        <v>134</v>
      </c>
      <c r="D33" t="s">
        <v>212</v>
      </c>
      <c r="E33">
        <v>35231</v>
      </c>
      <c r="F33">
        <v>45414</v>
      </c>
      <c r="G33">
        <v>85612</v>
      </c>
      <c r="H33">
        <v>152525</v>
      </c>
    </row>
    <row r="34" spans="2:8" x14ac:dyDescent="0.3">
      <c r="B34" t="s">
        <v>213</v>
      </c>
      <c r="C34" t="s">
        <v>134</v>
      </c>
      <c r="D34" t="s">
        <v>214</v>
      </c>
      <c r="E34">
        <v>12938</v>
      </c>
      <c r="F34">
        <v>11714</v>
      </c>
      <c r="G34">
        <v>16857</v>
      </c>
      <c r="H34">
        <v>32203</v>
      </c>
    </row>
    <row r="35" spans="2:8" x14ac:dyDescent="0.3">
      <c r="B35" t="s">
        <v>215</v>
      </c>
      <c r="C35" t="s">
        <v>134</v>
      </c>
      <c r="D35" t="s">
        <v>216</v>
      </c>
      <c r="E35">
        <v>192545</v>
      </c>
      <c r="F35">
        <v>210152</v>
      </c>
      <c r="G35">
        <v>300954</v>
      </c>
      <c r="H35">
        <v>379669</v>
      </c>
    </row>
    <row r="36" spans="2:8" x14ac:dyDescent="0.3">
      <c r="B36" t="s">
        <v>217</v>
      </c>
      <c r="C36" t="s">
        <v>134</v>
      </c>
      <c r="D36" t="s">
        <v>218</v>
      </c>
      <c r="E36">
        <v>71373</v>
      </c>
      <c r="F36">
        <v>80876</v>
      </c>
      <c r="G36">
        <v>114172</v>
      </c>
      <c r="H36">
        <v>134705</v>
      </c>
    </row>
    <row r="37" spans="2:8" x14ac:dyDescent="0.3">
      <c r="B37" t="s">
        <v>219</v>
      </c>
      <c r="C37" t="s">
        <v>134</v>
      </c>
      <c r="D37" t="s">
        <v>220</v>
      </c>
      <c r="E37">
        <v>225698</v>
      </c>
      <c r="F37">
        <v>240437</v>
      </c>
      <c r="G37">
        <v>287603</v>
      </c>
      <c r="H37">
        <v>319391</v>
      </c>
    </row>
    <row r="38" spans="2:8" x14ac:dyDescent="0.3">
      <c r="B38" t="s">
        <v>221</v>
      </c>
      <c r="C38" t="s">
        <v>134</v>
      </c>
      <c r="D38" t="s">
        <v>222</v>
      </c>
      <c r="E38">
        <v>80578</v>
      </c>
      <c r="F38">
        <v>70026</v>
      </c>
      <c r="G38">
        <v>95196</v>
      </c>
      <c r="H38">
        <v>113559</v>
      </c>
    </row>
    <row r="39" spans="2:8" x14ac:dyDescent="0.3">
      <c r="B39" t="s">
        <v>223</v>
      </c>
      <c r="C39" t="s">
        <v>134</v>
      </c>
      <c r="D39" t="s">
        <v>224</v>
      </c>
      <c r="E39">
        <v>118758</v>
      </c>
      <c r="F39">
        <v>88025</v>
      </c>
      <c r="G39">
        <v>131869</v>
      </c>
      <c r="H39">
        <v>108104</v>
      </c>
    </row>
    <row r="40" spans="2:8" x14ac:dyDescent="0.3">
      <c r="B40" t="s">
        <v>225</v>
      </c>
      <c r="C40" t="s">
        <v>134</v>
      </c>
      <c r="D40" t="s">
        <v>226</v>
      </c>
      <c r="E40">
        <v>3685</v>
      </c>
      <c r="F40">
        <v>3846</v>
      </c>
      <c r="G40">
        <v>3019</v>
      </c>
      <c r="H40">
        <v>3095</v>
      </c>
    </row>
    <row r="41" spans="2:8" x14ac:dyDescent="0.3">
      <c r="B41" t="s">
        <v>227</v>
      </c>
      <c r="C41" t="s">
        <v>134</v>
      </c>
      <c r="D41" t="s">
        <v>228</v>
      </c>
      <c r="E41">
        <v>2967</v>
      </c>
      <c r="F41">
        <v>2939</v>
      </c>
      <c r="G41">
        <v>3715</v>
      </c>
      <c r="H41">
        <v>4306</v>
      </c>
    </row>
    <row r="42" spans="2:8" x14ac:dyDescent="0.3">
      <c r="B42" t="s">
        <v>229</v>
      </c>
      <c r="C42" t="s">
        <v>134</v>
      </c>
      <c r="D42" t="s">
        <v>230</v>
      </c>
      <c r="E42">
        <v>14</v>
      </c>
      <c r="F42" t="s">
        <v>152</v>
      </c>
      <c r="G42" t="s">
        <v>152</v>
      </c>
      <c r="H42" t="s">
        <v>152</v>
      </c>
    </row>
    <row r="43" spans="2:8" x14ac:dyDescent="0.3">
      <c r="B43" t="s">
        <v>231</v>
      </c>
      <c r="C43" t="s">
        <v>134</v>
      </c>
      <c r="D43" t="s">
        <v>232</v>
      </c>
      <c r="E43">
        <v>54</v>
      </c>
      <c r="F43">
        <v>41</v>
      </c>
      <c r="G43">
        <v>0</v>
      </c>
      <c r="H43">
        <v>0</v>
      </c>
    </row>
    <row r="44" spans="2:8" x14ac:dyDescent="0.3">
      <c r="B44" t="s">
        <v>233</v>
      </c>
      <c r="C44" t="s">
        <v>134</v>
      </c>
      <c r="D44" t="s">
        <v>234</v>
      </c>
      <c r="E44">
        <v>405</v>
      </c>
      <c r="F44">
        <v>386</v>
      </c>
      <c r="G44">
        <v>1983</v>
      </c>
      <c r="H44">
        <v>2274</v>
      </c>
    </row>
    <row r="45" spans="2:8" x14ac:dyDescent="0.3">
      <c r="B45" t="s">
        <v>235</v>
      </c>
      <c r="C45" t="s">
        <v>134</v>
      </c>
      <c r="D45" t="s">
        <v>236</v>
      </c>
      <c r="E45">
        <v>7</v>
      </c>
      <c r="F45">
        <v>0</v>
      </c>
      <c r="G45" t="s">
        <v>152</v>
      </c>
      <c r="H45" t="s">
        <v>152</v>
      </c>
    </row>
    <row r="46" spans="2:8" x14ac:dyDescent="0.3">
      <c r="B46" t="s">
        <v>237</v>
      </c>
      <c r="C46" t="s">
        <v>134</v>
      </c>
      <c r="D46" t="s">
        <v>238</v>
      </c>
      <c r="E46">
        <v>215</v>
      </c>
      <c r="F46" t="s">
        <v>152</v>
      </c>
      <c r="G46" t="s">
        <v>152</v>
      </c>
      <c r="H46" t="s">
        <v>152</v>
      </c>
    </row>
    <row r="47" spans="2:8" x14ac:dyDescent="0.3">
      <c r="B47" t="s">
        <v>239</v>
      </c>
      <c r="C47" t="s">
        <v>134</v>
      </c>
      <c r="D47" t="s">
        <v>240</v>
      </c>
      <c r="E47">
        <v>3</v>
      </c>
      <c r="F47" t="s">
        <v>152</v>
      </c>
      <c r="G47" t="s">
        <v>152</v>
      </c>
      <c r="H47" t="s">
        <v>152</v>
      </c>
    </row>
    <row r="48" spans="2:8" x14ac:dyDescent="0.3">
      <c r="B48" t="s">
        <v>241</v>
      </c>
      <c r="C48" t="s">
        <v>134</v>
      </c>
      <c r="D48" t="s">
        <v>242</v>
      </c>
      <c r="E48">
        <v>1929</v>
      </c>
      <c r="F48">
        <v>2180</v>
      </c>
      <c r="G48">
        <v>1314</v>
      </c>
      <c r="H48">
        <v>1699</v>
      </c>
    </row>
    <row r="49" spans="2:8" x14ac:dyDescent="0.3">
      <c r="B49" t="s">
        <v>243</v>
      </c>
      <c r="C49" t="s">
        <v>134</v>
      </c>
      <c r="D49" t="s">
        <v>244</v>
      </c>
      <c r="E49">
        <v>6</v>
      </c>
      <c r="F49">
        <v>7</v>
      </c>
      <c r="G49">
        <v>23</v>
      </c>
      <c r="H49">
        <v>10</v>
      </c>
    </row>
    <row r="50" spans="2:8" x14ac:dyDescent="0.3">
      <c r="B50" t="s">
        <v>245</v>
      </c>
      <c r="C50" t="s">
        <v>134</v>
      </c>
      <c r="D50" t="s">
        <v>246</v>
      </c>
      <c r="E50">
        <v>334</v>
      </c>
      <c r="F50">
        <v>326</v>
      </c>
      <c r="G50">
        <v>395</v>
      </c>
      <c r="H50">
        <v>322</v>
      </c>
    </row>
    <row r="51" spans="2:8" x14ac:dyDescent="0.3">
      <c r="B51" t="s">
        <v>247</v>
      </c>
      <c r="C51" t="s">
        <v>134</v>
      </c>
      <c r="D51" t="s">
        <v>248</v>
      </c>
      <c r="E51" t="s">
        <v>152</v>
      </c>
      <c r="F51" t="s">
        <v>152</v>
      </c>
      <c r="G51" t="s">
        <v>152</v>
      </c>
      <c r="H51" t="s">
        <v>152</v>
      </c>
    </row>
    <row r="52" spans="2:8" x14ac:dyDescent="0.3">
      <c r="B52" t="s">
        <v>249</v>
      </c>
      <c r="C52" t="s">
        <v>134</v>
      </c>
      <c r="D52" t="s">
        <v>250</v>
      </c>
      <c r="E52">
        <v>12304</v>
      </c>
      <c r="F52">
        <v>12859</v>
      </c>
      <c r="G52">
        <v>9879</v>
      </c>
      <c r="H52">
        <v>6324</v>
      </c>
    </row>
    <row r="53" spans="2:8" x14ac:dyDescent="0.3">
      <c r="B53" t="s">
        <v>251</v>
      </c>
      <c r="C53" t="s">
        <v>134</v>
      </c>
      <c r="D53" t="s">
        <v>252</v>
      </c>
      <c r="E53" t="s">
        <v>152</v>
      </c>
      <c r="F53" t="s">
        <v>152</v>
      </c>
      <c r="G53" t="s">
        <v>152</v>
      </c>
      <c r="H53" t="s">
        <v>152</v>
      </c>
    </row>
    <row r="54" spans="2:8" x14ac:dyDescent="0.3">
      <c r="B54" t="s">
        <v>253</v>
      </c>
      <c r="C54" t="s">
        <v>134</v>
      </c>
      <c r="D54" t="s">
        <v>254</v>
      </c>
      <c r="E54">
        <v>515</v>
      </c>
      <c r="F54">
        <v>263</v>
      </c>
      <c r="G54">
        <v>0</v>
      </c>
      <c r="H54">
        <v>0</v>
      </c>
    </row>
    <row r="55" spans="2:8" x14ac:dyDescent="0.3">
      <c r="B55" t="s">
        <v>255</v>
      </c>
      <c r="C55" t="s">
        <v>134</v>
      </c>
      <c r="D55" t="s">
        <v>256</v>
      </c>
      <c r="E55">
        <v>1595</v>
      </c>
      <c r="F55">
        <v>2632</v>
      </c>
      <c r="G55">
        <v>2908</v>
      </c>
      <c r="H55">
        <v>1525</v>
      </c>
    </row>
    <row r="56" spans="2:8" x14ac:dyDescent="0.3">
      <c r="B56" t="s">
        <v>257</v>
      </c>
      <c r="C56" t="s">
        <v>134</v>
      </c>
      <c r="D56" t="s">
        <v>258</v>
      </c>
      <c r="E56">
        <v>135</v>
      </c>
      <c r="F56">
        <v>88</v>
      </c>
      <c r="G56">
        <v>0</v>
      </c>
      <c r="H56" t="s">
        <v>152</v>
      </c>
    </row>
    <row r="57" spans="2:8" x14ac:dyDescent="0.3">
      <c r="B57" t="s">
        <v>259</v>
      </c>
      <c r="C57" t="s">
        <v>134</v>
      </c>
      <c r="D57" t="s">
        <v>260</v>
      </c>
      <c r="E57">
        <v>3228</v>
      </c>
      <c r="F57">
        <v>1898</v>
      </c>
      <c r="G57">
        <v>1568</v>
      </c>
      <c r="H57">
        <v>1201</v>
      </c>
    </row>
    <row r="58" spans="2:8" x14ac:dyDescent="0.3">
      <c r="B58" t="s">
        <v>261</v>
      </c>
      <c r="C58" t="s">
        <v>134</v>
      </c>
      <c r="D58" t="s">
        <v>262</v>
      </c>
      <c r="E58">
        <v>2162</v>
      </c>
      <c r="F58">
        <v>1596</v>
      </c>
      <c r="G58">
        <v>964</v>
      </c>
      <c r="H58">
        <v>0</v>
      </c>
    </row>
    <row r="59" spans="2:8" x14ac:dyDescent="0.3">
      <c r="B59" t="s">
        <v>263</v>
      </c>
      <c r="C59" t="s">
        <v>134</v>
      </c>
      <c r="D59" t="s">
        <v>264</v>
      </c>
      <c r="E59">
        <v>3268</v>
      </c>
      <c r="F59">
        <v>5075</v>
      </c>
      <c r="G59">
        <v>3957</v>
      </c>
      <c r="H59">
        <v>3149</v>
      </c>
    </row>
    <row r="60" spans="2:8" x14ac:dyDescent="0.3">
      <c r="B60" t="s">
        <v>265</v>
      </c>
      <c r="C60" t="s">
        <v>134</v>
      </c>
      <c r="D60" t="s">
        <v>266</v>
      </c>
      <c r="E60">
        <v>395</v>
      </c>
      <c r="F60">
        <v>443</v>
      </c>
      <c r="G60">
        <v>483</v>
      </c>
      <c r="H60">
        <v>449</v>
      </c>
    </row>
    <row r="61" spans="2:8" x14ac:dyDescent="0.3">
      <c r="B61" t="s">
        <v>267</v>
      </c>
      <c r="C61" t="s">
        <v>134</v>
      </c>
      <c r="D61" t="s">
        <v>268</v>
      </c>
      <c r="E61">
        <v>1006</v>
      </c>
      <c r="F61">
        <v>864</v>
      </c>
      <c r="G61">
        <v>0</v>
      </c>
      <c r="H61">
        <v>0</v>
      </c>
    </row>
    <row r="62" spans="2:8" x14ac:dyDescent="0.3">
      <c r="B62" t="s">
        <v>269</v>
      </c>
      <c r="C62" t="s">
        <v>134</v>
      </c>
      <c r="D62" t="s">
        <v>270</v>
      </c>
      <c r="E62" t="s">
        <v>152</v>
      </c>
      <c r="F62" t="s">
        <v>152</v>
      </c>
      <c r="G62" t="s">
        <v>152</v>
      </c>
      <c r="H62" t="s">
        <v>152</v>
      </c>
    </row>
    <row r="63" spans="2:8" x14ac:dyDescent="0.3">
      <c r="B63" t="s">
        <v>271</v>
      </c>
      <c r="C63" t="s">
        <v>134</v>
      </c>
      <c r="D63" t="s">
        <v>272</v>
      </c>
      <c r="E63">
        <v>22375</v>
      </c>
      <c r="F63">
        <v>15343</v>
      </c>
      <c r="G63">
        <v>16626</v>
      </c>
      <c r="H63">
        <v>11024</v>
      </c>
    </row>
    <row r="64" spans="2:8" x14ac:dyDescent="0.3">
      <c r="B64" t="s">
        <v>273</v>
      </c>
      <c r="C64" t="s">
        <v>134</v>
      </c>
      <c r="D64" t="s">
        <v>274</v>
      </c>
      <c r="E64">
        <v>890</v>
      </c>
      <c r="F64">
        <v>494</v>
      </c>
      <c r="G64">
        <v>1928</v>
      </c>
      <c r="H64">
        <v>235</v>
      </c>
    </row>
    <row r="65" spans="2:8" x14ac:dyDescent="0.3">
      <c r="B65" t="s">
        <v>275</v>
      </c>
      <c r="C65" t="s">
        <v>134</v>
      </c>
      <c r="D65" t="s">
        <v>276</v>
      </c>
      <c r="E65">
        <v>2165</v>
      </c>
      <c r="F65">
        <v>1339</v>
      </c>
      <c r="G65">
        <v>2629</v>
      </c>
      <c r="H65">
        <v>714</v>
      </c>
    </row>
    <row r="66" spans="2:8" x14ac:dyDescent="0.3">
      <c r="B66" t="s">
        <v>277</v>
      </c>
      <c r="C66" t="s">
        <v>134</v>
      </c>
      <c r="D66" t="s">
        <v>278</v>
      </c>
      <c r="E66">
        <v>752</v>
      </c>
      <c r="F66">
        <v>760</v>
      </c>
      <c r="G66">
        <v>541</v>
      </c>
      <c r="H66">
        <v>459</v>
      </c>
    </row>
    <row r="67" spans="2:8" x14ac:dyDescent="0.3">
      <c r="B67" t="s">
        <v>279</v>
      </c>
      <c r="C67" t="s">
        <v>134</v>
      </c>
      <c r="D67" t="s">
        <v>280</v>
      </c>
      <c r="E67">
        <v>341</v>
      </c>
      <c r="F67">
        <v>305</v>
      </c>
      <c r="G67">
        <v>287</v>
      </c>
      <c r="H67">
        <v>318</v>
      </c>
    </row>
    <row r="68" spans="2:8" x14ac:dyDescent="0.3">
      <c r="B68" t="s">
        <v>281</v>
      </c>
      <c r="C68" t="s">
        <v>134</v>
      </c>
      <c r="D68" t="s">
        <v>282</v>
      </c>
      <c r="E68">
        <v>8322</v>
      </c>
      <c r="F68">
        <v>2751</v>
      </c>
      <c r="G68">
        <v>2877</v>
      </c>
      <c r="H68">
        <v>1181</v>
      </c>
    </row>
    <row r="69" spans="2:8" x14ac:dyDescent="0.3">
      <c r="B69" t="s">
        <v>283</v>
      </c>
      <c r="C69" t="s">
        <v>134</v>
      </c>
      <c r="D69" t="s">
        <v>284</v>
      </c>
      <c r="E69">
        <v>525</v>
      </c>
      <c r="F69">
        <v>466</v>
      </c>
      <c r="G69">
        <v>322</v>
      </c>
      <c r="H69">
        <v>228</v>
      </c>
    </row>
    <row r="70" spans="2:8" x14ac:dyDescent="0.3">
      <c r="B70" t="s">
        <v>285</v>
      </c>
      <c r="C70" t="s">
        <v>134</v>
      </c>
      <c r="D70" t="s">
        <v>286</v>
      </c>
      <c r="E70">
        <v>254</v>
      </c>
      <c r="F70">
        <v>243</v>
      </c>
      <c r="G70">
        <v>244</v>
      </c>
      <c r="H70">
        <v>125</v>
      </c>
    </row>
    <row r="71" spans="2:8" x14ac:dyDescent="0.3">
      <c r="B71" t="s">
        <v>287</v>
      </c>
      <c r="C71" t="s">
        <v>134</v>
      </c>
      <c r="D71" t="s">
        <v>288</v>
      </c>
      <c r="E71">
        <v>261</v>
      </c>
      <c r="F71">
        <v>253</v>
      </c>
      <c r="G71">
        <v>212</v>
      </c>
      <c r="H71">
        <v>219</v>
      </c>
    </row>
    <row r="72" spans="2:8" x14ac:dyDescent="0.3">
      <c r="B72" t="s">
        <v>289</v>
      </c>
      <c r="C72" t="s">
        <v>134</v>
      </c>
      <c r="D72" t="s">
        <v>290</v>
      </c>
      <c r="E72">
        <v>74</v>
      </c>
      <c r="F72">
        <v>67</v>
      </c>
      <c r="G72">
        <v>76</v>
      </c>
      <c r="H72">
        <v>59</v>
      </c>
    </row>
    <row r="73" spans="2:8" x14ac:dyDescent="0.3">
      <c r="B73" t="s">
        <v>291</v>
      </c>
      <c r="C73" t="s">
        <v>134</v>
      </c>
      <c r="D73" t="s">
        <v>292</v>
      </c>
      <c r="E73">
        <v>8791</v>
      </c>
      <c r="F73">
        <v>8666</v>
      </c>
      <c r="G73">
        <v>7510</v>
      </c>
      <c r="H73">
        <v>7485</v>
      </c>
    </row>
    <row r="74" spans="2:8" x14ac:dyDescent="0.3">
      <c r="B74" t="s">
        <v>293</v>
      </c>
      <c r="C74" t="s">
        <v>134</v>
      </c>
      <c r="D74" t="s">
        <v>294</v>
      </c>
      <c r="E74">
        <v>806968</v>
      </c>
      <c r="F74">
        <v>790204</v>
      </c>
      <c r="G74">
        <v>797178</v>
      </c>
      <c r="H74">
        <v>809409</v>
      </c>
    </row>
    <row r="75" spans="2:8" x14ac:dyDescent="0.3">
      <c r="B75" t="s">
        <v>295</v>
      </c>
      <c r="C75" t="s">
        <v>134</v>
      </c>
      <c r="D75" t="s">
        <v>296</v>
      </c>
      <c r="E75">
        <v>38361</v>
      </c>
      <c r="F75">
        <v>34283</v>
      </c>
      <c r="G75">
        <v>31890</v>
      </c>
      <c r="H75">
        <v>29818</v>
      </c>
    </row>
    <row r="76" spans="2:8" x14ac:dyDescent="0.3">
      <c r="B76" t="s">
        <v>297</v>
      </c>
      <c r="C76" t="s">
        <v>134</v>
      </c>
      <c r="D76" t="s">
        <v>298</v>
      </c>
      <c r="E76">
        <v>152469</v>
      </c>
      <c r="F76">
        <v>152448</v>
      </c>
      <c r="G76">
        <v>158381</v>
      </c>
      <c r="H76">
        <v>154732</v>
      </c>
    </row>
    <row r="77" spans="2:8" x14ac:dyDescent="0.3">
      <c r="B77" t="s">
        <v>299</v>
      </c>
      <c r="C77" t="s">
        <v>134</v>
      </c>
      <c r="D77" t="s">
        <v>300</v>
      </c>
      <c r="E77">
        <v>154900</v>
      </c>
      <c r="F77">
        <v>155162</v>
      </c>
      <c r="G77">
        <v>154001</v>
      </c>
      <c r="H77">
        <v>158686</v>
      </c>
    </row>
    <row r="78" spans="2:8" x14ac:dyDescent="0.3">
      <c r="B78" t="s">
        <v>301</v>
      </c>
      <c r="C78" t="s">
        <v>134</v>
      </c>
      <c r="D78" t="s">
        <v>302</v>
      </c>
      <c r="E78">
        <v>47535</v>
      </c>
      <c r="F78">
        <v>40797</v>
      </c>
      <c r="G78">
        <v>46677</v>
      </c>
      <c r="H78">
        <v>44729</v>
      </c>
    </row>
    <row r="79" spans="2:8" x14ac:dyDescent="0.3">
      <c r="B79" t="s">
        <v>303</v>
      </c>
      <c r="C79" t="s">
        <v>134</v>
      </c>
      <c r="D79" t="s">
        <v>304</v>
      </c>
      <c r="E79">
        <v>190741</v>
      </c>
      <c r="F79">
        <v>187696</v>
      </c>
      <c r="G79">
        <v>199917</v>
      </c>
      <c r="H79">
        <v>205228</v>
      </c>
    </row>
    <row r="80" spans="2:8" x14ac:dyDescent="0.3">
      <c r="B80" t="s">
        <v>305</v>
      </c>
      <c r="C80" t="s">
        <v>134</v>
      </c>
      <c r="D80" t="s">
        <v>306</v>
      </c>
      <c r="E80">
        <v>75323</v>
      </c>
      <c r="F80">
        <v>76612</v>
      </c>
      <c r="G80">
        <v>78626</v>
      </c>
      <c r="H80">
        <v>90410</v>
      </c>
    </row>
    <row r="81" spans="2:8" x14ac:dyDescent="0.3">
      <c r="B81" t="s">
        <v>307</v>
      </c>
      <c r="C81" t="s">
        <v>134</v>
      </c>
      <c r="D81" t="s">
        <v>308</v>
      </c>
      <c r="E81">
        <v>74997</v>
      </c>
      <c r="F81">
        <v>70458</v>
      </c>
      <c r="G81">
        <v>68493</v>
      </c>
      <c r="H81">
        <v>68854</v>
      </c>
    </row>
    <row r="82" spans="2:8" x14ac:dyDescent="0.3">
      <c r="B82" t="s">
        <v>309</v>
      </c>
      <c r="C82" t="s">
        <v>134</v>
      </c>
      <c r="D82" t="s">
        <v>310</v>
      </c>
      <c r="E82">
        <v>31200</v>
      </c>
      <c r="F82">
        <v>31278</v>
      </c>
      <c r="G82">
        <v>32526</v>
      </c>
      <c r="H82">
        <v>31920</v>
      </c>
    </row>
    <row r="83" spans="2:8" x14ac:dyDescent="0.3">
      <c r="B83" t="s">
        <v>311</v>
      </c>
      <c r="C83" t="s">
        <v>134</v>
      </c>
      <c r="D83" t="s">
        <v>312</v>
      </c>
      <c r="E83">
        <v>41442</v>
      </c>
      <c r="F83">
        <v>41470</v>
      </c>
      <c r="G83">
        <v>26666</v>
      </c>
      <c r="H83">
        <v>25032</v>
      </c>
    </row>
    <row r="84" spans="2:8" x14ac:dyDescent="0.3">
      <c r="B84" t="s">
        <v>313</v>
      </c>
      <c r="C84" t="s">
        <v>134</v>
      </c>
      <c r="D84" t="s">
        <v>314</v>
      </c>
      <c r="E84" t="s">
        <v>152</v>
      </c>
      <c r="F84" t="s">
        <v>152</v>
      </c>
      <c r="G84" t="s">
        <v>152</v>
      </c>
      <c r="H84" t="s">
        <v>152</v>
      </c>
    </row>
    <row r="85" spans="2:8" x14ac:dyDescent="0.3">
      <c r="B85" t="s">
        <v>315</v>
      </c>
      <c r="C85" t="s">
        <v>134</v>
      </c>
      <c r="D85" t="s">
        <v>316</v>
      </c>
      <c r="E85">
        <v>258455</v>
      </c>
      <c r="F85">
        <v>317531</v>
      </c>
      <c r="G85">
        <v>247636</v>
      </c>
      <c r="H85">
        <v>272377</v>
      </c>
    </row>
    <row r="86" spans="2:8" x14ac:dyDescent="0.3">
      <c r="B86" t="s">
        <v>317</v>
      </c>
      <c r="C86" t="s">
        <v>134</v>
      </c>
      <c r="D86" t="s">
        <v>318</v>
      </c>
      <c r="E86">
        <v>7280</v>
      </c>
      <c r="F86">
        <v>7943</v>
      </c>
      <c r="G86">
        <v>6503</v>
      </c>
      <c r="H86">
        <v>7039</v>
      </c>
    </row>
    <row r="87" spans="2:8" x14ac:dyDescent="0.3">
      <c r="B87" t="s">
        <v>319</v>
      </c>
      <c r="C87" t="s">
        <v>134</v>
      </c>
      <c r="D87" t="s">
        <v>320</v>
      </c>
      <c r="E87">
        <v>27761</v>
      </c>
      <c r="F87">
        <v>31159</v>
      </c>
      <c r="G87">
        <v>28561</v>
      </c>
      <c r="H87">
        <v>33540</v>
      </c>
    </row>
    <row r="88" spans="2:8" x14ac:dyDescent="0.3">
      <c r="B88" t="s">
        <v>321</v>
      </c>
      <c r="C88" t="s">
        <v>134</v>
      </c>
      <c r="D88" t="s">
        <v>322</v>
      </c>
      <c r="E88">
        <v>4200</v>
      </c>
      <c r="F88">
        <v>4254</v>
      </c>
      <c r="G88">
        <v>4608</v>
      </c>
      <c r="H88">
        <v>3739</v>
      </c>
    </row>
    <row r="89" spans="2:8" x14ac:dyDescent="0.3">
      <c r="B89" t="s">
        <v>323</v>
      </c>
      <c r="C89" t="s">
        <v>134</v>
      </c>
      <c r="D89" t="s">
        <v>324</v>
      </c>
      <c r="E89">
        <v>11809</v>
      </c>
      <c r="F89">
        <v>13560</v>
      </c>
      <c r="G89">
        <v>11938</v>
      </c>
      <c r="H89">
        <v>11904</v>
      </c>
    </row>
    <row r="90" spans="2:8" x14ac:dyDescent="0.3">
      <c r="B90" t="s">
        <v>325</v>
      </c>
      <c r="C90" t="s">
        <v>134</v>
      </c>
      <c r="D90" t="s">
        <v>326</v>
      </c>
      <c r="E90">
        <v>14620</v>
      </c>
      <c r="F90">
        <v>12946</v>
      </c>
      <c r="G90">
        <v>14101</v>
      </c>
      <c r="H90">
        <v>17564</v>
      </c>
    </row>
    <row r="91" spans="2:8" x14ac:dyDescent="0.3">
      <c r="B91" t="s">
        <v>327</v>
      </c>
      <c r="C91" t="s">
        <v>134</v>
      </c>
      <c r="D91" t="s">
        <v>328</v>
      </c>
      <c r="E91">
        <v>19422</v>
      </c>
      <c r="F91">
        <v>21429</v>
      </c>
      <c r="G91">
        <v>22847</v>
      </c>
      <c r="H91">
        <v>24703</v>
      </c>
    </row>
    <row r="92" spans="2:8" x14ac:dyDescent="0.3">
      <c r="B92" t="s">
        <v>329</v>
      </c>
      <c r="C92" t="s">
        <v>134</v>
      </c>
      <c r="D92" t="s">
        <v>330</v>
      </c>
      <c r="E92">
        <v>8838</v>
      </c>
      <c r="F92">
        <v>6072</v>
      </c>
      <c r="G92">
        <v>8189</v>
      </c>
      <c r="H92">
        <v>6686</v>
      </c>
    </row>
    <row r="93" spans="2:8" x14ac:dyDescent="0.3">
      <c r="B93" t="s">
        <v>331</v>
      </c>
      <c r="C93" t="s">
        <v>134</v>
      </c>
      <c r="D93" t="s">
        <v>332</v>
      </c>
      <c r="E93">
        <v>30863</v>
      </c>
      <c r="F93">
        <v>42097</v>
      </c>
      <c r="G93">
        <v>30794</v>
      </c>
      <c r="H93">
        <v>30177</v>
      </c>
    </row>
    <row r="94" spans="2:8" x14ac:dyDescent="0.3">
      <c r="B94" t="s">
        <v>333</v>
      </c>
      <c r="C94" t="s">
        <v>134</v>
      </c>
      <c r="D94" t="s">
        <v>334</v>
      </c>
      <c r="E94">
        <v>132199</v>
      </c>
      <c r="F94">
        <v>176682</v>
      </c>
      <c r="G94">
        <v>118464</v>
      </c>
      <c r="H94">
        <v>135743</v>
      </c>
    </row>
    <row r="95" spans="2:8" x14ac:dyDescent="0.3">
      <c r="B95" t="s">
        <v>335</v>
      </c>
      <c r="C95" t="s">
        <v>134</v>
      </c>
      <c r="D95" t="s">
        <v>336</v>
      </c>
      <c r="E95">
        <v>1462</v>
      </c>
      <c r="F95">
        <v>1389</v>
      </c>
      <c r="G95">
        <v>1632</v>
      </c>
      <c r="H95">
        <v>1282</v>
      </c>
    </row>
    <row r="96" spans="2:8" x14ac:dyDescent="0.3">
      <c r="B96" t="s">
        <v>337</v>
      </c>
      <c r="C96" t="s">
        <v>134</v>
      </c>
      <c r="D96" t="s">
        <v>338</v>
      </c>
      <c r="E96">
        <v>-5501</v>
      </c>
      <c r="F96">
        <v>-6421</v>
      </c>
      <c r="G96">
        <v>-5091</v>
      </c>
      <c r="H96">
        <v>-5261</v>
      </c>
    </row>
    <row r="97" spans="2:8" x14ac:dyDescent="0.3">
      <c r="B97" t="s">
        <v>339</v>
      </c>
      <c r="C97" t="s">
        <v>134</v>
      </c>
      <c r="D97" t="s">
        <v>340</v>
      </c>
      <c r="E97">
        <v>-328</v>
      </c>
      <c r="F97">
        <v>-435</v>
      </c>
      <c r="G97">
        <v>-478</v>
      </c>
      <c r="H97">
        <v>-434</v>
      </c>
    </row>
    <row r="98" spans="2:8" x14ac:dyDescent="0.3">
      <c r="B98" t="s">
        <v>341</v>
      </c>
      <c r="C98" t="s">
        <v>134</v>
      </c>
      <c r="D98" t="s">
        <v>342</v>
      </c>
      <c r="E98">
        <v>-1431</v>
      </c>
      <c r="F98">
        <v>-1124</v>
      </c>
      <c r="G98">
        <v>-1101</v>
      </c>
      <c r="H98">
        <v>-975</v>
      </c>
    </row>
    <row r="99" spans="2:8" x14ac:dyDescent="0.3">
      <c r="B99" t="s">
        <v>343</v>
      </c>
      <c r="C99" t="s">
        <v>134</v>
      </c>
      <c r="D99" t="s">
        <v>344</v>
      </c>
      <c r="E99">
        <v>-1023</v>
      </c>
      <c r="F99">
        <v>-945</v>
      </c>
      <c r="G99">
        <v>-481</v>
      </c>
      <c r="H99">
        <v>-696</v>
      </c>
    </row>
    <row r="100" spans="2:8" x14ac:dyDescent="0.3">
      <c r="B100" t="s">
        <v>345</v>
      </c>
      <c r="C100" t="s">
        <v>134</v>
      </c>
      <c r="D100" t="s">
        <v>346</v>
      </c>
      <c r="E100">
        <v>888</v>
      </c>
      <c r="F100">
        <v>114</v>
      </c>
      <c r="G100">
        <v>348</v>
      </c>
      <c r="H100">
        <v>337</v>
      </c>
    </row>
    <row r="101" spans="2:8" x14ac:dyDescent="0.3">
      <c r="B101" t="s">
        <v>347</v>
      </c>
      <c r="C101" t="s">
        <v>134</v>
      </c>
      <c r="D101" t="s">
        <v>348</v>
      </c>
      <c r="E101">
        <v>-2703</v>
      </c>
      <c r="F101">
        <v>-3093</v>
      </c>
      <c r="G101">
        <v>-2755</v>
      </c>
      <c r="H101">
        <v>-2612</v>
      </c>
    </row>
    <row r="102" spans="2:8" x14ac:dyDescent="0.3">
      <c r="B102" t="s">
        <v>349</v>
      </c>
      <c r="C102" t="s">
        <v>134</v>
      </c>
      <c r="D102" t="s">
        <v>350</v>
      </c>
      <c r="E102">
        <v>-721</v>
      </c>
      <c r="F102">
        <v>-660</v>
      </c>
      <c r="G102">
        <v>-531</v>
      </c>
      <c r="H102">
        <v>-615</v>
      </c>
    </row>
    <row r="103" spans="2:8" x14ac:dyDescent="0.3">
      <c r="B103" t="s">
        <v>351</v>
      </c>
      <c r="C103" t="s">
        <v>134</v>
      </c>
      <c r="D103" t="s">
        <v>352</v>
      </c>
      <c r="E103">
        <v>-153</v>
      </c>
      <c r="F103">
        <v>-119</v>
      </c>
      <c r="G103">
        <v>-41</v>
      </c>
      <c r="H103">
        <v>-53</v>
      </c>
    </row>
    <row r="104" spans="2:8" x14ac:dyDescent="0.3">
      <c r="B104" t="s">
        <v>353</v>
      </c>
      <c r="C104" t="s">
        <v>134</v>
      </c>
      <c r="D104" t="s">
        <v>354</v>
      </c>
      <c r="E104">
        <v>88</v>
      </c>
      <c r="F104">
        <v>-122</v>
      </c>
      <c r="G104">
        <v>-205</v>
      </c>
      <c r="H104">
        <v>-189</v>
      </c>
    </row>
    <row r="105" spans="2:8" x14ac:dyDescent="0.3">
      <c r="B105" t="s">
        <v>355</v>
      </c>
      <c r="C105" t="s">
        <v>134</v>
      </c>
      <c r="D105" t="s">
        <v>356</v>
      </c>
      <c r="E105">
        <v>-118</v>
      </c>
      <c r="F105">
        <v>-37</v>
      </c>
      <c r="G105">
        <v>153</v>
      </c>
      <c r="H105">
        <v>-22</v>
      </c>
    </row>
    <row r="106" spans="2:8" x14ac:dyDescent="0.3">
      <c r="B106" t="s">
        <v>357</v>
      </c>
      <c r="C106" t="s">
        <v>134</v>
      </c>
      <c r="D106" t="s">
        <v>358</v>
      </c>
      <c r="E106" t="s">
        <v>152</v>
      </c>
      <c r="F106" t="s">
        <v>152</v>
      </c>
      <c r="G106" t="s">
        <v>152</v>
      </c>
      <c r="H106" t="s">
        <v>152</v>
      </c>
    </row>
    <row r="107" spans="2:8" x14ac:dyDescent="0.3">
      <c r="B107" t="s">
        <v>359</v>
      </c>
      <c r="C107" t="s">
        <v>134</v>
      </c>
      <c r="D107" t="s">
        <v>360</v>
      </c>
      <c r="E107">
        <v>1206</v>
      </c>
      <c r="F107">
        <v>1727</v>
      </c>
      <c r="G107">
        <v>24456</v>
      </c>
      <c r="H107">
        <v>71547</v>
      </c>
    </row>
    <row r="108" spans="2:8" x14ac:dyDescent="0.3">
      <c r="B108" t="s">
        <v>361</v>
      </c>
      <c r="C108" t="s">
        <v>134</v>
      </c>
      <c r="D108" t="s">
        <v>362</v>
      </c>
      <c r="E108">
        <v>1</v>
      </c>
      <c r="F108">
        <v>6</v>
      </c>
      <c r="G108">
        <v>528</v>
      </c>
      <c r="H108">
        <v>1598</v>
      </c>
    </row>
    <row r="109" spans="2:8" x14ac:dyDescent="0.3">
      <c r="B109" t="s">
        <v>363</v>
      </c>
      <c r="C109" t="s">
        <v>134</v>
      </c>
      <c r="D109" t="s">
        <v>364</v>
      </c>
      <c r="E109">
        <v>28</v>
      </c>
      <c r="F109">
        <v>85</v>
      </c>
      <c r="G109">
        <v>644</v>
      </c>
      <c r="H109">
        <v>1775</v>
      </c>
    </row>
    <row r="110" spans="2:8" x14ac:dyDescent="0.3">
      <c r="B110" t="s">
        <v>365</v>
      </c>
      <c r="C110" t="s">
        <v>134</v>
      </c>
      <c r="D110" t="s">
        <v>366</v>
      </c>
      <c r="E110">
        <v>27</v>
      </c>
      <c r="F110">
        <v>30</v>
      </c>
      <c r="G110">
        <v>259</v>
      </c>
      <c r="H110">
        <v>752</v>
      </c>
    </row>
    <row r="111" spans="2:8" x14ac:dyDescent="0.3">
      <c r="B111" t="s">
        <v>367</v>
      </c>
      <c r="C111" t="s">
        <v>134</v>
      </c>
      <c r="D111" t="s">
        <v>368</v>
      </c>
      <c r="E111" t="s">
        <v>152</v>
      </c>
      <c r="F111" t="s">
        <v>152</v>
      </c>
      <c r="G111">
        <v>21</v>
      </c>
      <c r="H111">
        <v>1686</v>
      </c>
    </row>
    <row r="112" spans="2:8" x14ac:dyDescent="0.3">
      <c r="B112" t="s">
        <v>369</v>
      </c>
      <c r="C112" t="s">
        <v>134</v>
      </c>
      <c r="D112" t="s">
        <v>370</v>
      </c>
      <c r="E112">
        <v>92</v>
      </c>
      <c r="F112">
        <v>154</v>
      </c>
      <c r="G112">
        <v>1808</v>
      </c>
      <c r="H112">
        <v>15336</v>
      </c>
    </row>
    <row r="113" spans="2:8" x14ac:dyDescent="0.3">
      <c r="B113" t="s">
        <v>371</v>
      </c>
      <c r="C113" t="s">
        <v>134</v>
      </c>
      <c r="D113" t="s">
        <v>372</v>
      </c>
      <c r="E113" t="s">
        <v>152</v>
      </c>
      <c r="F113" t="s">
        <v>152</v>
      </c>
      <c r="G113">
        <v>73</v>
      </c>
      <c r="H113">
        <v>1073</v>
      </c>
    </row>
    <row r="114" spans="2:8" x14ac:dyDescent="0.3">
      <c r="B114" t="s">
        <v>373</v>
      </c>
      <c r="C114" t="s">
        <v>134</v>
      </c>
      <c r="D114" t="s">
        <v>374</v>
      </c>
      <c r="E114">
        <v>8</v>
      </c>
      <c r="F114">
        <v>29</v>
      </c>
      <c r="G114">
        <v>401</v>
      </c>
      <c r="H114">
        <v>4580</v>
      </c>
    </row>
    <row r="115" spans="2:8" x14ac:dyDescent="0.3">
      <c r="B115" t="s">
        <v>375</v>
      </c>
      <c r="C115" t="s">
        <v>134</v>
      </c>
      <c r="D115" t="s">
        <v>376</v>
      </c>
      <c r="E115">
        <v>282</v>
      </c>
      <c r="F115">
        <v>559</v>
      </c>
      <c r="G115">
        <v>5930</v>
      </c>
      <c r="H115">
        <v>15346</v>
      </c>
    </row>
    <row r="116" spans="2:8" x14ac:dyDescent="0.3">
      <c r="B116" t="s">
        <v>377</v>
      </c>
      <c r="C116" t="s">
        <v>134</v>
      </c>
      <c r="D116" t="s">
        <v>378</v>
      </c>
      <c r="E116">
        <v>765</v>
      </c>
      <c r="F116">
        <v>862</v>
      </c>
      <c r="G116">
        <v>14736</v>
      </c>
      <c r="H116">
        <v>29134</v>
      </c>
    </row>
    <row r="117" spans="2:8" x14ac:dyDescent="0.3">
      <c r="B117" t="s">
        <v>379</v>
      </c>
      <c r="C117" t="s">
        <v>134</v>
      </c>
      <c r="D117" t="s">
        <v>380</v>
      </c>
      <c r="E117">
        <v>2</v>
      </c>
      <c r="F117">
        <v>4</v>
      </c>
      <c r="G117">
        <v>54</v>
      </c>
      <c r="H117">
        <v>268</v>
      </c>
    </row>
    <row r="118" spans="2:8" x14ac:dyDescent="0.3">
      <c r="B118" t="s">
        <v>381</v>
      </c>
      <c r="C118" t="s">
        <v>134</v>
      </c>
      <c r="D118" t="s">
        <v>382</v>
      </c>
      <c r="E118">
        <v>416</v>
      </c>
      <c r="F118">
        <v>921</v>
      </c>
      <c r="G118">
        <v>21229</v>
      </c>
      <c r="H118">
        <v>68330</v>
      </c>
    </row>
    <row r="119" spans="2:8" x14ac:dyDescent="0.3">
      <c r="B119" t="s">
        <v>383</v>
      </c>
      <c r="C119" t="s">
        <v>134</v>
      </c>
      <c r="D119" t="s">
        <v>384</v>
      </c>
      <c r="E119">
        <v>1</v>
      </c>
      <c r="F119">
        <v>6</v>
      </c>
      <c r="G119">
        <v>528</v>
      </c>
      <c r="H119">
        <v>1598</v>
      </c>
    </row>
    <row r="120" spans="2:8" x14ac:dyDescent="0.3">
      <c r="B120" t="s">
        <v>385</v>
      </c>
      <c r="C120" t="s">
        <v>134</v>
      </c>
      <c r="D120" t="s">
        <v>386</v>
      </c>
      <c r="E120">
        <v>28</v>
      </c>
      <c r="F120">
        <v>85</v>
      </c>
      <c r="G120">
        <v>644</v>
      </c>
      <c r="H120">
        <v>1775</v>
      </c>
    </row>
    <row r="121" spans="2:8" x14ac:dyDescent="0.3">
      <c r="B121" t="s">
        <v>387</v>
      </c>
      <c r="C121" t="s">
        <v>134</v>
      </c>
      <c r="D121" t="s">
        <v>388</v>
      </c>
      <c r="E121">
        <v>27</v>
      </c>
      <c r="F121">
        <v>30</v>
      </c>
      <c r="G121">
        <v>259</v>
      </c>
      <c r="H121">
        <v>752</v>
      </c>
    </row>
    <row r="122" spans="2:8" x14ac:dyDescent="0.3">
      <c r="B122" t="s">
        <v>389</v>
      </c>
      <c r="C122" t="s">
        <v>134</v>
      </c>
      <c r="D122" t="s">
        <v>390</v>
      </c>
      <c r="E122">
        <v>0</v>
      </c>
      <c r="F122">
        <v>0</v>
      </c>
      <c r="G122">
        <v>21</v>
      </c>
      <c r="H122">
        <v>1686</v>
      </c>
    </row>
    <row r="123" spans="2:8" x14ac:dyDescent="0.3">
      <c r="B123" t="s">
        <v>391</v>
      </c>
      <c r="C123" t="s">
        <v>134</v>
      </c>
      <c r="D123" t="s">
        <v>392</v>
      </c>
      <c r="E123">
        <v>92</v>
      </c>
      <c r="F123">
        <v>125</v>
      </c>
      <c r="G123">
        <v>1702</v>
      </c>
      <c r="H123">
        <v>15308</v>
      </c>
    </row>
    <row r="124" spans="2:8" x14ac:dyDescent="0.3">
      <c r="B124" t="s">
        <v>393</v>
      </c>
      <c r="C124" t="s">
        <v>134</v>
      </c>
      <c r="D124" t="s">
        <v>394</v>
      </c>
      <c r="E124">
        <v>0</v>
      </c>
      <c r="F124">
        <v>0</v>
      </c>
      <c r="G124">
        <v>73</v>
      </c>
      <c r="H124">
        <v>1073</v>
      </c>
    </row>
    <row r="125" spans="2:8" x14ac:dyDescent="0.3">
      <c r="B125" t="s">
        <v>395</v>
      </c>
      <c r="C125" t="s">
        <v>134</v>
      </c>
      <c r="D125" t="s">
        <v>396</v>
      </c>
      <c r="E125">
        <v>8</v>
      </c>
      <c r="F125">
        <v>29</v>
      </c>
      <c r="G125">
        <v>401</v>
      </c>
      <c r="H125">
        <v>4580</v>
      </c>
    </row>
    <row r="126" spans="2:8" x14ac:dyDescent="0.3">
      <c r="B126" t="s">
        <v>397</v>
      </c>
      <c r="C126" t="s">
        <v>134</v>
      </c>
      <c r="D126" t="s">
        <v>398</v>
      </c>
      <c r="E126">
        <v>147</v>
      </c>
      <c r="F126">
        <v>429</v>
      </c>
      <c r="G126">
        <v>5102</v>
      </c>
      <c r="H126">
        <v>14393</v>
      </c>
    </row>
    <row r="127" spans="2:8" x14ac:dyDescent="0.3">
      <c r="B127" t="s">
        <v>399</v>
      </c>
      <c r="C127" t="s">
        <v>134</v>
      </c>
      <c r="D127" t="s">
        <v>400</v>
      </c>
      <c r="E127">
        <v>112</v>
      </c>
      <c r="F127">
        <v>215</v>
      </c>
      <c r="G127">
        <v>12443</v>
      </c>
      <c r="H127">
        <v>26896</v>
      </c>
    </row>
    <row r="128" spans="2:8" x14ac:dyDescent="0.3">
      <c r="B128" t="s">
        <v>401</v>
      </c>
      <c r="C128" t="s">
        <v>134</v>
      </c>
      <c r="D128" t="s">
        <v>402</v>
      </c>
      <c r="E128">
        <v>2</v>
      </c>
      <c r="F128">
        <v>4</v>
      </c>
      <c r="G128">
        <v>54</v>
      </c>
      <c r="H128">
        <v>268</v>
      </c>
    </row>
    <row r="129" spans="2:8" x14ac:dyDescent="0.3">
      <c r="B129" t="s">
        <v>403</v>
      </c>
      <c r="C129" t="s">
        <v>134</v>
      </c>
      <c r="D129" t="s">
        <v>404</v>
      </c>
      <c r="E129">
        <v>789</v>
      </c>
      <c r="F129">
        <v>806</v>
      </c>
      <c r="G129">
        <v>3227</v>
      </c>
      <c r="H129">
        <v>3217</v>
      </c>
    </row>
    <row r="130" spans="2:8" x14ac:dyDescent="0.3">
      <c r="B130" t="s">
        <v>405</v>
      </c>
      <c r="C130" t="s">
        <v>134</v>
      </c>
      <c r="D130" t="s">
        <v>406</v>
      </c>
      <c r="E130">
        <v>0</v>
      </c>
      <c r="F130">
        <v>0</v>
      </c>
      <c r="G130">
        <v>0</v>
      </c>
      <c r="H130">
        <v>0</v>
      </c>
    </row>
    <row r="131" spans="2:8" x14ac:dyDescent="0.3">
      <c r="B131" t="s">
        <v>407</v>
      </c>
      <c r="C131" t="s">
        <v>134</v>
      </c>
      <c r="D131" t="s">
        <v>408</v>
      </c>
      <c r="E131">
        <v>0</v>
      </c>
      <c r="F131">
        <v>0</v>
      </c>
      <c r="G131">
        <v>0</v>
      </c>
      <c r="H131">
        <v>0</v>
      </c>
    </row>
    <row r="132" spans="2:8" x14ac:dyDescent="0.3">
      <c r="B132" t="s">
        <v>409</v>
      </c>
      <c r="C132" t="s">
        <v>134</v>
      </c>
      <c r="D132" t="s">
        <v>410</v>
      </c>
      <c r="E132">
        <v>0</v>
      </c>
      <c r="F132">
        <v>0</v>
      </c>
      <c r="G132">
        <v>0</v>
      </c>
      <c r="H132">
        <v>0</v>
      </c>
    </row>
    <row r="133" spans="2:8" x14ac:dyDescent="0.3">
      <c r="B133" t="s">
        <v>411</v>
      </c>
      <c r="C133" t="s">
        <v>134</v>
      </c>
      <c r="D133" t="s">
        <v>412</v>
      </c>
      <c r="E133">
        <v>0</v>
      </c>
      <c r="F133">
        <v>0</v>
      </c>
      <c r="G133">
        <v>0</v>
      </c>
      <c r="H133">
        <v>0</v>
      </c>
    </row>
    <row r="134" spans="2:8" x14ac:dyDescent="0.3">
      <c r="B134" t="s">
        <v>413</v>
      </c>
      <c r="C134" t="s">
        <v>134</v>
      </c>
      <c r="D134" t="s">
        <v>414</v>
      </c>
      <c r="E134">
        <v>0</v>
      </c>
      <c r="F134">
        <v>29</v>
      </c>
      <c r="G134">
        <v>106</v>
      </c>
      <c r="H134">
        <v>28</v>
      </c>
    </row>
    <row r="135" spans="2:8" x14ac:dyDescent="0.3">
      <c r="B135" t="s">
        <v>415</v>
      </c>
      <c r="C135" t="s">
        <v>134</v>
      </c>
      <c r="D135" t="s">
        <v>416</v>
      </c>
      <c r="E135">
        <v>0</v>
      </c>
      <c r="F135">
        <v>0</v>
      </c>
      <c r="G135">
        <v>0</v>
      </c>
      <c r="H135">
        <v>0</v>
      </c>
    </row>
    <row r="136" spans="2:8" x14ac:dyDescent="0.3">
      <c r="B136" t="s">
        <v>417</v>
      </c>
      <c r="C136" t="s">
        <v>134</v>
      </c>
      <c r="D136" t="s">
        <v>418</v>
      </c>
      <c r="E136">
        <v>0</v>
      </c>
      <c r="F136">
        <v>0</v>
      </c>
      <c r="G136">
        <v>0</v>
      </c>
      <c r="H136">
        <v>0</v>
      </c>
    </row>
    <row r="137" spans="2:8" x14ac:dyDescent="0.3">
      <c r="B137" t="s">
        <v>419</v>
      </c>
      <c r="C137" t="s">
        <v>134</v>
      </c>
      <c r="D137" t="s">
        <v>420</v>
      </c>
      <c r="E137">
        <v>136</v>
      </c>
      <c r="F137">
        <v>130</v>
      </c>
      <c r="G137">
        <v>828</v>
      </c>
      <c r="H137">
        <v>952</v>
      </c>
    </row>
    <row r="138" spans="2:8" x14ac:dyDescent="0.3">
      <c r="B138" t="s">
        <v>421</v>
      </c>
      <c r="C138" t="s">
        <v>134</v>
      </c>
      <c r="D138" t="s">
        <v>422</v>
      </c>
      <c r="E138">
        <v>654</v>
      </c>
      <c r="F138">
        <v>647</v>
      </c>
      <c r="G138">
        <v>2293</v>
      </c>
      <c r="H138">
        <v>2237</v>
      </c>
    </row>
    <row r="139" spans="2:8" x14ac:dyDescent="0.3">
      <c r="B139" t="s">
        <v>423</v>
      </c>
      <c r="C139" t="s">
        <v>134</v>
      </c>
      <c r="D139" t="s">
        <v>424</v>
      </c>
      <c r="E139">
        <v>0</v>
      </c>
      <c r="F139">
        <v>0</v>
      </c>
      <c r="G139">
        <v>0</v>
      </c>
      <c r="H139">
        <v>0</v>
      </c>
    </row>
    <row r="140" spans="2:8" x14ac:dyDescent="0.3">
      <c r="B140" t="s">
        <v>425</v>
      </c>
      <c r="C140" t="s">
        <v>134</v>
      </c>
      <c r="D140" t="s">
        <v>426</v>
      </c>
      <c r="E140">
        <v>94636</v>
      </c>
      <c r="F140">
        <v>120121</v>
      </c>
      <c r="G140">
        <v>190547</v>
      </c>
      <c r="H140">
        <v>299785</v>
      </c>
    </row>
    <row r="141" spans="2:8" x14ac:dyDescent="0.3">
      <c r="B141" t="s">
        <v>427</v>
      </c>
      <c r="C141" t="s">
        <v>134</v>
      </c>
      <c r="D141" t="s">
        <v>428</v>
      </c>
      <c r="E141">
        <v>612</v>
      </c>
      <c r="F141">
        <v>861</v>
      </c>
      <c r="G141">
        <v>2234</v>
      </c>
      <c r="H141">
        <v>3627</v>
      </c>
    </row>
    <row r="142" spans="2:8" x14ac:dyDescent="0.3">
      <c r="B142" t="s">
        <v>429</v>
      </c>
      <c r="C142" t="s">
        <v>134</v>
      </c>
      <c r="D142" t="s">
        <v>430</v>
      </c>
      <c r="E142">
        <v>4463</v>
      </c>
      <c r="F142">
        <v>4633</v>
      </c>
      <c r="G142">
        <v>7349</v>
      </c>
      <c r="H142">
        <v>8413</v>
      </c>
    </row>
    <row r="143" spans="2:8" x14ac:dyDescent="0.3">
      <c r="B143" t="s">
        <v>431</v>
      </c>
      <c r="C143" t="s">
        <v>134</v>
      </c>
      <c r="D143" t="s">
        <v>432</v>
      </c>
      <c r="E143">
        <v>8847</v>
      </c>
      <c r="F143">
        <v>11338</v>
      </c>
      <c r="G143">
        <v>22804</v>
      </c>
      <c r="H143">
        <v>29422</v>
      </c>
    </row>
    <row r="144" spans="2:8" x14ac:dyDescent="0.3">
      <c r="B144" t="s">
        <v>433</v>
      </c>
      <c r="C144" t="s">
        <v>134</v>
      </c>
      <c r="D144" t="s">
        <v>434</v>
      </c>
      <c r="E144">
        <v>24170</v>
      </c>
      <c r="F144">
        <v>31261</v>
      </c>
      <c r="G144">
        <v>51835</v>
      </c>
      <c r="H144">
        <v>83107</v>
      </c>
    </row>
    <row r="145" spans="2:8" x14ac:dyDescent="0.3">
      <c r="B145" t="s">
        <v>435</v>
      </c>
      <c r="C145" t="s">
        <v>134</v>
      </c>
      <c r="D145" t="s">
        <v>436</v>
      </c>
      <c r="E145">
        <v>943</v>
      </c>
      <c r="F145">
        <v>1373</v>
      </c>
      <c r="G145">
        <v>1811</v>
      </c>
      <c r="H145">
        <v>2838</v>
      </c>
    </row>
    <row r="146" spans="2:8" x14ac:dyDescent="0.3">
      <c r="B146" t="s">
        <v>437</v>
      </c>
      <c r="C146" t="s">
        <v>134</v>
      </c>
      <c r="D146" t="s">
        <v>438</v>
      </c>
      <c r="E146">
        <v>41</v>
      </c>
      <c r="F146">
        <v>53</v>
      </c>
      <c r="G146">
        <v>46</v>
      </c>
      <c r="H146">
        <v>41</v>
      </c>
    </row>
    <row r="147" spans="2:8" x14ac:dyDescent="0.3">
      <c r="B147" t="s">
        <v>439</v>
      </c>
      <c r="C147" t="s">
        <v>134</v>
      </c>
      <c r="D147" t="s">
        <v>440</v>
      </c>
      <c r="E147">
        <v>30059</v>
      </c>
      <c r="F147">
        <v>36153</v>
      </c>
      <c r="G147">
        <v>58834</v>
      </c>
      <c r="H147">
        <v>113246</v>
      </c>
    </row>
    <row r="148" spans="2:8" x14ac:dyDescent="0.3">
      <c r="B148" t="s">
        <v>441</v>
      </c>
      <c r="C148" t="s">
        <v>134</v>
      </c>
      <c r="D148" t="s">
        <v>442</v>
      </c>
      <c r="E148">
        <v>10484</v>
      </c>
      <c r="F148">
        <v>15305</v>
      </c>
      <c r="G148">
        <v>18935</v>
      </c>
      <c r="H148">
        <v>28489</v>
      </c>
    </row>
    <row r="149" spans="2:8" x14ac:dyDescent="0.3">
      <c r="B149" t="s">
        <v>443</v>
      </c>
      <c r="C149" t="s">
        <v>134</v>
      </c>
      <c r="D149" t="s">
        <v>444</v>
      </c>
      <c r="E149">
        <v>14743</v>
      </c>
      <c r="F149">
        <v>18790</v>
      </c>
      <c r="G149">
        <v>25927</v>
      </c>
      <c r="H149">
        <v>29852</v>
      </c>
    </row>
    <row r="150" spans="2:8" x14ac:dyDescent="0.3">
      <c r="B150" t="s">
        <v>445</v>
      </c>
      <c r="C150" t="s">
        <v>134</v>
      </c>
      <c r="D150" t="s">
        <v>446</v>
      </c>
      <c r="E150">
        <v>274</v>
      </c>
      <c r="F150">
        <v>353</v>
      </c>
      <c r="G150">
        <v>772</v>
      </c>
      <c r="H150">
        <v>749</v>
      </c>
    </row>
    <row r="151" spans="2:8" x14ac:dyDescent="0.3">
      <c r="B151" t="s">
        <v>447</v>
      </c>
      <c r="C151" t="s">
        <v>134</v>
      </c>
      <c r="D151" t="s">
        <v>448</v>
      </c>
      <c r="E151">
        <v>27822</v>
      </c>
      <c r="F151">
        <v>26722</v>
      </c>
      <c r="G151">
        <v>32386</v>
      </c>
      <c r="H151">
        <v>28753</v>
      </c>
    </row>
    <row r="152" spans="2:8" x14ac:dyDescent="0.3">
      <c r="B152" t="s">
        <v>449</v>
      </c>
      <c r="C152" t="s">
        <v>134</v>
      </c>
      <c r="D152" t="s">
        <v>450</v>
      </c>
      <c r="E152">
        <v>5729</v>
      </c>
      <c r="F152">
        <v>5059</v>
      </c>
      <c r="G152">
        <v>6029</v>
      </c>
      <c r="H152">
        <v>5095</v>
      </c>
    </row>
    <row r="153" spans="2:8" x14ac:dyDescent="0.3">
      <c r="B153" t="s">
        <v>451</v>
      </c>
      <c r="C153" t="s">
        <v>134</v>
      </c>
      <c r="D153" t="s">
        <v>452</v>
      </c>
      <c r="E153">
        <v>4302</v>
      </c>
      <c r="F153">
        <v>4067</v>
      </c>
      <c r="G153">
        <v>4297</v>
      </c>
      <c r="H153">
        <v>3677</v>
      </c>
    </row>
    <row r="154" spans="2:8" x14ac:dyDescent="0.3">
      <c r="B154" t="s">
        <v>453</v>
      </c>
      <c r="C154" t="s">
        <v>134</v>
      </c>
      <c r="D154" t="s">
        <v>454</v>
      </c>
      <c r="E154">
        <v>3567</v>
      </c>
      <c r="F154">
        <v>3876</v>
      </c>
      <c r="G154">
        <v>3929</v>
      </c>
      <c r="H154">
        <v>3637</v>
      </c>
    </row>
    <row r="155" spans="2:8" x14ac:dyDescent="0.3">
      <c r="B155" t="s">
        <v>455</v>
      </c>
      <c r="C155" t="s">
        <v>134</v>
      </c>
      <c r="D155" t="s">
        <v>456</v>
      </c>
      <c r="E155">
        <v>1617</v>
      </c>
      <c r="F155">
        <v>1434</v>
      </c>
      <c r="G155">
        <v>1574</v>
      </c>
      <c r="H155">
        <v>961</v>
      </c>
    </row>
    <row r="156" spans="2:8" x14ac:dyDescent="0.3">
      <c r="B156" t="s">
        <v>457</v>
      </c>
      <c r="C156" t="s">
        <v>134</v>
      </c>
      <c r="D156" t="s">
        <v>458</v>
      </c>
      <c r="E156">
        <v>5314</v>
      </c>
      <c r="F156">
        <v>5508</v>
      </c>
      <c r="G156">
        <v>8288</v>
      </c>
      <c r="H156">
        <v>8390</v>
      </c>
    </row>
    <row r="157" spans="2:8" x14ac:dyDescent="0.3">
      <c r="B157" t="s">
        <v>459</v>
      </c>
      <c r="C157" t="s">
        <v>134</v>
      </c>
      <c r="D157" t="s">
        <v>460</v>
      </c>
      <c r="E157">
        <v>374</v>
      </c>
      <c r="F157">
        <v>355</v>
      </c>
      <c r="G157">
        <v>437</v>
      </c>
      <c r="H157">
        <v>316</v>
      </c>
    </row>
    <row r="158" spans="2:8" x14ac:dyDescent="0.3">
      <c r="B158" t="s">
        <v>461</v>
      </c>
      <c r="C158" t="s">
        <v>134</v>
      </c>
      <c r="D158" t="s">
        <v>462</v>
      </c>
      <c r="E158">
        <v>548</v>
      </c>
      <c r="F158">
        <v>688</v>
      </c>
      <c r="G158">
        <v>1050</v>
      </c>
      <c r="H158">
        <v>623</v>
      </c>
    </row>
    <row r="159" spans="2:8" x14ac:dyDescent="0.3">
      <c r="B159" t="s">
        <v>463</v>
      </c>
      <c r="C159" t="s">
        <v>134</v>
      </c>
      <c r="D159" t="s">
        <v>464</v>
      </c>
      <c r="E159">
        <v>387</v>
      </c>
      <c r="F159">
        <v>417</v>
      </c>
      <c r="G159">
        <v>638</v>
      </c>
      <c r="H159">
        <v>651</v>
      </c>
    </row>
    <row r="160" spans="2:8" x14ac:dyDescent="0.3">
      <c r="B160" t="s">
        <v>465</v>
      </c>
      <c r="C160" t="s">
        <v>134</v>
      </c>
      <c r="D160" t="s">
        <v>466</v>
      </c>
      <c r="E160">
        <v>5981</v>
      </c>
      <c r="F160">
        <v>5279</v>
      </c>
      <c r="G160">
        <v>6090</v>
      </c>
      <c r="H160">
        <v>5296</v>
      </c>
    </row>
    <row r="161" spans="2:8" x14ac:dyDescent="0.3">
      <c r="B161" t="s">
        <v>467</v>
      </c>
      <c r="C161" t="s">
        <v>134</v>
      </c>
      <c r="D161" t="s">
        <v>468</v>
      </c>
      <c r="E161">
        <v>2</v>
      </c>
      <c r="F161">
        <v>39</v>
      </c>
      <c r="G161">
        <v>52</v>
      </c>
      <c r="H161">
        <v>107</v>
      </c>
    </row>
    <row r="162" spans="2:8" x14ac:dyDescent="0.3">
      <c r="B162" t="s">
        <v>469</v>
      </c>
      <c r="C162" t="s">
        <v>134</v>
      </c>
      <c r="D162" t="s">
        <v>470</v>
      </c>
      <c r="E162">
        <v>15219</v>
      </c>
      <c r="F162">
        <v>15316</v>
      </c>
      <c r="G162">
        <v>15918</v>
      </c>
      <c r="H162">
        <v>15569</v>
      </c>
    </row>
    <row r="163" spans="2:8" x14ac:dyDescent="0.3">
      <c r="B163" t="s">
        <v>471</v>
      </c>
      <c r="C163" t="s">
        <v>134</v>
      </c>
      <c r="D163" t="s">
        <v>472</v>
      </c>
      <c r="E163" t="s">
        <v>152</v>
      </c>
      <c r="F163" t="s">
        <v>152</v>
      </c>
      <c r="G163" t="s">
        <v>152</v>
      </c>
      <c r="H163" t="s">
        <v>152</v>
      </c>
    </row>
    <row r="164" spans="2:8" x14ac:dyDescent="0.3">
      <c r="B164" t="s">
        <v>473</v>
      </c>
      <c r="C164" t="s">
        <v>134</v>
      </c>
      <c r="D164" t="s">
        <v>474</v>
      </c>
      <c r="E164" t="s">
        <v>152</v>
      </c>
      <c r="F164" t="s">
        <v>152</v>
      </c>
      <c r="G164" t="s">
        <v>152</v>
      </c>
      <c r="H164" t="s">
        <v>152</v>
      </c>
    </row>
    <row r="165" spans="2:8" x14ac:dyDescent="0.3">
      <c r="B165" t="s">
        <v>475</v>
      </c>
      <c r="C165" t="s">
        <v>134</v>
      </c>
      <c r="D165" t="s">
        <v>476</v>
      </c>
      <c r="E165" t="s">
        <v>152</v>
      </c>
      <c r="F165" t="s">
        <v>152</v>
      </c>
      <c r="G165" t="s">
        <v>152</v>
      </c>
      <c r="H165" t="s">
        <v>152</v>
      </c>
    </row>
    <row r="166" spans="2:8" x14ac:dyDescent="0.3">
      <c r="B166" t="s">
        <v>477</v>
      </c>
      <c r="C166" t="s">
        <v>134</v>
      </c>
      <c r="D166" t="s">
        <v>478</v>
      </c>
      <c r="E166" t="s">
        <v>152</v>
      </c>
      <c r="F166" t="s">
        <v>152</v>
      </c>
      <c r="G166" t="s">
        <v>152</v>
      </c>
      <c r="H166" t="s">
        <v>152</v>
      </c>
    </row>
    <row r="167" spans="2:8" x14ac:dyDescent="0.3">
      <c r="B167" t="s">
        <v>479</v>
      </c>
      <c r="C167" t="s">
        <v>134</v>
      </c>
      <c r="D167" t="s">
        <v>480</v>
      </c>
      <c r="E167" t="s">
        <v>152</v>
      </c>
      <c r="F167" t="s">
        <v>152</v>
      </c>
      <c r="G167" t="s">
        <v>152</v>
      </c>
      <c r="H167" t="s">
        <v>152</v>
      </c>
    </row>
    <row r="168" spans="2:8" x14ac:dyDescent="0.3">
      <c r="B168" t="s">
        <v>481</v>
      </c>
      <c r="C168" t="s">
        <v>134</v>
      </c>
      <c r="D168" t="s">
        <v>482</v>
      </c>
      <c r="E168" t="s">
        <v>152</v>
      </c>
      <c r="F168" t="s">
        <v>152</v>
      </c>
      <c r="G168" t="s">
        <v>152</v>
      </c>
      <c r="H168" t="s">
        <v>152</v>
      </c>
    </row>
    <row r="169" spans="2:8" x14ac:dyDescent="0.3">
      <c r="B169" t="s">
        <v>483</v>
      </c>
      <c r="C169" t="s">
        <v>134</v>
      </c>
      <c r="D169" t="s">
        <v>484</v>
      </c>
      <c r="E169" t="s">
        <v>152</v>
      </c>
      <c r="F169" t="s">
        <v>152</v>
      </c>
      <c r="G169" t="s">
        <v>152</v>
      </c>
      <c r="H169" t="s">
        <v>152</v>
      </c>
    </row>
    <row r="170" spans="2:8" x14ac:dyDescent="0.3">
      <c r="B170" t="s">
        <v>485</v>
      </c>
      <c r="C170" t="s">
        <v>134</v>
      </c>
      <c r="D170" t="s">
        <v>486</v>
      </c>
      <c r="E170">
        <v>2419</v>
      </c>
      <c r="F170">
        <v>2540</v>
      </c>
      <c r="G170">
        <v>3625</v>
      </c>
      <c r="H170">
        <v>3902</v>
      </c>
    </row>
    <row r="171" spans="2:8" x14ac:dyDescent="0.3">
      <c r="B171" t="s">
        <v>487</v>
      </c>
      <c r="C171" t="s">
        <v>134</v>
      </c>
      <c r="D171" t="s">
        <v>488</v>
      </c>
      <c r="E171">
        <v>12600</v>
      </c>
      <c r="F171">
        <v>12552</v>
      </c>
      <c r="G171">
        <v>12062</v>
      </c>
      <c r="H171">
        <v>11559</v>
      </c>
    </row>
    <row r="172" spans="2:8" x14ac:dyDescent="0.3">
      <c r="B172" t="s">
        <v>489</v>
      </c>
      <c r="C172" t="s">
        <v>134</v>
      </c>
      <c r="D172" t="s">
        <v>490</v>
      </c>
      <c r="E172">
        <v>201</v>
      </c>
      <c r="F172">
        <v>224</v>
      </c>
      <c r="G172">
        <v>230</v>
      </c>
      <c r="H172">
        <v>108</v>
      </c>
    </row>
    <row r="177" spans="2:8" x14ac:dyDescent="0.3">
      <c r="B177" t="s">
        <v>491</v>
      </c>
      <c r="C177" t="s">
        <v>134</v>
      </c>
      <c r="D177" t="s">
        <v>492</v>
      </c>
      <c r="E177">
        <v>6808</v>
      </c>
      <c r="F177">
        <v>7663</v>
      </c>
      <c r="G177">
        <v>7396</v>
      </c>
      <c r="H177">
        <v>7708</v>
      </c>
    </row>
    <row r="178" spans="2:8" x14ac:dyDescent="0.3">
      <c r="B178" t="s">
        <v>493</v>
      </c>
      <c r="C178" t="s">
        <v>134</v>
      </c>
      <c r="D178" t="s">
        <v>494</v>
      </c>
      <c r="E178">
        <v>1749</v>
      </c>
      <c r="F178">
        <v>1888</v>
      </c>
      <c r="G178">
        <v>1617</v>
      </c>
      <c r="H178">
        <v>1716</v>
      </c>
    </row>
    <row r="179" spans="2:8" x14ac:dyDescent="0.3">
      <c r="B179" t="s">
        <v>495</v>
      </c>
      <c r="C179" t="s">
        <v>134</v>
      </c>
      <c r="D179" t="s">
        <v>496</v>
      </c>
      <c r="E179">
        <v>1852</v>
      </c>
      <c r="F179">
        <v>1975</v>
      </c>
      <c r="G179">
        <v>1888</v>
      </c>
      <c r="H179">
        <v>1892</v>
      </c>
    </row>
    <row r="180" spans="2:8" x14ac:dyDescent="0.3">
      <c r="B180" t="s">
        <v>497</v>
      </c>
      <c r="C180" t="s">
        <v>134</v>
      </c>
      <c r="D180" t="s">
        <v>498</v>
      </c>
      <c r="E180">
        <v>228</v>
      </c>
      <c r="F180">
        <v>296</v>
      </c>
      <c r="G180">
        <v>203</v>
      </c>
      <c r="H180">
        <v>114</v>
      </c>
    </row>
    <row r="181" spans="2:8" x14ac:dyDescent="0.3">
      <c r="B181" t="s">
        <v>499</v>
      </c>
      <c r="C181" t="s">
        <v>134</v>
      </c>
      <c r="D181" t="s">
        <v>500</v>
      </c>
      <c r="E181">
        <v>289</v>
      </c>
      <c r="F181">
        <v>363</v>
      </c>
      <c r="G181">
        <v>405</v>
      </c>
      <c r="H181">
        <v>331</v>
      </c>
    </row>
    <row r="182" spans="2:8" x14ac:dyDescent="0.3">
      <c r="B182" t="s">
        <v>501</v>
      </c>
      <c r="C182" t="s">
        <v>134</v>
      </c>
      <c r="D182" t="s">
        <v>502</v>
      </c>
      <c r="E182">
        <v>1816</v>
      </c>
      <c r="F182">
        <v>2183</v>
      </c>
      <c r="G182">
        <v>2334</v>
      </c>
      <c r="H182">
        <v>2714</v>
      </c>
    </row>
    <row r="183" spans="2:8" x14ac:dyDescent="0.3">
      <c r="B183" t="s">
        <v>503</v>
      </c>
      <c r="C183" t="s">
        <v>134</v>
      </c>
      <c r="D183" t="s">
        <v>504</v>
      </c>
      <c r="E183">
        <v>16</v>
      </c>
      <c r="F183">
        <v>9</v>
      </c>
      <c r="G183">
        <v>52</v>
      </c>
      <c r="H183">
        <v>47</v>
      </c>
    </row>
    <row r="184" spans="2:8" x14ac:dyDescent="0.3">
      <c r="B184" t="s">
        <v>505</v>
      </c>
      <c r="C184" t="s">
        <v>134</v>
      </c>
      <c r="D184" t="s">
        <v>506</v>
      </c>
      <c r="E184">
        <v>0</v>
      </c>
      <c r="F184">
        <v>0</v>
      </c>
      <c r="G184">
        <v>91</v>
      </c>
      <c r="H184">
        <v>87</v>
      </c>
    </row>
    <row r="185" spans="2:8" x14ac:dyDescent="0.3">
      <c r="B185" t="s">
        <v>507</v>
      </c>
      <c r="C185" t="s">
        <v>134</v>
      </c>
      <c r="D185" t="s">
        <v>508</v>
      </c>
      <c r="E185">
        <v>322</v>
      </c>
      <c r="F185">
        <v>405</v>
      </c>
      <c r="G185">
        <v>320</v>
      </c>
      <c r="H185">
        <v>385</v>
      </c>
    </row>
    <row r="186" spans="2:8" x14ac:dyDescent="0.3">
      <c r="B186" t="s">
        <v>509</v>
      </c>
      <c r="C186" t="s">
        <v>134</v>
      </c>
      <c r="D186" t="s">
        <v>510</v>
      </c>
      <c r="E186">
        <v>309</v>
      </c>
      <c r="F186">
        <v>332</v>
      </c>
      <c r="G186">
        <v>301</v>
      </c>
      <c r="H186">
        <v>255</v>
      </c>
    </row>
    <row r="187" spans="2:8" x14ac:dyDescent="0.3">
      <c r="B187" t="s">
        <v>511</v>
      </c>
      <c r="C187" t="s">
        <v>134</v>
      </c>
      <c r="D187" t="s">
        <v>512</v>
      </c>
      <c r="E187">
        <v>227</v>
      </c>
      <c r="F187">
        <v>211</v>
      </c>
      <c r="G187">
        <v>185</v>
      </c>
      <c r="H187">
        <v>168</v>
      </c>
    </row>
    <row r="188" spans="2:8" x14ac:dyDescent="0.3">
      <c r="B188" t="s">
        <v>513</v>
      </c>
      <c r="C188" t="s">
        <v>134</v>
      </c>
      <c r="D188" t="s">
        <v>514</v>
      </c>
      <c r="E188">
        <v>138883</v>
      </c>
      <c r="F188">
        <v>163886</v>
      </c>
      <c r="G188">
        <v>263306</v>
      </c>
      <c r="H188">
        <v>415654</v>
      </c>
    </row>
    <row r="189" spans="2:8" x14ac:dyDescent="0.3">
      <c r="B189" t="s">
        <v>515</v>
      </c>
      <c r="C189" t="s">
        <v>134</v>
      </c>
      <c r="D189" t="s">
        <v>516</v>
      </c>
      <c r="E189">
        <v>6342</v>
      </c>
      <c r="F189">
        <v>5926</v>
      </c>
      <c r="G189">
        <v>8791</v>
      </c>
      <c r="H189">
        <v>10321</v>
      </c>
    </row>
    <row r="190" spans="2:8" x14ac:dyDescent="0.3">
      <c r="B190" t="s">
        <v>517</v>
      </c>
      <c r="C190" t="s">
        <v>134</v>
      </c>
      <c r="D190" t="s">
        <v>518</v>
      </c>
      <c r="E190">
        <v>8793</v>
      </c>
      <c r="F190">
        <v>8785</v>
      </c>
      <c r="G190">
        <v>12290</v>
      </c>
      <c r="H190">
        <v>13865</v>
      </c>
    </row>
    <row r="191" spans="2:8" x14ac:dyDescent="0.3">
      <c r="B191" t="s">
        <v>519</v>
      </c>
      <c r="C191" t="s">
        <v>134</v>
      </c>
      <c r="D191" t="s">
        <v>520</v>
      </c>
      <c r="E191">
        <v>12441</v>
      </c>
      <c r="F191">
        <v>15244</v>
      </c>
      <c r="G191">
        <v>26992</v>
      </c>
      <c r="H191">
        <v>33811</v>
      </c>
    </row>
    <row r="192" spans="2:8" x14ac:dyDescent="0.3">
      <c r="B192" t="s">
        <v>521</v>
      </c>
      <c r="C192" t="s">
        <v>134</v>
      </c>
      <c r="D192" t="s">
        <v>522</v>
      </c>
      <c r="E192">
        <v>25787</v>
      </c>
      <c r="F192">
        <v>32696</v>
      </c>
      <c r="G192">
        <v>53430</v>
      </c>
      <c r="H192">
        <v>85754</v>
      </c>
    </row>
    <row r="193" spans="2:8" x14ac:dyDescent="0.3">
      <c r="B193" t="s">
        <v>523</v>
      </c>
      <c r="C193" t="s">
        <v>134</v>
      </c>
      <c r="D193" t="s">
        <v>524</v>
      </c>
      <c r="E193">
        <v>6349</v>
      </c>
      <c r="F193">
        <v>7036</v>
      </c>
      <c r="G193">
        <v>11907</v>
      </c>
      <c r="H193">
        <v>26563</v>
      </c>
    </row>
    <row r="194" spans="2:8" x14ac:dyDescent="0.3">
      <c r="B194" t="s">
        <v>525</v>
      </c>
      <c r="C194" t="s">
        <v>134</v>
      </c>
      <c r="D194" t="s">
        <v>526</v>
      </c>
      <c r="E194">
        <v>415</v>
      </c>
      <c r="F194">
        <v>408</v>
      </c>
      <c r="G194">
        <v>556</v>
      </c>
      <c r="H194">
        <v>1430</v>
      </c>
    </row>
    <row r="195" spans="2:8" x14ac:dyDescent="0.3">
      <c r="B195" t="s">
        <v>527</v>
      </c>
      <c r="C195" t="s">
        <v>134</v>
      </c>
      <c r="D195" t="s">
        <v>528</v>
      </c>
      <c r="E195">
        <v>30616</v>
      </c>
      <c r="F195">
        <v>36870</v>
      </c>
      <c r="G195">
        <v>60285</v>
      </c>
      <c r="H195">
        <v>118449</v>
      </c>
    </row>
    <row r="196" spans="2:8" x14ac:dyDescent="0.3">
      <c r="B196" t="s">
        <v>529</v>
      </c>
      <c r="C196" t="s">
        <v>134</v>
      </c>
      <c r="D196" t="s">
        <v>530</v>
      </c>
      <c r="E196">
        <v>13573</v>
      </c>
      <c r="F196">
        <v>18821</v>
      </c>
      <c r="G196">
        <v>29129</v>
      </c>
      <c r="H196">
        <v>48387</v>
      </c>
    </row>
    <row r="197" spans="2:8" x14ac:dyDescent="0.3">
      <c r="B197" t="s">
        <v>531</v>
      </c>
      <c r="C197" t="s">
        <v>134</v>
      </c>
      <c r="D197" t="s">
        <v>532</v>
      </c>
      <c r="E197">
        <v>34090</v>
      </c>
      <c r="F197">
        <v>37482</v>
      </c>
      <c r="G197">
        <v>58815</v>
      </c>
      <c r="H197">
        <v>75840</v>
      </c>
    </row>
    <row r="198" spans="2:8" x14ac:dyDescent="0.3">
      <c r="B198" t="s">
        <v>533</v>
      </c>
      <c r="C198" t="s">
        <v>134</v>
      </c>
      <c r="D198" t="s">
        <v>534</v>
      </c>
      <c r="E198">
        <v>478</v>
      </c>
      <c r="F198">
        <v>619</v>
      </c>
      <c r="G198">
        <v>1110</v>
      </c>
      <c r="H198">
        <v>1232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036D69-C94E-414E-83F9-966A961AE435}"/>
</file>

<file path=customXml/itemProps2.xml><?xml version="1.0" encoding="utf-8"?>
<ds:datastoreItem xmlns:ds="http://schemas.openxmlformats.org/officeDocument/2006/customXml" ds:itemID="{1496379C-3C2F-47EF-A89C-72D7B9457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onSets</vt:lpstr>
      <vt:lpstr>onTechs</vt:lpstr>
      <vt:lpstr>cofire data</vt:lpstr>
      <vt:lpstr>NetGenbyRegion</vt:lpstr>
      <vt:lpstr>NetGenRawData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VikrantBaliyan</dc:creator>
  <cp:lastModifiedBy>Lenox, Carol</cp:lastModifiedBy>
  <dcterms:created xsi:type="dcterms:W3CDTF">2016-03-11T09:26:02Z</dcterms:created>
  <dcterms:modified xsi:type="dcterms:W3CDTF">2020-08-24T20:12:18Z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746347367763519</vt:r8>
  </property>
  <property fmtid="{D5CDD505-2E9C-101B-9397-08002B2CF9AE}" pid="3" name="WorkbookGuid">
    <vt:lpwstr>bd135eca-0842-4581-9172-e45b9f7535e0</vt:lpwstr>
  </property>
</Properties>
</file>