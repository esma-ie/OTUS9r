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M:\TIMES workbooks\Workbooks_18.1.0\"/>
    </mc:Choice>
  </mc:AlternateContent>
  <bookViews>
    <workbookView xWindow="120" yWindow="48" windowWidth="28560" windowHeight="14640"/>
  </bookViews>
  <sheets>
    <sheet name="INS" sheetId="2" r:id="rId1"/>
    <sheet name="UPD" sheetId="11" r:id="rId2"/>
    <sheet name="ELC data" sheetId="9" r:id="rId3"/>
    <sheet name="NGCap" sheetId="12" r:id="rId4"/>
    <sheet name="NGExpansion" sheetId="13" r:id="rId5"/>
    <sheet name="NG data" sheetId="7" r:id="rId6"/>
  </sheets>
  <externalReferences>
    <externalReference r:id="rId7"/>
  </externalReferences>
  <calcPr calcId="171027"/>
</workbook>
</file>

<file path=xl/calcChain.xml><?xml version="1.0" encoding="utf-8"?>
<calcChain xmlns="http://schemas.openxmlformats.org/spreadsheetml/2006/main">
  <c r="Q15" i="2" l="1"/>
  <c r="Q27" i="2" s="1"/>
  <c r="Q14" i="2"/>
  <c r="Q26" i="2" s="1"/>
  <c r="Q13" i="2"/>
  <c r="Q25" i="2" s="1"/>
  <c r="P12" i="2"/>
  <c r="P24" i="2" s="1"/>
  <c r="P11" i="2"/>
  <c r="P23" i="2" s="1"/>
  <c r="O10" i="2"/>
  <c r="O22" i="2" s="1"/>
  <c r="O9" i="2"/>
  <c r="O21" i="2" s="1"/>
  <c r="N8" i="2"/>
  <c r="M7" i="2"/>
  <c r="M19" i="2" s="1"/>
  <c r="L6" i="2"/>
  <c r="L5" i="2"/>
  <c r="K4" i="2"/>
  <c r="K16" i="2" s="1"/>
  <c r="L4" i="12"/>
  <c r="L5" i="12"/>
  <c r="L6" i="12"/>
  <c r="L7" i="12"/>
  <c r="L8" i="12"/>
  <c r="L9" i="12"/>
  <c r="L10" i="12"/>
  <c r="L11" i="12"/>
  <c r="L12" i="12"/>
  <c r="L13" i="12"/>
  <c r="L14" i="12"/>
  <c r="L15" i="12"/>
  <c r="L16" i="12"/>
  <c r="L17" i="12"/>
  <c r="L18" i="12"/>
  <c r="L19" i="12"/>
  <c r="L20" i="12"/>
  <c r="L21" i="12"/>
  <c r="L23" i="12"/>
  <c r="L24" i="12"/>
  <c r="L25" i="12"/>
  <c r="L26" i="12"/>
  <c r="L27" i="12"/>
  <c r="L3" i="12"/>
  <c r="B16" i="12"/>
  <c r="C16" i="12"/>
  <c r="D16" i="12"/>
  <c r="E16" i="12"/>
  <c r="F16" i="12"/>
  <c r="G16" i="12"/>
  <c r="H16" i="12"/>
  <c r="I16" i="12"/>
  <c r="J16" i="12"/>
  <c r="K16" i="12"/>
  <c r="B11" i="12"/>
  <c r="C11" i="12"/>
  <c r="D11" i="12"/>
  <c r="E11" i="12"/>
  <c r="F11" i="12"/>
  <c r="G11" i="12"/>
  <c r="H11" i="12"/>
  <c r="I11" i="12"/>
  <c r="J11" i="12"/>
  <c r="K11" i="12"/>
  <c r="B13" i="12"/>
  <c r="C13" i="12"/>
  <c r="D13" i="12"/>
  <c r="E13" i="12"/>
  <c r="F13" i="12"/>
  <c r="G13" i="12"/>
  <c r="H13" i="12"/>
  <c r="I13" i="12"/>
  <c r="J13" i="12"/>
  <c r="K13" i="12"/>
  <c r="B9" i="12"/>
  <c r="C9" i="12"/>
  <c r="D9" i="12"/>
  <c r="E9" i="12"/>
  <c r="F9" i="12"/>
  <c r="G9" i="12"/>
  <c r="H9" i="12"/>
  <c r="I9" i="12"/>
  <c r="J9" i="12"/>
  <c r="K9" i="12"/>
  <c r="D29" i="12"/>
  <c r="K29" i="12"/>
  <c r="K10" i="12"/>
  <c r="K8" i="12"/>
  <c r="K7" i="12"/>
  <c r="K6" i="12"/>
  <c r="K5" i="12"/>
  <c r="K4" i="12"/>
  <c r="C29" i="12"/>
  <c r="E29" i="12"/>
  <c r="F29" i="12"/>
  <c r="G29" i="12"/>
  <c r="H29" i="12"/>
  <c r="I29" i="12"/>
  <c r="J29" i="12"/>
  <c r="B29" i="12"/>
  <c r="K27" i="12"/>
  <c r="J27" i="12"/>
  <c r="I27" i="12"/>
  <c r="H27" i="12"/>
  <c r="G27" i="12"/>
  <c r="F27" i="12"/>
  <c r="E27" i="12"/>
  <c r="D27" i="12"/>
  <c r="C27" i="12"/>
  <c r="B27" i="12"/>
  <c r="K26" i="12"/>
  <c r="J26" i="12"/>
  <c r="I26" i="12"/>
  <c r="H26" i="12"/>
  <c r="G26" i="12"/>
  <c r="F26" i="12"/>
  <c r="E26" i="12"/>
  <c r="D26" i="12"/>
  <c r="C26" i="12"/>
  <c r="B26" i="12"/>
  <c r="K25" i="12"/>
  <c r="J25" i="12"/>
  <c r="I25" i="12"/>
  <c r="H25" i="12"/>
  <c r="G25" i="12"/>
  <c r="F25" i="12"/>
  <c r="E25" i="12"/>
  <c r="D25" i="12"/>
  <c r="C25" i="12"/>
  <c r="B25" i="12"/>
  <c r="K24" i="12"/>
  <c r="J24" i="12"/>
  <c r="I24" i="12"/>
  <c r="H24" i="12"/>
  <c r="G24" i="12"/>
  <c r="F24" i="12"/>
  <c r="E24" i="12"/>
  <c r="D24" i="12"/>
  <c r="C24" i="12"/>
  <c r="B24" i="12"/>
  <c r="K23" i="12"/>
  <c r="J23" i="12"/>
  <c r="I23" i="12"/>
  <c r="H23" i="12"/>
  <c r="G23" i="12"/>
  <c r="F23" i="12"/>
  <c r="E23" i="12"/>
  <c r="D23" i="12"/>
  <c r="C23" i="12"/>
  <c r="B23" i="12"/>
  <c r="B7" i="12"/>
  <c r="C7" i="12"/>
  <c r="D7" i="12"/>
  <c r="E7" i="12"/>
  <c r="F7" i="12"/>
  <c r="G7" i="12"/>
  <c r="H7" i="12"/>
  <c r="I7" i="12"/>
  <c r="J7" i="12"/>
  <c r="B8" i="12"/>
  <c r="C8" i="12"/>
  <c r="D8" i="12"/>
  <c r="E8" i="12"/>
  <c r="F8" i="12"/>
  <c r="G8" i="12"/>
  <c r="H8" i="12"/>
  <c r="I8" i="12"/>
  <c r="J8" i="12"/>
  <c r="B10" i="12"/>
  <c r="C10" i="12"/>
  <c r="D10" i="12"/>
  <c r="E10" i="12"/>
  <c r="F10" i="12"/>
  <c r="G10" i="12"/>
  <c r="H10" i="12"/>
  <c r="I10" i="12"/>
  <c r="J10" i="12"/>
  <c r="B12" i="12"/>
  <c r="C12" i="12"/>
  <c r="D12" i="12"/>
  <c r="E12" i="12"/>
  <c r="F12" i="12"/>
  <c r="G12" i="12"/>
  <c r="H12" i="12"/>
  <c r="I12" i="12"/>
  <c r="J12" i="12"/>
  <c r="K12" i="12"/>
  <c r="B14" i="12"/>
  <c r="C14" i="12"/>
  <c r="D14" i="12"/>
  <c r="E14" i="12"/>
  <c r="F14" i="12"/>
  <c r="G14" i="12"/>
  <c r="H14" i="12"/>
  <c r="I14" i="12"/>
  <c r="J14" i="12"/>
  <c r="K14" i="12"/>
  <c r="B15" i="12"/>
  <c r="C15" i="12"/>
  <c r="D15" i="12"/>
  <c r="E15" i="12"/>
  <c r="F15" i="12"/>
  <c r="G15" i="12"/>
  <c r="H15" i="12"/>
  <c r="I15" i="12"/>
  <c r="J15" i="12"/>
  <c r="K15" i="12"/>
  <c r="B17" i="12"/>
  <c r="C17" i="12"/>
  <c r="D17" i="12"/>
  <c r="E17" i="12"/>
  <c r="F17" i="12"/>
  <c r="G17" i="12"/>
  <c r="H17" i="12"/>
  <c r="I17" i="12"/>
  <c r="J17" i="12"/>
  <c r="K17" i="12"/>
  <c r="B18" i="12"/>
  <c r="C18" i="12"/>
  <c r="D18" i="12"/>
  <c r="E18" i="12"/>
  <c r="F18" i="12"/>
  <c r="G18" i="12"/>
  <c r="H18" i="12"/>
  <c r="I18" i="12"/>
  <c r="J18" i="12"/>
  <c r="K18" i="12"/>
  <c r="B19" i="12"/>
  <c r="C19" i="12"/>
  <c r="D19" i="12"/>
  <c r="E19" i="12"/>
  <c r="F19" i="12"/>
  <c r="G19" i="12"/>
  <c r="H19" i="12"/>
  <c r="I19" i="12"/>
  <c r="J19" i="12"/>
  <c r="K19" i="12"/>
  <c r="B20" i="12"/>
  <c r="C20" i="12"/>
  <c r="D20" i="12"/>
  <c r="E20" i="12"/>
  <c r="F20" i="12"/>
  <c r="G20" i="12"/>
  <c r="H20" i="12"/>
  <c r="I20" i="12"/>
  <c r="J20" i="12"/>
  <c r="K20" i="12"/>
  <c r="B21" i="12"/>
  <c r="C21" i="12"/>
  <c r="D21" i="12"/>
  <c r="E21" i="12"/>
  <c r="F21" i="12"/>
  <c r="G21" i="12"/>
  <c r="H21" i="12"/>
  <c r="I21" i="12"/>
  <c r="J21" i="12"/>
  <c r="K21" i="12"/>
  <c r="B6" i="12"/>
  <c r="C6" i="12"/>
  <c r="D6" i="12"/>
  <c r="E6" i="12"/>
  <c r="F6" i="12"/>
  <c r="G6" i="12"/>
  <c r="H6" i="12"/>
  <c r="I6" i="12"/>
  <c r="J6" i="12"/>
  <c r="B5" i="12"/>
  <c r="C5" i="12"/>
  <c r="D5" i="12"/>
  <c r="E5" i="12"/>
  <c r="F5" i="12"/>
  <c r="G5" i="12"/>
  <c r="H5" i="12"/>
  <c r="I5" i="12"/>
  <c r="J5" i="12"/>
  <c r="B4" i="12"/>
  <c r="C4" i="12"/>
  <c r="D4" i="12"/>
  <c r="E4" i="12"/>
  <c r="F4" i="12"/>
  <c r="G4" i="12"/>
  <c r="H4" i="12"/>
  <c r="I4" i="12"/>
  <c r="J4" i="12"/>
  <c r="C3" i="12"/>
  <c r="D3" i="12"/>
  <c r="E3" i="12"/>
  <c r="F3" i="12"/>
  <c r="G3" i="12"/>
  <c r="H3" i="12"/>
  <c r="I3" i="12"/>
  <c r="J3" i="12"/>
  <c r="K3" i="12"/>
  <c r="B3" i="12"/>
  <c r="C28" i="12" l="1"/>
  <c r="C30" i="12" s="1"/>
  <c r="B28" i="12"/>
  <c r="B30" i="12" s="1"/>
  <c r="I28" i="12"/>
  <c r="I30" i="12" s="1"/>
  <c r="F28" i="12"/>
  <c r="F30" i="12" s="1"/>
  <c r="J28" i="12"/>
  <c r="J30" i="12" s="1"/>
  <c r="H28" i="12"/>
  <c r="H30" i="12" s="1"/>
  <c r="G28" i="12"/>
  <c r="G30" i="12" s="1"/>
  <c r="E28" i="12"/>
  <c r="E30" i="12" s="1"/>
  <c r="D28" i="12"/>
  <c r="D30" i="12" s="1"/>
  <c r="K28" i="12"/>
  <c r="K30" i="12" s="1"/>
  <c r="M39" i="12"/>
  <c r="M40" i="12"/>
  <c r="M49" i="12"/>
  <c r="M50" i="12"/>
  <c r="M54" i="12"/>
  <c r="M55" i="12"/>
  <c r="M56" i="12"/>
  <c r="M57" i="12"/>
  <c r="M61" i="12"/>
  <c r="M62" i="12"/>
  <c r="M67" i="12"/>
  <c r="M72" i="12"/>
  <c r="M73" i="12"/>
  <c r="M76" i="12"/>
  <c r="M79" i="12"/>
  <c r="M80" i="12"/>
  <c r="M81" i="12"/>
  <c r="M84" i="12"/>
  <c r="M87" i="12"/>
  <c r="M90" i="12"/>
  <c r="M91" i="12"/>
  <c r="M92" i="12"/>
  <c r="K19" i="7"/>
  <c r="K18" i="7"/>
  <c r="K17" i="7"/>
  <c r="G90" i="13"/>
  <c r="E90" i="13"/>
  <c r="G89" i="13"/>
  <c r="E89" i="13"/>
  <c r="K79" i="13"/>
  <c r="J79" i="13"/>
  <c r="I79" i="13"/>
  <c r="M79" i="13" s="1"/>
  <c r="H79" i="13"/>
  <c r="K78" i="13"/>
  <c r="J78" i="13"/>
  <c r="H78" i="13"/>
  <c r="I78" i="13" s="1"/>
  <c r="M78" i="13" s="1"/>
  <c r="K77" i="13"/>
  <c r="J77" i="13"/>
  <c r="H77" i="13"/>
  <c r="I77" i="13" s="1"/>
  <c r="M77" i="13" s="1"/>
  <c r="K76" i="13"/>
  <c r="J76" i="13"/>
  <c r="I76" i="13"/>
  <c r="M76" i="13" s="1"/>
  <c r="H76" i="13"/>
  <c r="K75" i="13"/>
  <c r="J75" i="13"/>
  <c r="H75" i="13"/>
  <c r="I75" i="13" s="1"/>
  <c r="M75" i="13" s="1"/>
  <c r="M74" i="13"/>
  <c r="K74" i="13"/>
  <c r="J74" i="13"/>
  <c r="I74" i="13"/>
  <c r="H74" i="13"/>
  <c r="K73" i="13"/>
  <c r="J73" i="13"/>
  <c r="H73" i="13"/>
  <c r="I73" i="13" s="1"/>
  <c r="M73" i="13" s="1"/>
  <c r="K72" i="13"/>
  <c r="J72" i="13"/>
  <c r="I72" i="13"/>
  <c r="M72" i="13" s="1"/>
  <c r="H72" i="13"/>
  <c r="K71" i="13"/>
  <c r="J71" i="13"/>
  <c r="H71" i="13"/>
  <c r="I71" i="13" s="1"/>
  <c r="M71" i="13" s="1"/>
  <c r="K70" i="13"/>
  <c r="J70" i="13"/>
  <c r="I70" i="13"/>
  <c r="M70" i="13" s="1"/>
  <c r="H70" i="13"/>
  <c r="K69" i="13"/>
  <c r="J69" i="13"/>
  <c r="H69" i="13"/>
  <c r="I69" i="13" s="1"/>
  <c r="M69" i="13" s="1"/>
  <c r="K68" i="13"/>
  <c r="J68" i="13"/>
  <c r="I68" i="13"/>
  <c r="M68" i="13" s="1"/>
  <c r="H68" i="13"/>
  <c r="K67" i="13"/>
  <c r="J67" i="13"/>
  <c r="H67" i="13"/>
  <c r="I67" i="13" s="1"/>
  <c r="M67" i="13" s="1"/>
  <c r="M66" i="13"/>
  <c r="K66" i="13"/>
  <c r="J66" i="13"/>
  <c r="I66" i="13"/>
  <c r="H66" i="13"/>
  <c r="K65" i="13"/>
  <c r="J65" i="13"/>
  <c r="H65" i="13"/>
  <c r="I65" i="13" s="1"/>
  <c r="M65" i="13" s="1"/>
  <c r="K64" i="13"/>
  <c r="J64" i="13"/>
  <c r="I64" i="13"/>
  <c r="M64" i="13" s="1"/>
  <c r="H64" i="13"/>
  <c r="K63" i="13"/>
  <c r="J63" i="13"/>
  <c r="H63" i="13"/>
  <c r="I63" i="13" s="1"/>
  <c r="M63" i="13" s="1"/>
  <c r="K62" i="13"/>
  <c r="J62" i="13"/>
  <c r="I62" i="13"/>
  <c r="M62" i="13" s="1"/>
  <c r="H62" i="13"/>
  <c r="K61" i="13"/>
  <c r="J61" i="13"/>
  <c r="H61" i="13"/>
  <c r="I61" i="13" s="1"/>
  <c r="M61" i="13" s="1"/>
  <c r="K60" i="13"/>
  <c r="J60" i="13"/>
  <c r="I60" i="13"/>
  <c r="M60" i="13" s="1"/>
  <c r="H60" i="13"/>
  <c r="K59" i="13"/>
  <c r="J59" i="13"/>
  <c r="H59" i="13"/>
  <c r="I59" i="13" s="1"/>
  <c r="M59" i="13" s="1"/>
  <c r="M58" i="13"/>
  <c r="K58" i="13"/>
  <c r="J58" i="13"/>
  <c r="I58" i="13"/>
  <c r="H58" i="13"/>
  <c r="K57" i="13"/>
  <c r="J57" i="13"/>
  <c r="H57" i="13"/>
  <c r="I57" i="13" s="1"/>
  <c r="M57" i="13" s="1"/>
  <c r="K56" i="13"/>
  <c r="J56" i="13"/>
  <c r="I56" i="13"/>
  <c r="M56" i="13" s="1"/>
  <c r="H56" i="13"/>
  <c r="K55" i="13"/>
  <c r="J55" i="13"/>
  <c r="H55" i="13"/>
  <c r="I55" i="13" s="1"/>
  <c r="M55" i="13" s="1"/>
  <c r="K54" i="13"/>
  <c r="J54" i="13"/>
  <c r="I54" i="13"/>
  <c r="M54" i="13" s="1"/>
  <c r="H54" i="13"/>
  <c r="K53" i="13"/>
  <c r="J53" i="13"/>
  <c r="H53" i="13"/>
  <c r="I53" i="13" s="1"/>
  <c r="M53" i="13" s="1"/>
  <c r="K52" i="13"/>
  <c r="J52" i="13"/>
  <c r="I52" i="13"/>
  <c r="M52" i="13" s="1"/>
  <c r="H52" i="13"/>
  <c r="K51" i="13"/>
  <c r="J51" i="13"/>
  <c r="H51" i="13"/>
  <c r="I51" i="13" s="1"/>
  <c r="M51" i="13" s="1"/>
  <c r="K50" i="13"/>
  <c r="J50" i="13"/>
  <c r="I50" i="13"/>
  <c r="M50" i="13" s="1"/>
  <c r="H50" i="13"/>
  <c r="K49" i="13"/>
  <c r="J49" i="13"/>
  <c r="H49" i="13"/>
  <c r="I49" i="13" s="1"/>
  <c r="M49" i="13" s="1"/>
  <c r="K48" i="13"/>
  <c r="J48" i="13"/>
  <c r="I48" i="13"/>
  <c r="M48" i="13" s="1"/>
  <c r="H48" i="13"/>
  <c r="K47" i="13"/>
  <c r="J47" i="13"/>
  <c r="H47" i="13"/>
  <c r="I47" i="13" s="1"/>
  <c r="M47" i="13" s="1"/>
  <c r="K46" i="13"/>
  <c r="J46" i="13"/>
  <c r="I46" i="13"/>
  <c r="M46" i="13" s="1"/>
  <c r="H46" i="13"/>
  <c r="K45" i="13"/>
  <c r="J45" i="13"/>
  <c r="H45" i="13"/>
  <c r="I45" i="13" s="1"/>
  <c r="M45" i="13" s="1"/>
  <c r="K44" i="13"/>
  <c r="J44" i="13"/>
  <c r="I44" i="13"/>
  <c r="M44" i="13" s="1"/>
  <c r="H44" i="13"/>
  <c r="K43" i="13"/>
  <c r="J43" i="13"/>
  <c r="H43" i="13"/>
  <c r="I43" i="13" s="1"/>
  <c r="M43" i="13" s="1"/>
  <c r="K42" i="13"/>
  <c r="J42" i="13"/>
  <c r="I42" i="13"/>
  <c r="M42" i="13" s="1"/>
  <c r="H42" i="13"/>
  <c r="K41" i="13"/>
  <c r="J41" i="13"/>
  <c r="H41" i="13"/>
  <c r="I41" i="13" s="1"/>
  <c r="M41" i="13" s="1"/>
  <c r="K6" i="7" l="1"/>
  <c r="K8" i="7"/>
  <c r="K7" i="7"/>
  <c r="K10" i="7"/>
  <c r="K9" i="7"/>
  <c r="R562" i="2" l="1"/>
  <c r="Q561" i="2"/>
  <c r="Q560" i="2"/>
  <c r="Q559" i="2"/>
  <c r="P558" i="2"/>
  <c r="P557" i="2"/>
  <c r="P556" i="2"/>
  <c r="P555" i="2"/>
  <c r="O554" i="2"/>
  <c r="O553" i="2"/>
  <c r="O552" i="2"/>
  <c r="O551" i="2"/>
  <c r="N550" i="2"/>
  <c r="N549" i="2"/>
  <c r="N548" i="2"/>
  <c r="M547" i="2"/>
  <c r="M546" i="2"/>
  <c r="M545" i="2"/>
  <c r="M544" i="2"/>
  <c r="L543" i="2"/>
  <c r="L542" i="2"/>
  <c r="L541" i="2"/>
  <c r="L540" i="2"/>
  <c r="L539" i="2"/>
  <c r="K538" i="2"/>
  <c r="K537" i="2"/>
  <c r="K536" i="2"/>
  <c r="J535" i="2"/>
  <c r="Q37" i="9"/>
  <c r="Q38" i="9"/>
  <c r="Q39" i="9"/>
  <c r="Q40" i="9"/>
  <c r="Q41" i="9"/>
  <c r="Q42" i="9"/>
  <c r="Q43" i="9"/>
  <c r="Q44" i="9"/>
  <c r="Q45" i="9"/>
  <c r="Q46" i="9"/>
  <c r="Q47" i="9"/>
  <c r="Q48" i="9"/>
  <c r="Q49" i="9"/>
  <c r="Q50" i="9"/>
  <c r="Q51" i="9"/>
  <c r="Q52" i="9"/>
  <c r="Q53" i="9"/>
  <c r="Q54" i="9"/>
  <c r="Q55" i="9"/>
  <c r="Q56" i="9"/>
  <c r="Q57" i="9"/>
  <c r="Q58" i="9"/>
  <c r="Q59" i="9"/>
  <c r="Q60" i="9"/>
  <c r="Q61" i="9"/>
  <c r="Q62" i="9"/>
  <c r="Q63" i="9"/>
  <c r="Q36" i="9"/>
  <c r="I182" i="2"/>
  <c r="I181" i="2"/>
  <c r="I180" i="2"/>
  <c r="I179" i="2"/>
  <c r="I178" i="2"/>
  <c r="I177" i="2"/>
  <c r="I176" i="2"/>
  <c r="I175" i="2"/>
  <c r="I174" i="2"/>
  <c r="R173" i="2"/>
  <c r="Q172" i="2"/>
  <c r="Q171" i="2"/>
  <c r="Q170" i="2"/>
  <c r="P169" i="2"/>
  <c r="P168" i="2"/>
  <c r="P167" i="2"/>
  <c r="P166" i="2"/>
  <c r="O165" i="2"/>
  <c r="O164" i="2"/>
  <c r="O163" i="2"/>
  <c r="O162" i="2"/>
  <c r="N161" i="2"/>
  <c r="N160" i="2"/>
  <c r="N159" i="2"/>
  <c r="M158" i="2"/>
  <c r="M157" i="2"/>
  <c r="M156" i="2"/>
  <c r="M155" i="2"/>
  <c r="L154" i="2"/>
  <c r="L153" i="2"/>
  <c r="L152" i="2"/>
  <c r="L151" i="2"/>
  <c r="L150" i="2"/>
  <c r="K149" i="2"/>
  <c r="K148" i="2"/>
  <c r="K147" i="2"/>
  <c r="J146" i="2"/>
  <c r="L71" i="9"/>
  <c r="L72" i="9"/>
  <c r="L73" i="9"/>
  <c r="L74" i="9"/>
  <c r="L75" i="9"/>
  <c r="L76" i="9"/>
  <c r="L77" i="9"/>
  <c r="L78" i="9"/>
  <c r="L70" i="9"/>
  <c r="L6" i="9"/>
  <c r="L7" i="9"/>
  <c r="L8" i="9"/>
  <c r="L9" i="9"/>
  <c r="L10" i="9"/>
  <c r="L11" i="9"/>
  <c r="L12" i="9"/>
  <c r="L13" i="9"/>
  <c r="L14" i="9"/>
  <c r="L15" i="9"/>
  <c r="L16" i="9"/>
  <c r="L17" i="9"/>
  <c r="L18" i="9"/>
  <c r="L19" i="9"/>
  <c r="L20" i="9"/>
  <c r="L21" i="9"/>
  <c r="L22" i="9"/>
  <c r="L23" i="9"/>
  <c r="L24" i="9"/>
  <c r="L25" i="9"/>
  <c r="L26" i="9"/>
  <c r="L27" i="9"/>
  <c r="L28" i="9"/>
  <c r="L29" i="9"/>
  <c r="L30" i="9"/>
  <c r="L31" i="9"/>
  <c r="L32" i="9"/>
  <c r="L5" i="9"/>
  <c r="K684" i="2"/>
  <c r="K685" i="2"/>
  <c r="K686" i="2"/>
  <c r="L687" i="2"/>
  <c r="L688" i="2"/>
  <c r="L689" i="2"/>
  <c r="L690" i="2"/>
  <c r="L691" i="2"/>
  <c r="M692" i="2"/>
  <c r="M693" i="2"/>
  <c r="M694" i="2"/>
  <c r="M695" i="2"/>
  <c r="N696" i="2"/>
  <c r="N697" i="2"/>
  <c r="N698" i="2"/>
  <c r="O699" i="2"/>
  <c r="O700" i="2"/>
  <c r="O701" i="2"/>
  <c r="O702" i="2"/>
  <c r="P703" i="2"/>
  <c r="P704" i="2"/>
  <c r="P705" i="2"/>
  <c r="P706" i="2"/>
  <c r="Q707" i="2"/>
  <c r="Q708" i="2"/>
  <c r="Q709" i="2"/>
  <c r="R710" i="2"/>
  <c r="J683" i="2"/>
  <c r="I571" i="2"/>
  <c r="I570" i="2"/>
  <c r="I569" i="2"/>
  <c r="I568" i="2"/>
  <c r="I567" i="2"/>
  <c r="I566" i="2"/>
  <c r="I565" i="2"/>
  <c r="I564" i="2"/>
  <c r="I563" i="2"/>
  <c r="I490" i="2"/>
  <c r="I491" i="2"/>
  <c r="I492" i="2"/>
  <c r="I493" i="2"/>
  <c r="I494" i="2"/>
  <c r="I495" i="2"/>
  <c r="I496" i="2"/>
  <c r="I497" i="2"/>
  <c r="I489" i="2"/>
  <c r="K462" i="2"/>
  <c r="K463" i="2"/>
  <c r="K464" i="2"/>
  <c r="L465" i="2"/>
  <c r="L466" i="2"/>
  <c r="L467" i="2"/>
  <c r="L468" i="2"/>
  <c r="L469" i="2"/>
  <c r="M470" i="2"/>
  <c r="M471" i="2"/>
  <c r="M472" i="2"/>
  <c r="M473" i="2"/>
  <c r="N474" i="2"/>
  <c r="N475" i="2"/>
  <c r="N476" i="2"/>
  <c r="O477" i="2"/>
  <c r="O478" i="2"/>
  <c r="O479" i="2"/>
  <c r="O480" i="2"/>
  <c r="P481" i="2"/>
  <c r="P482" i="2"/>
  <c r="P483" i="2"/>
  <c r="P484" i="2"/>
  <c r="Q485" i="2"/>
  <c r="Q486" i="2"/>
  <c r="Q487" i="2"/>
  <c r="R488" i="2"/>
  <c r="J461" i="2"/>
  <c r="K406" i="2"/>
  <c r="K407" i="2"/>
  <c r="K408" i="2"/>
  <c r="L409" i="2"/>
  <c r="L410" i="2"/>
  <c r="L411" i="2"/>
  <c r="L412" i="2"/>
  <c r="L413" i="2"/>
  <c r="M414" i="2"/>
  <c r="M415" i="2"/>
  <c r="M416" i="2"/>
  <c r="M417" i="2"/>
  <c r="N418" i="2"/>
  <c r="N419" i="2"/>
  <c r="N420" i="2"/>
  <c r="O421" i="2"/>
  <c r="O422" i="2"/>
  <c r="O423" i="2"/>
  <c r="O424" i="2"/>
  <c r="P425" i="2"/>
  <c r="P426" i="2"/>
  <c r="P427" i="2"/>
  <c r="P428" i="2"/>
  <c r="Q429" i="2"/>
  <c r="Q430" i="2"/>
  <c r="Q431" i="2"/>
  <c r="R432" i="2"/>
  <c r="J405" i="2"/>
</calcChain>
</file>

<file path=xl/comments1.xml><?xml version="1.0" encoding="utf-8"?>
<comments xmlns="http://schemas.openxmlformats.org/spreadsheetml/2006/main">
  <authors>
    <author>Maurizio Gargiulo</author>
    <author>Gary Goldstein</author>
  </authors>
  <commentList>
    <comment ref="B2" authorId="0" shapeId="0">
      <text>
        <r>
          <rPr>
            <b/>
            <sz val="8"/>
            <color indexed="81"/>
            <rFont val="Tahoma"/>
            <family val="2"/>
          </rPr>
          <t>Insert Table</t>
        </r>
      </text>
    </comment>
    <comment ref="S2" authorId="1" shapeId="0">
      <text>
        <r>
          <rPr>
            <sz val="8"/>
            <color indexed="81"/>
            <rFont val="Tahoma"/>
            <family val="2"/>
          </rPr>
          <t>Define the qualifiers based upon technology set + topology + name + descriptions, according to both include and exclude specifications.</t>
        </r>
      </text>
    </comment>
    <comment ref="X2" authorId="1" shapeId="0">
      <text>
        <r>
          <rPr>
            <sz val="8"/>
            <color indexed="81"/>
            <rFont val="Tahoma"/>
            <family val="2"/>
          </rPr>
          <t>Define the qualifiers based upon commodity set + name + descriptions, according to both include and exclude specifications.</t>
        </r>
      </text>
    </comment>
  </commentList>
</comments>
</file>

<file path=xl/comments2.xml><?xml version="1.0" encoding="utf-8"?>
<comments xmlns="http://schemas.openxmlformats.org/spreadsheetml/2006/main">
  <authors>
    <author>Gary Goldstein</author>
  </authors>
  <commentList>
    <comment ref="S2" authorId="0" shapeId="0">
      <text>
        <r>
          <rPr>
            <sz val="8"/>
            <color indexed="81"/>
            <rFont val="Tahoma"/>
            <family val="2"/>
          </rPr>
          <t>Define the qualifiers based upon technology set + topology + name + descriptions, according to both include and exclude specifications.</t>
        </r>
      </text>
    </comment>
    <comment ref="X2" authorId="0" shapeId="0">
      <text>
        <r>
          <rPr>
            <sz val="8"/>
            <color indexed="81"/>
            <rFont val="Tahoma"/>
            <family val="2"/>
          </rPr>
          <t>Define the qualifiers based upon commodity set + name + descriptions, according to both include and exclude specifications.</t>
        </r>
      </text>
    </comment>
  </commentList>
</comments>
</file>

<file path=xl/comments3.xml><?xml version="1.0" encoding="utf-8"?>
<comments xmlns="http://schemas.openxmlformats.org/spreadsheetml/2006/main">
  <authors>
    <author>newuser</author>
    <author>Lenox, Carol</author>
  </authors>
  <commentList>
    <comment ref="C36" authorId="0" shapeId="0">
      <text>
        <r>
          <rPr>
            <sz val="8"/>
            <color indexed="81"/>
            <rFont val="Tahoma"/>
            <family val="2"/>
          </rPr>
          <t>From AEO2013</t>
        </r>
      </text>
    </comment>
    <comment ref="E36" authorId="1" shapeId="0">
      <text>
        <r>
          <rPr>
            <sz val="9"/>
            <color indexed="81"/>
            <rFont val="Tahoma"/>
            <family val="2"/>
          </rPr>
          <t xml:space="preserve">From AEO2017
</t>
        </r>
      </text>
    </comment>
    <comment ref="F36" authorId="1" shapeId="0">
      <text>
        <r>
          <rPr>
            <sz val="9"/>
            <color indexed="81"/>
            <rFont val="Tahoma"/>
            <family val="2"/>
          </rPr>
          <t xml:space="preserve">From AEO2018
</t>
        </r>
      </text>
    </comment>
  </commentList>
</comments>
</file>

<file path=xl/sharedStrings.xml><?xml version="1.0" encoding="utf-8"?>
<sst xmlns="http://schemas.openxmlformats.org/spreadsheetml/2006/main" count="2380" uniqueCount="487">
  <si>
    <t>Pset_CI</t>
  </si>
  <si>
    <t>Year</t>
  </si>
  <si>
    <t>Pset_PN</t>
  </si>
  <si>
    <t>Pset_Set</t>
  </si>
  <si>
    <t>Cset_CN</t>
  </si>
  <si>
    <t>Pset_CO</t>
  </si>
  <si>
    <t>Attribute</t>
  </si>
  <si>
    <t>LimType</t>
  </si>
  <si>
    <t>~TFM_INS</t>
  </si>
  <si>
    <t>TimeSlice</t>
  </si>
  <si>
    <t>AllRegions</t>
  </si>
  <si>
    <t>Pset_PD</t>
  </si>
  <si>
    <t>Cset_Set</t>
  </si>
  <si>
    <t>Cset_CD</t>
  </si>
  <si>
    <t>Attrib_Cond</t>
  </si>
  <si>
    <t>Val_Cond</t>
  </si>
  <si>
    <t>~TFM_UPD</t>
  </si>
  <si>
    <t>Trans - Insert</t>
  </si>
  <si>
    <t>Trans - Update</t>
  </si>
  <si>
    <t>R9</t>
  </si>
  <si>
    <t>R8</t>
  </si>
  <si>
    <t>R7</t>
  </si>
  <si>
    <t>R6</t>
  </si>
  <si>
    <t>R5</t>
  </si>
  <si>
    <t>R4</t>
  </si>
  <si>
    <t>R3</t>
  </si>
  <si>
    <t>R2</t>
  </si>
  <si>
    <t>R1</t>
  </si>
  <si>
    <t>R0</t>
  </si>
  <si>
    <t>Trd_NGA_R2-R1-Existing</t>
  </si>
  <si>
    <t>Trd_NGA_R2-R1-New</t>
  </si>
  <si>
    <t>NCAP_COST</t>
  </si>
  <si>
    <t>* Imported natural gas Pipeline technologies</t>
  </si>
  <si>
    <t>XNGAC1E</t>
  </si>
  <si>
    <t>Existing Pipeline for Import Canadian natural gas to R1</t>
  </si>
  <si>
    <t>PJ, PJ/a</t>
  </si>
  <si>
    <t>NGAC1</t>
  </si>
  <si>
    <t>NGA</t>
  </si>
  <si>
    <t>XNGAC2E</t>
  </si>
  <si>
    <t>Existing Pipeline for Import Canadian natural gas to R2</t>
  </si>
  <si>
    <t>NGAC2</t>
  </si>
  <si>
    <t>XNGAC4E</t>
  </si>
  <si>
    <t>Existing Pipeline for Import Canadian natural gas to R4</t>
  </si>
  <si>
    <t>NGAC4</t>
  </si>
  <si>
    <t>XNGAC8E</t>
  </si>
  <si>
    <t>Existing Pipeline for Import Canadian natural gas to R8</t>
  </si>
  <si>
    <t>NGAC8</t>
  </si>
  <si>
    <t>XNGAC9E</t>
  </si>
  <si>
    <t>Existing Pipeline for Import Canadian natural gas to R9</t>
  </si>
  <si>
    <t>NGAC9</t>
  </si>
  <si>
    <t>XNGAC1N</t>
  </si>
  <si>
    <t>New Pipeline for Import Canadian natural gas to R1</t>
  </si>
  <si>
    <t>XNGAC2N</t>
  </si>
  <si>
    <t>New Pipeline for Import Canadian natural gas to R2</t>
  </si>
  <si>
    <t>XNGAC4N</t>
  </si>
  <si>
    <t>New Pipeline for Import Canadian natural gas to R4</t>
  </si>
  <si>
    <t>XNGAC8N</t>
  </si>
  <si>
    <t>New Pipeline for Import Canadian natural gas to R8</t>
  </si>
  <si>
    <t>XNGAC9N</t>
  </si>
  <si>
    <t>New Pipeline for Import Canadian natural gas to R9</t>
  </si>
  <si>
    <t>*</t>
  </si>
  <si>
    <t>XNGALE1E</t>
  </si>
  <si>
    <t>Infrastructure for Import LNG to Existing terminal in R1</t>
  </si>
  <si>
    <t>NGALE1</t>
  </si>
  <si>
    <t>XNGALE5E</t>
  </si>
  <si>
    <t>Infrastructure for Import LNG to Existing terminal in R5</t>
  </si>
  <si>
    <t>NGALE5</t>
  </si>
  <si>
    <t>XNGALE7E</t>
  </si>
  <si>
    <t>Infrastructure for Import LNG to Existing terminal in R7</t>
  </si>
  <si>
    <t>NGALE7</t>
  </si>
  <si>
    <t>XNGALE1N</t>
  </si>
  <si>
    <t>New Infrastructure for Import LNG to Existing terminal in R1</t>
  </si>
  <si>
    <t>XNGALE5N</t>
  </si>
  <si>
    <t>New Infrastructure for Import LNG to Existing terminal in R5</t>
  </si>
  <si>
    <t>XNGALE7N</t>
  </si>
  <si>
    <t>New Infrastructure for Import LNG to Existing terminal in R7</t>
  </si>
  <si>
    <t>START</t>
  </si>
  <si>
    <t>LIFE</t>
  </si>
  <si>
    <t>INP(ENT)p</t>
  </si>
  <si>
    <t>OUT(ENC)p</t>
  </si>
  <si>
    <t>BOUND(UP)</t>
  </si>
  <si>
    <t>VAROM</t>
  </si>
  <si>
    <t>INVCOST</t>
  </si>
  <si>
    <t>TechName</t>
  </si>
  <si>
    <t>TechDesc</t>
  </si>
  <si>
    <t>Units</t>
  </si>
  <si>
    <t>CommIN</t>
  </si>
  <si>
    <t>CommOUT</t>
  </si>
  <si>
    <t>TID</t>
  </si>
  <si>
    <t>2005</t>
  </si>
  <si>
    <t>2015</t>
  </si>
  <si>
    <t>2020</t>
  </si>
  <si>
    <t>2025</t>
  </si>
  <si>
    <t>2030</t>
  </si>
  <si>
    <t>2035</t>
  </si>
  <si>
    <t>2055</t>
  </si>
  <si>
    <t>* Traded natural gas Pipeline technologies</t>
  </si>
  <si>
    <t>Trd_NGA_R3-R2-Existing</t>
  </si>
  <si>
    <t>Trd_NGA_R3-R2-New</t>
  </si>
  <si>
    <t>Trd_NGA_R3-R5-Existing</t>
  </si>
  <si>
    <t>Trd_NGA_R3-R5-New</t>
  </si>
  <si>
    <t>Trd_NGA_R4-R3-Existing</t>
  </si>
  <si>
    <t>Trd_NGA_R4-R3-New</t>
  </si>
  <si>
    <t>Trd_NGA_R5-R2-Existing</t>
  </si>
  <si>
    <t>Trd_NGA_R5-R2-New</t>
  </si>
  <si>
    <t>Trd_NGA_R6-R3-Existing</t>
  </si>
  <si>
    <t>Trd_NGA_R6-R3-New</t>
  </si>
  <si>
    <t>Trd_NGA_R6-R5-Existing</t>
  </si>
  <si>
    <t>Trd_NGA_R6-R5-New</t>
  </si>
  <si>
    <t>Trd_NGA_R7-R4-Existing</t>
  </si>
  <si>
    <t>Trd_NGA_R7-R4-New</t>
  </si>
  <si>
    <t>Trd_NGA_R7-R6-Existing</t>
  </si>
  <si>
    <t>Trd_NGA_R7-R6-New</t>
  </si>
  <si>
    <t>Trd_NGA_R8-R4-Existing</t>
  </si>
  <si>
    <t>Trd_NGA_R8-R4-New</t>
  </si>
  <si>
    <t>Trd_NGA_R8-R7-Existing</t>
  </si>
  <si>
    <t>Trd_NGA_R8-R7-New</t>
  </si>
  <si>
    <t>Trd_NGA_R8-R9-Existing</t>
  </si>
  <si>
    <t>Trd_NGA_R8-R9-New</t>
  </si>
  <si>
    <t>NCAP_BND</t>
  </si>
  <si>
    <t>STOCK</t>
  </si>
  <si>
    <t>CAP_BND</t>
  </si>
  <si>
    <t>INP(ENT)c</t>
  </si>
  <si>
    <t>OUT(ELC)_TID</t>
  </si>
  <si>
    <t>RESID</t>
  </si>
  <si>
    <t>IBOND(UP)</t>
  </si>
  <si>
    <t>2005-2055</t>
  </si>
  <si>
    <t>* Domestic Trade Processes, Infastructure - Existing</t>
  </si>
  <si>
    <t>*** R1</t>
  </si>
  <si>
    <t>PJ, GW</t>
  </si>
  <si>
    <t>* Domestic Trade Processes, Infastructure - New</t>
  </si>
  <si>
    <t>XELCR1E</t>
  </si>
  <si>
    <t>ELCR1</t>
  </si>
  <si>
    <t>ELC</t>
  </si>
  <si>
    <t/>
  </si>
  <si>
    <t>XELCR2E</t>
  </si>
  <si>
    <t>Electricity Imports from R2 to R1 -  Existing</t>
  </si>
  <si>
    <t>ELCR2</t>
  </si>
  <si>
    <t>XELCR3E</t>
  </si>
  <si>
    <t>ELCR3</t>
  </si>
  <si>
    <t>XELCR4E</t>
  </si>
  <si>
    <t>ELCR4</t>
  </si>
  <si>
    <t>XELCR5E</t>
  </si>
  <si>
    <t>ELCR5</t>
  </si>
  <si>
    <t>XELCR6E</t>
  </si>
  <si>
    <t>ELCR6</t>
  </si>
  <si>
    <t>XELCR7E</t>
  </si>
  <si>
    <t>ELCR7</t>
  </si>
  <si>
    <t>XELCR8E</t>
  </si>
  <si>
    <t>ELCR8</t>
  </si>
  <si>
    <t>XELCR9E</t>
  </si>
  <si>
    <t>ELCR9</t>
  </si>
  <si>
    <t>Electricity Imports from R1 to R2 - Existing</t>
  </si>
  <si>
    <t>Electricity Imports from R3 to R2 - Existing</t>
  </si>
  <si>
    <t>Electricity Imports from R5 to R2 - Existing</t>
  </si>
  <si>
    <t>Electricity Imports from R2 to R3 - Existing</t>
  </si>
  <si>
    <t>Electricity Imports from R4 to R3 - Existing</t>
  </si>
  <si>
    <t>Electricity Imports from R5 to R3 - Existing</t>
  </si>
  <si>
    <t>Electricity Imports from R6 to R3 - Existing</t>
  </si>
  <si>
    <t>Electricity Imports from R7 to R3 - Existing</t>
  </si>
  <si>
    <t>Electricity Imports from R3 to R4 - Existing</t>
  </si>
  <si>
    <t>Electricity Imports from R6 to R4 - Existing</t>
  </si>
  <si>
    <t>Electricity Imports from R7 to R4 - Existing</t>
  </si>
  <si>
    <t>Electricity Imports from R8 to R4 - Existing</t>
  </si>
  <si>
    <t>Electricity Imports from R2 to R5 - Existing</t>
  </si>
  <si>
    <t>Electricity Imports from R3 to R5 - Existing</t>
  </si>
  <si>
    <t>Electricity Imports from R6 to R5 - Existing</t>
  </si>
  <si>
    <t>Electricity Imports from R3 to R6 - Existing</t>
  </si>
  <si>
    <t>Electricity Imports from R4 to R6 - Existing</t>
  </si>
  <si>
    <t>Electricity Imports from R5 to R6 - Existing</t>
  </si>
  <si>
    <t>Electricity Imports from R7 to R6 - Existing</t>
  </si>
  <si>
    <t>Electricity Imports from R3 to R7 - Existing</t>
  </si>
  <si>
    <t>Electricity Imports from R4 to R7 - Existing</t>
  </si>
  <si>
    <t>Electricity Imports from R6 to R7 - Existing</t>
  </si>
  <si>
    <t>Electricity Imports from R8 to R7 - Existing</t>
  </si>
  <si>
    <t>Electricity Imports from R4 to R8 - Existing</t>
  </si>
  <si>
    <t>Electricity Imports from R7 to R8 - Existing</t>
  </si>
  <si>
    <t>Electricity Imports from R9 to R8 - Existing</t>
  </si>
  <si>
    <t>Electricity Imports from R8 to R9 - Existing</t>
  </si>
  <si>
    <t>XELCR1N</t>
  </si>
  <si>
    <t>XELCR2N</t>
  </si>
  <si>
    <t>Electricity Imports from R2 to R1 -  New</t>
  </si>
  <si>
    <t>XELCR3N</t>
  </si>
  <si>
    <t>XELCR4N</t>
  </si>
  <si>
    <t>XELCR5N</t>
  </si>
  <si>
    <t>XELCR6N</t>
  </si>
  <si>
    <t>XELCR7N</t>
  </si>
  <si>
    <t>XELCR8N</t>
  </si>
  <si>
    <t>XELCR9N</t>
  </si>
  <si>
    <t>Electricity Imports from R1 to R2 -  New</t>
  </si>
  <si>
    <t>Electricity Imports from R3 to R2 -  New</t>
  </si>
  <si>
    <t>Electricity Imports from R5 to R2 -  New</t>
  </si>
  <si>
    <t>Electricity Imports from R2 to R3 -  New</t>
  </si>
  <si>
    <t>Electricity Imports from R4 to R3 -  New</t>
  </si>
  <si>
    <t>Electricity Imports from R5 to R3 -  New</t>
  </si>
  <si>
    <t>Electricity Imports from R6 to R3 -  New</t>
  </si>
  <si>
    <t>Electricity Imports from R7 to R3 -  New</t>
  </si>
  <si>
    <t>Electricity Imports from R3 to R4 -  New</t>
  </si>
  <si>
    <t>Electricity Imports from R6 to R4 -  New</t>
  </si>
  <si>
    <t>Electricity Imports from R7 to R4 -  New</t>
  </si>
  <si>
    <t>Electricity Imports from R8 to R4 -  New</t>
  </si>
  <si>
    <t>Electricity Imports from R2 to R5 -  New</t>
  </si>
  <si>
    <t>Electricity Imports from R3 to R5 -  New</t>
  </si>
  <si>
    <t>Electricity Imports from R6 to R5 -  New</t>
  </si>
  <si>
    <t>Electricity Imports from R3 to R6 -  New</t>
  </si>
  <si>
    <t>Electricity Imports from R4 to R6 -  New</t>
  </si>
  <si>
    <t>Electricity Imports from R5 to R6 -  New</t>
  </si>
  <si>
    <t>Electricity Imports from R7 to R6 -  New</t>
  </si>
  <si>
    <t>Electricity Imports from R3 to R7 -  New</t>
  </si>
  <si>
    <t>Electricity Imports from R4 to R7 -  New</t>
  </si>
  <si>
    <t>Electricity Imports from R6 to R7 -  New</t>
  </si>
  <si>
    <t>Electricity Imports from R8 to R7 -  New</t>
  </si>
  <si>
    <t>Electricity Imports from R4 to R8 -  New</t>
  </si>
  <si>
    <t>Electricity Imports from R7 to R8 -  New</t>
  </si>
  <si>
    <t>Electricity Imports from R9 to R8 -  New</t>
  </si>
  <si>
    <t>Electricity Imports from R8 to R9 -  New</t>
  </si>
  <si>
    <t>* International Trade Processes, Infrastructure - Existing</t>
  </si>
  <si>
    <t>XELCMXE</t>
  </si>
  <si>
    <t>Electricity Imports from R0 (Mexico) to R9</t>
  </si>
  <si>
    <t>PJ,GW</t>
  </si>
  <si>
    <t>ELCMX</t>
  </si>
  <si>
    <t>XELCBCE</t>
  </si>
  <si>
    <t>Electricity Imports from R0 (British Columbia) to R9</t>
  </si>
  <si>
    <t>ELCBC</t>
  </si>
  <si>
    <t>XELCMAE</t>
  </si>
  <si>
    <t>Electricity Imports from R0 (Manitoba) to R4</t>
  </si>
  <si>
    <t>ELCMA</t>
  </si>
  <si>
    <t>XELCONE</t>
  </si>
  <si>
    <t>Electricity Imports from R0 (Ontario) to R2</t>
  </si>
  <si>
    <t>ELCON</t>
  </si>
  <si>
    <t>Electricity Imports from R0 (Ontario) to R3</t>
  </si>
  <si>
    <t>Electricity Imports from R0 (Ontario) to R4</t>
  </si>
  <si>
    <t>XELCQUE</t>
  </si>
  <si>
    <t>Electricity Imports from R0 (Quebec) to R1</t>
  </si>
  <si>
    <t>ELCQU</t>
  </si>
  <si>
    <t>Electricity Imports from R0 (Quebec) to R2</t>
  </si>
  <si>
    <t>XELCNBE</t>
  </si>
  <si>
    <t>Electricity Imports from R0 (New Brunswick) to R1</t>
  </si>
  <si>
    <t>ELCNB</t>
  </si>
  <si>
    <t>* International Trade Processes, Infrastructure - New</t>
  </si>
  <si>
    <t>XELCMXN</t>
  </si>
  <si>
    <t>XELCBCN</t>
  </si>
  <si>
    <t>XELCMAN</t>
  </si>
  <si>
    <t>XELCONN</t>
  </si>
  <si>
    <t>XELCQUN</t>
  </si>
  <si>
    <t>XELCNBN</t>
  </si>
  <si>
    <t>Trd_ELC_R1-R2-Existing</t>
  </si>
  <si>
    <t>Trd_ELC_R2-R1-Existing</t>
  </si>
  <si>
    <t>Trd_ELC_R2-R3-Existing</t>
  </si>
  <si>
    <t>Trd_ELC_R2-R5-Existing</t>
  </si>
  <si>
    <t>Trd_ELC_R3-R2-Existing</t>
  </si>
  <si>
    <t>Trd_ELC_R3-R4-Existing</t>
  </si>
  <si>
    <t>Trd_ELC_R3-R5-Existing</t>
  </si>
  <si>
    <t>Trd_ELC_R3-R6-Existing</t>
  </si>
  <si>
    <t>Trd_ELC_R3-R7-Existing</t>
  </si>
  <si>
    <t>Trd_ELC_R4-R3-Existing</t>
  </si>
  <si>
    <t>Trd_ELC_R4-R6-Existing</t>
  </si>
  <si>
    <t>Trd_ELC_R4-R7-Existing</t>
  </si>
  <si>
    <t>Trd_ELC_R4-R8-Existing</t>
  </si>
  <si>
    <t>Trd_ELC_R5-R2-Existing</t>
  </si>
  <si>
    <t>Trd_ELC_R5-R3-Existing</t>
  </si>
  <si>
    <t>Trd_ELC_R5-R6-Existing</t>
  </si>
  <si>
    <t>Trd_ELC_R6-R3-Existing</t>
  </si>
  <si>
    <t>Trd_ELC_R6-R4-Existing</t>
  </si>
  <si>
    <t>Trd_ELC_R6-R5-Existing</t>
  </si>
  <si>
    <t>Trd_ELC_R6-R7-Existing</t>
  </si>
  <si>
    <t>Trd_ELC_R7-R3-Existing</t>
  </si>
  <si>
    <t>Trd_ELC_R7-R4-Existing</t>
  </si>
  <si>
    <t>Trd_ELC_R7-R6-Existing</t>
  </si>
  <si>
    <t>Trd_ELC_R7-R8-Existing</t>
  </si>
  <si>
    <t>Trd_ELC_R8-R4-Existing</t>
  </si>
  <si>
    <t>Trd_ELC_R8-R7-Existing</t>
  </si>
  <si>
    <t>Trd_ELC_R8-R9-Existing</t>
  </si>
  <si>
    <t>Trd_ELC_R9-R8-Existing</t>
  </si>
  <si>
    <t>Trd_ELC_R1-R2-New</t>
  </si>
  <si>
    <t>Trd_ELC_R2-R1-New</t>
  </si>
  <si>
    <t>Trd_ELC_R2-R3-New</t>
  </si>
  <si>
    <t>Trd_ELC_R2-R5-New</t>
  </si>
  <si>
    <t>Trd_ELC_R3-R2-New</t>
  </si>
  <si>
    <t>Trd_ELC_R3-R4-New</t>
  </si>
  <si>
    <t>Trd_ELC_R3-R5-New</t>
  </si>
  <si>
    <t>Trd_ELC_R3-R6-New</t>
  </si>
  <si>
    <t>Trd_ELC_R3-R7-New</t>
  </si>
  <si>
    <t>Trd_ELC_R4-R3-New</t>
  </si>
  <si>
    <t>Trd_ELC_R4-R6-New</t>
  </si>
  <si>
    <t>Trd_ELC_R4-R7-New</t>
  </si>
  <si>
    <t>Trd_ELC_R4-R8-New</t>
  </si>
  <si>
    <t>Trd_ELC_R5-R2-New</t>
  </si>
  <si>
    <t>Trd_ELC_R5-R3-New</t>
  </si>
  <si>
    <t>Trd_ELC_R5-R6-New</t>
  </si>
  <si>
    <t>Trd_ELC_R6-R3-New</t>
  </si>
  <si>
    <t>Trd_ELC_R6-R4-New</t>
  </si>
  <si>
    <t>Trd_ELC_R6-R5-New</t>
  </si>
  <si>
    <t>Trd_ELC_R6-R7-New</t>
  </si>
  <si>
    <t>Trd_ELC_R7-R3-New</t>
  </si>
  <si>
    <t>Trd_ELC_R7-R4-New</t>
  </si>
  <si>
    <t>Trd_ELC_R7-R6-New</t>
  </si>
  <si>
    <t>Trd_ELC_R7-R8-New</t>
  </si>
  <si>
    <t>Trd_ELC_R8-R4-New</t>
  </si>
  <si>
    <t>Trd_ELC_R8-R7-New</t>
  </si>
  <si>
    <t>Trd_ELC_R8-R9-New</t>
  </si>
  <si>
    <t>Trd_ELC_R9-R8-New</t>
  </si>
  <si>
    <t>Trd_ELCMX_R0-R9-Existing</t>
  </si>
  <si>
    <t>Trd_ELCBC_R0-R9-Existing</t>
  </si>
  <si>
    <t>Trd_ELCMA_R0-R4-Existing</t>
  </si>
  <si>
    <t>Trd_ELCON_R0-R2-Existing</t>
  </si>
  <si>
    <t>Trd_ELCON_R0-R3-Existing</t>
  </si>
  <si>
    <t>Trd_ELCON_R0-R4-Existing</t>
  </si>
  <si>
    <t>Trd_ELCQU_R0-R1-Existing</t>
  </si>
  <si>
    <t>Trd_ELCQU_R0-R2-Existing</t>
  </si>
  <si>
    <t>Trd_ELCNM_R0-R1-Existing</t>
  </si>
  <si>
    <t>Trd_ELCMX_R0-R9-New</t>
  </si>
  <si>
    <t>Trd_ELCBC_R0-R9-New</t>
  </si>
  <si>
    <t>Trd_ELCMA_R0-R4-New</t>
  </si>
  <si>
    <t>Trd_ELCON_R0-R2-New</t>
  </si>
  <si>
    <t>Trd_ELCON_R0-R3-New</t>
  </si>
  <si>
    <t>Trd_ELCON_R0-R4-New</t>
  </si>
  <si>
    <t>Trd_ELCQU_R0-R1-New</t>
  </si>
  <si>
    <t>Trd_ELCQU_R0-R2-New</t>
  </si>
  <si>
    <t>Trd_ELCNM_R0-R1-New</t>
  </si>
  <si>
    <t>EFF</t>
  </si>
  <si>
    <t>Trd_NGA_R2-R3-New</t>
  </si>
  <si>
    <t>Trd_NGA_R2-R5-New</t>
  </si>
  <si>
    <t>Trd_NGA_R3-R6-New</t>
  </si>
  <si>
    <t>Trade Links</t>
  </si>
  <si>
    <t>R2 to R1</t>
  </si>
  <si>
    <t>R3 to R2</t>
  </si>
  <si>
    <t>R3 to R5</t>
  </si>
  <si>
    <t>R4 to R3</t>
  </si>
  <si>
    <t>R5 to R2</t>
  </si>
  <si>
    <t>R6 to R3</t>
  </si>
  <si>
    <t>R6 to R5</t>
  </si>
  <si>
    <t>R7 to R4</t>
  </si>
  <si>
    <t>R7 to R6</t>
  </si>
  <si>
    <t>R8 to R4</t>
  </si>
  <si>
    <t>R8 to R7</t>
  </si>
  <si>
    <t>* Taken from the AEO2007</t>
  </si>
  <si>
    <t>R8 to R9</t>
  </si>
  <si>
    <t>* For more information on capacity use see</t>
  </si>
  <si>
    <t>http://www.eia.gov/pub/oil_gas/natural_gas/analysis_publications/ngpipeline/usage.html</t>
  </si>
  <si>
    <t xml:space="preserve">  Middle Atlantic</t>
  </si>
  <si>
    <t xml:space="preserve">  East North Central</t>
  </si>
  <si>
    <t xml:space="preserve">  West North Central</t>
  </si>
  <si>
    <t xml:space="preserve">  South Atlantic</t>
  </si>
  <si>
    <t xml:space="preserve">  East South Central</t>
  </si>
  <si>
    <t>Primary Natural Gas Flows Entering NGTDM Region from Neighboring Regions, Reference case</t>
  </si>
  <si>
    <t>(billion cubic feet per year)</t>
  </si>
  <si>
    <t>Into New England From:</t>
  </si>
  <si>
    <t>  Middle Atlantic</t>
  </si>
  <si>
    <t>  Canada</t>
  </si>
  <si>
    <t>Into Middle Atlantic From:</t>
  </si>
  <si>
    <t>  East North Central</t>
  </si>
  <si>
    <t>  South Atlantic</t>
  </si>
  <si>
    <t>Into East North Central From:</t>
  </si>
  <si>
    <t>  West North Central</t>
  </si>
  <si>
    <t>  East South Central</t>
  </si>
  <si>
    <t>Into West North Central from:</t>
  </si>
  <si>
    <t>  West South Central</t>
  </si>
  <si>
    <t>  Mountain</t>
  </si>
  <si>
    <t>  Canada (direct)</t>
  </si>
  <si>
    <t>  Canada (through Mountain)</t>
  </si>
  <si>
    <t>Into South Atlantic from:</t>
  </si>
  <si>
    <t>Into East South Central from:</t>
  </si>
  <si>
    <t>Into West South Central from:</t>
  </si>
  <si>
    <t>  Arizona/New Mexico</t>
  </si>
  <si>
    <t>Into Mountain from:</t>
  </si>
  <si>
    <t>Into Pacific from:</t>
  </si>
  <si>
    <t>  Canada (into Washington)</t>
  </si>
  <si>
    <t>  Canada (through Idaho)</t>
  </si>
  <si>
    <t>Into Florida from:</t>
  </si>
  <si>
    <t>Into Arizona/New Mexico from:</t>
  </si>
  <si>
    <t>Into California from:</t>
  </si>
  <si>
    <t>  Pacific</t>
  </si>
  <si>
    <t xml:space="preserve"> NEMS Output Table  76.  Natural Gas Imports and Exports (bottom portion)</t>
  </si>
  <si>
    <t xml:space="preserve">            (trillion cubic feet per year)</t>
  </si>
  <si>
    <t>Liquefied Natural Gas Imports</t>
  </si>
  <si>
    <t xml:space="preserve">   Everett, MA</t>
  </si>
  <si>
    <t xml:space="preserve">   Cove Point, MD</t>
  </si>
  <si>
    <t xml:space="preserve">   Elba Island, GA</t>
  </si>
  <si>
    <t xml:space="preserve">   Lake Charles, LA</t>
  </si>
  <si>
    <t xml:space="preserve">   New England</t>
  </si>
  <si>
    <t xml:space="preserve">   Middle Atlantic</t>
  </si>
  <si>
    <t xml:space="preserve">   South Atlantic</t>
  </si>
  <si>
    <t xml:space="preserve">   East South Central</t>
  </si>
  <si>
    <t xml:space="preserve">   West South Central</t>
  </si>
  <si>
    <t xml:space="preserve">   Washington/Oregon</t>
  </si>
  <si>
    <t xml:space="preserve">   California</t>
  </si>
  <si>
    <t xml:space="preserve">     Total</t>
  </si>
  <si>
    <t xml:space="preserve">   Baja to United States</t>
  </si>
  <si>
    <t xml:space="preserve">   Bahamas to United States</t>
  </si>
  <si>
    <t xml:space="preserve">   Imports to Canada</t>
  </si>
  <si>
    <t>End of Year Liquefied Natural Gas Capacity</t>
  </si>
  <si>
    <t>MMBTU per cf (natural gas)</t>
  </si>
  <si>
    <t>MMBTU per pj</t>
  </si>
  <si>
    <t>NG Pipeline Expansion Cost Data (NEMS ngptar input file)</t>
  </si>
  <si>
    <t xml:space="preserve"> Source: Foster Associates, "Capital Costs for Gas Pipeline and Storage Project</t>
  </si>
  <si>
    <t xml:space="preserve">                 Expansions, May 1999.  Anayst judgement.</t>
  </si>
  <si>
    <t xml:space="preserve"> Derivation:    </t>
  </si>
  <si>
    <t xml:space="preserve">     Units:  fraction</t>
  </si>
  <si>
    <t xml:space="preserve">     Variables: PCNT_C -- Average percentage (fraction) for compressor costs (read but not used)</t>
  </si>
  <si>
    <t xml:space="preserve">                PCNT_L -- Average percentage (fraction) for looping costs (read but not used)</t>
  </si>
  <si>
    <t xml:space="preserve">                PCNT_N -- Average percentage (fraction) for new pipeline costs (read but not used)</t>
  </si>
  <si>
    <t xml:space="preserve">                PCNT_R -- Assumed average percentage (fraction) for replacement costs </t>
  </si>
  <si>
    <t xml:space="preserve">                MILE_FAC --Factor to compute effective or real mileage (read but not used)</t>
  </si>
  <si>
    <t>DOCUMENTATION UPDATES:  DATE--AUTHOR--COMMENT</t>
  </si>
  <si>
    <t>-------------------------------------------------------------------------------</t>
  </si>
  <si>
    <t>NOTES:  Used to generate average cost ($/Mcf-mile) for capacity expansion cost by arc.</t>
  </si>
  <si>
    <t xml:space="preserve">        The sum of PCNT_C, PCNT_L, and PCNT_N must equal 1. These parameters were no longer</t>
  </si>
  <si>
    <t xml:space="preserve">        used in aeo2007.  Only, PCNT_R was read-in.</t>
  </si>
  <si>
    <t>PCNT_C,</t>
  </si>
  <si>
    <t>PCNT_L,</t>
  </si>
  <si>
    <t>PCNT_N,</t>
  </si>
  <si>
    <t>PCNT_R,</t>
  </si>
  <si>
    <t>MILE_FAC,</t>
  </si>
  <si>
    <t>@</t>
  </si>
  <si>
    <t>===============================================================================</t>
  </si>
  <si>
    <t>Data:  Parameters for Capital Costs for Pipeline Expansion by arc.</t>
  </si>
  <si>
    <t xml:space="preserve">              1998 Average Tariffs will not be used.  CCOST1 and CCOST2 will not be used.</t>
  </si>
  <si>
    <t xml:space="preserve">              Geographical Mileage by arc.</t>
  </si>
  <si>
    <t xml:space="preserve">     Source: Foster Associates, "Capital Costs for Gas Pipeline and Storage Project</t>
  </si>
  <si>
    <t xml:space="preserve">                 Expansions, May 1999</t>
  </si>
  <si>
    <t xml:space="preserve"> Derivation:</t>
  </si>
  <si>
    <t xml:space="preserve">      Units:  Capital Costs in 1998$-day per (Mcf-Mile);</t>
  </si>
  <si>
    <t xml:space="preserve">              Average Tariff in 1998$/Mcf</t>
  </si>
  <si>
    <t xml:space="preserve">              Mileage in Miles;</t>
  </si>
  <si>
    <t xml:space="preserve">      Notes:</t>
  </si>
  <si>
    <t xml:space="preserve">  Variables:  MILES    -- Length of an arc</t>
  </si>
  <si>
    <t xml:space="preserve">              CC_COMPR  -- Capital Cost for Compression</t>
  </si>
  <si>
    <t xml:space="preserve">              CC_LOOPI  -- Capital Cost for Looping</t>
  </si>
  <si>
    <t xml:space="preserve">              CC_NEWPI  -- Capital Cost for New Pipeline</t>
  </si>
  <si>
    <t>Price Adjustment</t>
  </si>
  <si>
    <t>Start Region</t>
  </si>
  <si>
    <t>End Region</t>
  </si>
  <si>
    <t>Capital Cost for Capacity Expansion</t>
  </si>
  <si>
    <t>AF</t>
  </si>
  <si>
    <t>AT</t>
  </si>
  <si>
    <t>MILES</t>
  </si>
  <si>
    <t>CC_COMP</t>
  </si>
  <si>
    <t>CC_LOOP</t>
  </si>
  <si>
    <t>CC_NEWP</t>
  </si>
  <si>
    <t>1998$-day per (Mcf-Mile);</t>
  </si>
  <si>
    <t>M 2005$/PJ /a</t>
  </si>
  <si>
    <t>R from</t>
  </si>
  <si>
    <t>R to</t>
  </si>
  <si>
    <t>NGTDM network</t>
  </si>
  <si>
    <t>Region</t>
  </si>
  <si>
    <t>C</t>
  </si>
  <si>
    <t>M</t>
  </si>
  <si>
    <t>In order to access North Slope Alaska and Mackenzie Delta supplies, the following pipelines must be built. The gas will then be ready to import from Alberta (split to all import regions except New England (Shares Rows 35-38)</t>
  </si>
  <si>
    <t>Note: I can't find where the North Slope Alaska supply is hooked to the supply techs, so I've just indicated the line of the Shares sheet that applies</t>
  </si>
  <si>
    <t>Supply accessed</t>
  </si>
  <si>
    <t>Cap. Cost (from NEMS)</t>
  </si>
  <si>
    <t>Capacity (from NEMS)</t>
  </si>
  <si>
    <t>Expansion potential (from NEMS)</t>
  </si>
  <si>
    <t>B2004$</t>
  </si>
  <si>
    <t>Bcf/day</t>
  </si>
  <si>
    <t>M 2000$/PJ /a</t>
  </si>
  <si>
    <t>%</t>
  </si>
  <si>
    <t>PJ/a</t>
  </si>
  <si>
    <t>North Slope Alaska</t>
  </si>
  <si>
    <t>see Shares Row 20</t>
  </si>
  <si>
    <t>Mackenzie Delta</t>
  </si>
  <si>
    <t>IMPNGACB</t>
  </si>
  <si>
    <t>From Assumptions to AEO 2006, page 104</t>
  </si>
  <si>
    <t>Source: Energy Information Administration, Office of Integrated Analysis and Forecasting. Alaska pipeline data are partially</t>
  </si>
  <si>
    <t>based on information from British Petroleum/ExxonMobil/Conoco Phillips and reflect assumed impact on Alaska pipeline finances</t>
  </si>
  <si>
    <t>as a result of the American Jobs Creation Act of 2004 and the Military Construction Appropriations Act, 2004.</t>
  </si>
  <si>
    <t>(production)</t>
  </si>
  <si>
    <t>(imports)</t>
  </si>
  <si>
    <t>2010 Capacity (billion cubic feet per year)</t>
  </si>
  <si>
    <t>C to R1</t>
  </si>
  <si>
    <t>C to R2</t>
  </si>
  <si>
    <t>R2 to R3</t>
  </si>
  <si>
    <t>R3 to R4</t>
  </si>
  <si>
    <t>C to R4</t>
  </si>
  <si>
    <t>R2 to R5</t>
  </si>
  <si>
    <t>R3 to R6</t>
  </si>
  <si>
    <t>R5 to R6</t>
  </si>
  <si>
    <t>R4 to R7</t>
  </si>
  <si>
    <t>R6 to R7</t>
  </si>
  <si>
    <t>C to R8</t>
  </si>
  <si>
    <t>C to R9</t>
  </si>
  <si>
    <t>2050-2010</t>
  </si>
  <si>
    <t>Trd_NGA_R3-R4-New</t>
  </si>
  <si>
    <t>Trd_NGA_R4-R7-New</t>
  </si>
  <si>
    <t>Trd_NGA_R5-R6-New</t>
  </si>
  <si>
    <t>Trd_NGA_R6-R7-New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</si>
</sst>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
    <numFmt numFmtId="167" formatCode="0.00000"/>
    <numFmt numFmtId="168" formatCode="m\o\n\th\ d\,\ yyyy"/>
    <numFmt numFmtId="169" formatCode="#.00"/>
    <numFmt numFmtId="170" formatCode="#."/>
    <numFmt numFmtId="171" formatCode="yyyy"/>
    <numFmt numFmtId="172" formatCode="_-* #,##0_-;\-* #,##0_-;_-* &quot;-&quot;??_-;_-@_-"/>
    <numFmt numFmtId="173" formatCode="0_)"/>
    <numFmt numFmtId="174" formatCode="0.00_)"/>
    <numFmt numFmtId="175" formatCode="0.0000"/>
  </numFmts>
  <fonts count="30" x14ac:knownFonts="1">
    <font>
      <sz val="11"/>
      <color theme="1"/>
      <name val="Calibri"/>
      <family val="2"/>
      <scheme val="minor"/>
    </font>
    <font>
      <b/>
      <sz val="10"/>
      <name val="Arial"/>
      <family val="2"/>
    </font>
    <font>
      <sz val="10"/>
      <name val="Arial"/>
      <family val="2"/>
    </font>
    <font>
      <b/>
      <sz val="10"/>
      <color indexed="12"/>
      <name val="Arial"/>
      <family val="2"/>
    </font>
    <font>
      <b/>
      <sz val="8"/>
      <color indexed="81"/>
      <name val="Tahoma"/>
      <family val="2"/>
    </font>
    <font>
      <sz val="8"/>
      <color indexed="81"/>
      <name val="Tahoma"/>
      <family val="2"/>
    </font>
    <font>
      <sz val="10"/>
      <color indexed="12"/>
      <name val="Arial"/>
      <family val="2"/>
    </font>
    <font>
      <b/>
      <sz val="10"/>
      <color indexed="11"/>
      <name val="Arial"/>
      <family val="2"/>
    </font>
    <font>
      <b/>
      <sz val="10"/>
      <color indexed="20"/>
      <name val="Arial"/>
      <family val="2"/>
    </font>
    <font>
      <i/>
      <sz val="10"/>
      <name val="Arial"/>
      <family val="2"/>
    </font>
    <font>
      <sz val="1"/>
      <color indexed="8"/>
      <name val="Courier"/>
      <family val="3"/>
    </font>
    <font>
      <b/>
      <sz val="1"/>
      <color indexed="8"/>
      <name val="Courier"/>
      <family val="3"/>
    </font>
    <font>
      <sz val="10"/>
      <name val="Courier"/>
      <family val="3"/>
    </font>
    <font>
      <sz val="10"/>
      <color indexed="8"/>
      <name val="Arial"/>
      <family val="2"/>
    </font>
    <font>
      <sz val="10"/>
      <color indexed="14"/>
      <name val="Arial"/>
      <family val="2"/>
    </font>
    <font>
      <sz val="11"/>
      <color theme="1"/>
      <name val="Calibri"/>
      <family val="2"/>
      <scheme val="minor"/>
    </font>
    <font>
      <b/>
      <sz val="11"/>
      <color theme="1"/>
      <name val="Calibri"/>
      <family val="2"/>
      <scheme val="minor"/>
    </font>
    <font>
      <sz val="11"/>
      <color rgb="FFFF0000"/>
      <name val="Calibri"/>
      <family val="2"/>
      <scheme val="minor"/>
    </font>
    <font>
      <sz val="10"/>
      <color rgb="FFFF0000"/>
      <name val="Arial"/>
      <family val="2"/>
    </font>
    <font>
      <u/>
      <sz val="11"/>
      <color theme="10"/>
      <name val="Calibri"/>
      <family val="2"/>
      <scheme val="minor"/>
    </font>
    <font>
      <b/>
      <sz val="12"/>
      <name val="Arial"/>
      <family val="2"/>
    </font>
    <font>
      <b/>
      <sz val="11"/>
      <name val="Arial"/>
      <family val="2"/>
    </font>
    <font>
      <sz val="12"/>
      <name val="Arial"/>
      <family val="2"/>
    </font>
    <font>
      <u/>
      <sz val="12"/>
      <color indexed="12"/>
      <name val="Arial"/>
      <family val="2"/>
    </font>
    <font>
      <b/>
      <sz val="13.5"/>
      <color theme="1"/>
      <name val="Calibri"/>
      <family val="2"/>
      <scheme val="minor"/>
    </font>
    <font>
      <sz val="11"/>
      <name val="Calibri"/>
      <family val="2"/>
      <scheme val="minor"/>
    </font>
    <font>
      <b/>
      <sz val="9"/>
      <color indexed="8"/>
      <name val="Calibri"/>
      <family val="2"/>
    </font>
    <font>
      <sz val="9"/>
      <color indexed="8"/>
      <name val="Calibri"/>
      <family val="2"/>
    </font>
    <font>
      <sz val="9"/>
      <color indexed="81"/>
      <name val="Tahoma"/>
      <family val="2"/>
    </font>
    <font>
      <b/>
      <sz val="10"/>
      <color rgb="FFFF0000"/>
      <name val="Arial"/>
      <family val="2"/>
    </font>
  </fonts>
  <fills count="8">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8" tint="0.79998168889431442"/>
        <bgColor indexed="65"/>
      </patternFill>
    </fill>
    <fill>
      <patternFill patternType="solid">
        <fgColor indexed="41"/>
        <bgColor indexed="64"/>
      </patternFill>
    </fill>
    <fill>
      <patternFill patternType="solid">
        <fgColor rgb="FFFFFF99"/>
        <bgColor indexed="64"/>
      </patternFill>
    </fill>
    <fill>
      <patternFill patternType="solid">
        <fgColor indexed="45"/>
        <bgColor indexed="64"/>
      </patternFill>
    </fill>
  </fills>
  <borders count="10">
    <border>
      <left/>
      <right/>
      <top/>
      <bottom/>
      <diagonal/>
    </border>
    <border>
      <left/>
      <right/>
      <top style="thin">
        <color indexed="64"/>
      </top>
      <bottom style="double">
        <color indexed="64"/>
      </bottom>
      <diagonal/>
    </border>
    <border>
      <left/>
      <right/>
      <top style="thin">
        <color indexed="64"/>
      </top>
      <bottom style="medium">
        <color indexed="64"/>
      </bottom>
      <diagonal/>
    </border>
    <border>
      <left/>
      <right/>
      <top/>
      <bottom style="thin">
        <color theme="0" tint="-0.24994659260841701"/>
      </bottom>
      <diagonal/>
    </border>
    <border>
      <left/>
      <right/>
      <top/>
      <bottom style="thick">
        <color theme="4"/>
      </bottom>
      <diagonal/>
    </border>
    <border>
      <left/>
      <right/>
      <top/>
      <bottom style="dashed">
        <color theme="0" tint="-0.24994659260841701"/>
      </bottom>
      <diagonal/>
    </border>
    <border>
      <left/>
      <right style="thin">
        <color rgb="FF000000"/>
      </right>
      <top/>
      <bottom/>
      <diagonal/>
    </border>
    <border>
      <left/>
      <right/>
      <top style="thin">
        <color rgb="FF000000"/>
      </top>
      <bottom/>
      <diagonal/>
    </border>
    <border>
      <left/>
      <right/>
      <top/>
      <bottom style="thin">
        <color rgb="FFBFBFBF"/>
      </bottom>
      <diagonal/>
    </border>
    <border>
      <left/>
      <right/>
      <top/>
      <bottom style="dashed">
        <color rgb="FFBFBFBF"/>
      </bottom>
      <diagonal/>
    </border>
  </borders>
  <cellStyleXfs count="57">
    <xf numFmtId="0" fontId="0" fillId="0" borderId="0"/>
    <xf numFmtId="0" fontId="15" fillId="4" borderId="0" applyNumberFormat="0" applyBorder="0" applyAlignment="0" applyProtection="0"/>
    <xf numFmtId="0" fontId="15" fillId="4" borderId="0" applyNumberFormat="0" applyBorder="0" applyAlignment="0" applyProtection="0"/>
    <xf numFmtId="43" fontId="2"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164" fontId="2" fillId="0" borderId="0" applyFont="0" applyFill="0" applyBorder="0" applyAlignment="0" applyProtection="0"/>
    <xf numFmtId="168" fontId="10" fillId="0" borderId="0">
      <protection locked="0"/>
    </xf>
    <xf numFmtId="169" fontId="10" fillId="0" borderId="0">
      <protection locked="0"/>
    </xf>
    <xf numFmtId="0" fontId="16" fillId="0" borderId="3" applyNumberFormat="0" applyFill="0" applyProtection="0">
      <alignment wrapText="1"/>
    </xf>
    <xf numFmtId="170" fontId="11" fillId="0" borderId="0">
      <protection locked="0"/>
    </xf>
    <xf numFmtId="170" fontId="11" fillId="0" borderId="0">
      <protection locked="0"/>
    </xf>
    <xf numFmtId="0" fontId="16" fillId="0" borderId="4" applyNumberFormat="0" applyProtection="0">
      <alignment wrapText="1"/>
    </xf>
    <xf numFmtId="0" fontId="2" fillId="0" borderId="0"/>
    <xf numFmtId="0" fontId="2" fillId="0" borderId="0"/>
    <xf numFmtId="0" fontId="2" fillId="0" borderId="0"/>
    <xf numFmtId="0" fontId="15" fillId="0" borderId="0"/>
    <xf numFmtId="0" fontId="2" fillId="0" borderId="0"/>
    <xf numFmtId="0" fontId="2" fillId="0" borderId="0"/>
    <xf numFmtId="0" fontId="15" fillId="0" borderId="0"/>
    <xf numFmtId="0" fontId="15" fillId="0" borderId="0"/>
    <xf numFmtId="0" fontId="2" fillId="0" borderId="0"/>
    <xf numFmtId="0" fontId="15" fillId="0" borderId="5" applyNumberFormat="0" applyProtection="0">
      <alignment vertical="top"/>
    </xf>
    <xf numFmtId="0" fontId="1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171" fontId="2" fillId="0" borderId="0" applyFill="0" applyBorder="0" applyAlignment="0" applyProtection="0">
      <alignment wrapText="1"/>
    </xf>
    <xf numFmtId="171" fontId="2" fillId="0" borderId="0" applyFill="0" applyBorder="0" applyAlignment="0" applyProtection="0">
      <alignment wrapText="1"/>
    </xf>
    <xf numFmtId="171" fontId="2" fillId="0" borderId="0" applyFill="0" applyBorder="0" applyAlignment="0" applyProtection="0">
      <alignment wrapText="1"/>
    </xf>
    <xf numFmtId="171" fontId="2" fillId="0" borderId="0" applyFill="0" applyBorder="0" applyAlignment="0" applyProtection="0">
      <alignment wrapText="1"/>
    </xf>
    <xf numFmtId="0" fontId="1" fillId="0" borderId="0" applyNumberFormat="0" applyFill="0" applyBorder="0">
      <alignment horizontal="center" wrapText="1"/>
    </xf>
    <xf numFmtId="0" fontId="1" fillId="0" borderId="0" applyNumberFormat="0" applyFill="0" applyBorder="0">
      <alignment horizontal="center" wrapText="1"/>
    </xf>
    <xf numFmtId="0" fontId="1" fillId="0" borderId="0" applyNumberFormat="0" applyFill="0" applyBorder="0">
      <alignment horizontal="center" wrapText="1"/>
    </xf>
    <xf numFmtId="0" fontId="1" fillId="0" borderId="0" applyNumberFormat="0" applyFill="0" applyBorder="0">
      <alignment horizontal="center" wrapText="1"/>
    </xf>
    <xf numFmtId="170" fontId="10" fillId="0" borderId="1">
      <protection locked="0"/>
    </xf>
    <xf numFmtId="0" fontId="19" fillId="0" borderId="0" applyNumberFormat="0" applyFill="0" applyBorder="0" applyAlignment="0" applyProtection="0"/>
    <xf numFmtId="0" fontId="26" fillId="0" borderId="8" applyNumberFormat="0" applyProtection="0">
      <alignment wrapText="1"/>
    </xf>
    <xf numFmtId="0" fontId="27" fillId="0" borderId="9" applyNumberFormat="0" applyFont="0" applyProtection="0">
      <alignment wrapText="1"/>
    </xf>
  </cellStyleXfs>
  <cellXfs count="102">
    <xf numFmtId="0" fontId="0" fillId="0" borderId="0" xfId="0"/>
    <xf numFmtId="0" fontId="3" fillId="0" borderId="0" xfId="0" applyFont="1"/>
    <xf numFmtId="0" fontId="1" fillId="0" borderId="0" xfId="0" applyFont="1" applyAlignment="1">
      <alignment horizontal="left"/>
    </xf>
    <xf numFmtId="0" fontId="1" fillId="0" borderId="0" xfId="0" applyFont="1" applyAlignment="1">
      <alignment horizontal="center"/>
    </xf>
    <xf numFmtId="0" fontId="1" fillId="2" borderId="2" xfId="0" applyFont="1" applyFill="1" applyBorder="1"/>
    <xf numFmtId="0" fontId="1" fillId="3" borderId="2" xfId="0" applyFont="1" applyFill="1" applyBorder="1"/>
    <xf numFmtId="0" fontId="2" fillId="2" borderId="2" xfId="0" applyFont="1" applyFill="1" applyBorder="1"/>
    <xf numFmtId="0" fontId="0" fillId="0" borderId="0" xfId="0" applyFill="1"/>
    <xf numFmtId="0" fontId="1" fillId="0" borderId="0" xfId="0" applyFont="1"/>
    <xf numFmtId="0" fontId="0" fillId="0" borderId="0" xfId="0" applyFill="1" applyAlignment="1">
      <alignment horizontal="center"/>
    </xf>
    <xf numFmtId="2" fontId="0" fillId="0" borderId="0" xfId="0" applyNumberFormat="1"/>
    <xf numFmtId="0" fontId="6" fillId="0" borderId="0" xfId="0" applyFont="1"/>
    <xf numFmtId="0" fontId="6" fillId="0" borderId="0" xfId="0" applyFont="1" applyFill="1" applyAlignment="1">
      <alignment horizontal="center"/>
    </xf>
    <xf numFmtId="166" fontId="0" fillId="0" borderId="0" xfId="0" applyNumberFormat="1" applyFill="1" applyAlignment="1">
      <alignment horizontal="center"/>
    </xf>
    <xf numFmtId="167" fontId="0" fillId="0" borderId="0" xfId="0" applyNumberFormat="1" applyFill="1" applyAlignment="1">
      <alignment horizontal="center"/>
    </xf>
    <xf numFmtId="0" fontId="6" fillId="0" borderId="0" xfId="0" applyFont="1" applyFill="1"/>
    <xf numFmtId="0" fontId="7" fillId="0" borderId="0" xfId="0" applyFont="1" applyFill="1" applyAlignment="1">
      <alignment horizontal="center" wrapText="1"/>
    </xf>
    <xf numFmtId="0" fontId="8" fillId="0" borderId="0" xfId="0" applyFont="1" applyFill="1" applyAlignment="1">
      <alignment horizontal="center" wrapText="1"/>
    </xf>
    <xf numFmtId="0" fontId="8" fillId="0" borderId="0" xfId="0" applyFont="1" applyFill="1" applyAlignment="1">
      <alignment horizontal="center"/>
    </xf>
    <xf numFmtId="0" fontId="2" fillId="0" borderId="0" xfId="0" applyFont="1" applyFill="1"/>
    <xf numFmtId="0" fontId="2" fillId="0" borderId="0" xfId="0" applyFont="1" applyFill="1" applyAlignment="1">
      <alignment horizontal="center"/>
    </xf>
    <xf numFmtId="49" fontId="7" fillId="0" borderId="0" xfId="0" applyNumberFormat="1" applyFont="1" applyFill="1" applyAlignment="1">
      <alignment horizontal="center"/>
    </xf>
    <xf numFmtId="49" fontId="9" fillId="0" borderId="0" xfId="0" applyNumberFormat="1" applyFont="1" applyFill="1" applyAlignment="1">
      <alignment horizontal="center"/>
    </xf>
    <xf numFmtId="166" fontId="0" fillId="0" borderId="0" xfId="0" applyNumberFormat="1"/>
    <xf numFmtId="1" fontId="0" fillId="0" borderId="0" xfId="0" applyNumberFormat="1"/>
    <xf numFmtId="0" fontId="0" fillId="0" borderId="0" xfId="0" applyAlignment="1">
      <alignment horizontal="center"/>
    </xf>
    <xf numFmtId="0" fontId="8" fillId="0" borderId="0" xfId="0" applyFont="1" applyFill="1"/>
    <xf numFmtId="0" fontId="13" fillId="0" borderId="0" xfId="0" applyFont="1" applyFill="1" applyAlignment="1">
      <alignment horizontal="center"/>
    </xf>
    <xf numFmtId="0" fontId="13" fillId="0" borderId="0" xfId="0" applyFont="1" applyFill="1"/>
    <xf numFmtId="0" fontId="14" fillId="0" borderId="0" xfId="0" applyFont="1" applyFill="1"/>
    <xf numFmtId="0" fontId="14" fillId="0" borderId="0" xfId="0" applyFont="1" applyFill="1" applyAlignment="1">
      <alignment horizontal="center"/>
    </xf>
    <xf numFmtId="172" fontId="14" fillId="0" borderId="0" xfId="7" applyNumberFormat="1" applyFont="1" applyFill="1" applyAlignment="1">
      <alignment horizontal="center"/>
    </xf>
    <xf numFmtId="0" fontId="14" fillId="0" borderId="0" xfId="0" applyFont="1"/>
    <xf numFmtId="165" fontId="14" fillId="0" borderId="0" xfId="0" applyNumberFormat="1" applyFont="1" applyFill="1" applyAlignment="1">
      <alignment horizontal="center"/>
    </xf>
    <xf numFmtId="0" fontId="17" fillId="0" borderId="0" xfId="0" applyFont="1"/>
    <xf numFmtId="0" fontId="18" fillId="0" borderId="0" xfId="0" applyFont="1" applyFill="1"/>
    <xf numFmtId="0" fontId="20" fillId="0" borderId="0" xfId="0" applyFont="1"/>
    <xf numFmtId="0" fontId="21" fillId="0" borderId="0" xfId="0" applyFont="1" applyAlignment="1">
      <alignment horizontal="center" wrapText="1"/>
    </xf>
    <xf numFmtId="0" fontId="2" fillId="0" borderId="0" xfId="0" applyFont="1"/>
    <xf numFmtId="173" fontId="2" fillId="0" borderId="0" xfId="0" applyNumberFormat="1" applyFont="1" applyAlignment="1">
      <alignment horizontal="center"/>
    </xf>
    <xf numFmtId="173" fontId="0" fillId="0" borderId="0" xfId="0" applyNumberFormat="1"/>
    <xf numFmtId="0" fontId="18" fillId="0" borderId="0" xfId="0" applyFont="1"/>
    <xf numFmtId="0" fontId="2" fillId="0" borderId="0" xfId="0" applyFont="1" applyAlignment="1">
      <alignment horizontal="center"/>
    </xf>
    <xf numFmtId="0" fontId="0" fillId="0" borderId="0" xfId="0" applyFont="1"/>
    <xf numFmtId="0" fontId="22" fillId="0" borderId="0" xfId="0" applyFont="1" applyAlignment="1" applyProtection="1">
      <alignment horizontal="left"/>
    </xf>
    <xf numFmtId="0" fontId="23" fillId="0" borderId="0" xfId="54" applyFont="1" applyAlignment="1" applyProtection="1"/>
    <xf numFmtId="173" fontId="0" fillId="0" borderId="0" xfId="0" applyNumberFormat="1" applyFill="1" applyProtection="1"/>
    <xf numFmtId="0" fontId="0" fillId="0" borderId="0" xfId="0" applyAlignment="1" applyProtection="1">
      <alignment horizontal="left"/>
    </xf>
    <xf numFmtId="0" fontId="18" fillId="0" borderId="0" xfId="0" applyFont="1" applyAlignment="1" applyProtection="1">
      <alignment horizontal="right"/>
    </xf>
    <xf numFmtId="0" fontId="0" fillId="0" borderId="0" xfId="0" applyAlignment="1" applyProtection="1">
      <alignment horizontal="right"/>
    </xf>
    <xf numFmtId="173" fontId="0" fillId="0" borderId="0" xfId="0" applyNumberFormat="1" applyProtection="1"/>
    <xf numFmtId="173" fontId="2" fillId="0" borderId="0" xfId="0" applyNumberFormat="1" applyFont="1" applyProtection="1"/>
    <xf numFmtId="0" fontId="21" fillId="0" borderId="0" xfId="0" applyFont="1" applyAlignment="1">
      <alignment horizontal="center"/>
    </xf>
    <xf numFmtId="0" fontId="0" fillId="0" borderId="0" xfId="0" applyFill="1" applyAlignment="1" applyProtection="1">
      <alignment horizontal="right"/>
    </xf>
    <xf numFmtId="173" fontId="18" fillId="0" borderId="0" xfId="0" applyNumberFormat="1" applyFont="1" applyProtection="1"/>
    <xf numFmtId="173" fontId="18" fillId="0" borderId="0" xfId="0" applyNumberFormat="1" applyFont="1" applyAlignment="1" applyProtection="1">
      <alignment horizontal="right"/>
    </xf>
    <xf numFmtId="174" fontId="2" fillId="0" borderId="0" xfId="0" applyNumberFormat="1" applyFont="1" applyAlignment="1" applyProtection="1">
      <alignment horizontal="center"/>
    </xf>
    <xf numFmtId="174" fontId="18" fillId="0" borderId="0" xfId="0" applyNumberFormat="1" applyFont="1" applyAlignment="1" applyProtection="1">
      <alignment horizontal="center"/>
    </xf>
    <xf numFmtId="2" fontId="18" fillId="0" borderId="0" xfId="0" applyNumberFormat="1" applyFont="1" applyAlignment="1">
      <alignment horizontal="center"/>
    </xf>
    <xf numFmtId="0" fontId="0" fillId="0" borderId="0" xfId="0" applyFill="1" applyAlignment="1" applyProtection="1">
      <alignment horizontal="left"/>
    </xf>
    <xf numFmtId="0" fontId="20" fillId="0" borderId="0" xfId="0" applyFont="1" applyFill="1" applyAlignment="1" applyProtection="1">
      <alignment horizontal="left"/>
    </xf>
    <xf numFmtId="0" fontId="2" fillId="0" borderId="0" xfId="0" applyFont="1" applyFill="1" applyAlignment="1" applyProtection="1">
      <alignment horizontal="left"/>
    </xf>
    <xf numFmtId="174" fontId="2" fillId="0" borderId="0" xfId="0" applyNumberFormat="1" applyFont="1" applyFill="1" applyProtection="1"/>
    <xf numFmtId="174" fontId="2" fillId="0" borderId="0" xfId="0" applyNumberFormat="1" applyFont="1" applyProtection="1"/>
    <xf numFmtId="2" fontId="0" fillId="0" borderId="0" xfId="0" applyNumberFormat="1" applyFill="1"/>
    <xf numFmtId="2" fontId="2" fillId="0" borderId="0" xfId="0" applyNumberFormat="1" applyFont="1" applyFill="1"/>
    <xf numFmtId="0" fontId="0" fillId="5" borderId="0" xfId="0" applyFill="1"/>
    <xf numFmtId="2" fontId="0" fillId="5" borderId="0" xfId="0" applyNumberFormat="1" applyFill="1"/>
    <xf numFmtId="0" fontId="1" fillId="6" borderId="0" xfId="0" applyFont="1" applyFill="1" applyAlignment="1">
      <alignment horizontal="center"/>
    </xf>
    <xf numFmtId="0" fontId="0" fillId="6" borderId="0" xfId="0" applyFill="1"/>
    <xf numFmtId="2" fontId="0" fillId="0" borderId="0" xfId="0" applyNumberFormat="1" applyAlignment="1">
      <alignment horizontal="center"/>
    </xf>
    <xf numFmtId="167" fontId="0" fillId="2" borderId="0" xfId="0" applyNumberFormat="1" applyFill="1" applyAlignment="1">
      <alignment horizontal="center"/>
    </xf>
    <xf numFmtId="3" fontId="0" fillId="0" borderId="0" xfId="0" applyNumberFormat="1"/>
    <xf numFmtId="175" fontId="0" fillId="6" borderId="0" xfId="0" applyNumberFormat="1" applyFill="1" applyAlignment="1">
      <alignment horizontal="center"/>
    </xf>
    <xf numFmtId="0" fontId="0" fillId="2" borderId="0" xfId="0" applyFill="1" applyAlignment="1">
      <alignment horizontal="center"/>
    </xf>
    <xf numFmtId="0" fontId="0" fillId="7" borderId="0" xfId="0" applyFill="1" applyAlignment="1">
      <alignment horizontal="center"/>
    </xf>
    <xf numFmtId="2" fontId="0" fillId="2" borderId="0" xfId="0" applyNumberFormat="1" applyFill="1"/>
    <xf numFmtId="0" fontId="25" fillId="0" borderId="0" xfId="0" applyFont="1" applyBorder="1" applyAlignment="1">
      <alignment horizontal="right"/>
    </xf>
    <xf numFmtId="0" fontId="26" fillId="0" borderId="8" xfId="55" applyFont="1" applyFill="1" applyBorder="1" applyAlignment="1">
      <alignment wrapText="1"/>
    </xf>
    <xf numFmtId="0" fontId="0" fillId="0" borderId="9" xfId="56" applyFont="1" applyFill="1" applyBorder="1" applyAlignment="1">
      <alignment wrapText="1"/>
    </xf>
    <xf numFmtId="0" fontId="0" fillId="0" borderId="0" xfId="0" applyAlignment="1"/>
    <xf numFmtId="0" fontId="0" fillId="0" borderId="0" xfId="0" applyFill="1" applyAlignment="1"/>
    <xf numFmtId="0" fontId="16" fillId="0" borderId="6" xfId="0" applyFont="1" applyBorder="1" applyAlignment="1"/>
    <xf numFmtId="0" fontId="0" fillId="0" borderId="6" xfId="0" applyBorder="1" applyAlignment="1"/>
    <xf numFmtId="173" fontId="0" fillId="0" borderId="0" xfId="0" applyNumberFormat="1" applyAlignment="1" applyProtection="1"/>
    <xf numFmtId="1" fontId="0" fillId="0" borderId="0" xfId="0" applyNumberFormat="1" applyAlignment="1"/>
    <xf numFmtId="1" fontId="0" fillId="0" borderId="0" xfId="0" applyNumberFormat="1" applyFill="1" applyAlignment="1"/>
    <xf numFmtId="0" fontId="18" fillId="0" borderId="6" xfId="0" applyFont="1" applyBorder="1" applyAlignment="1"/>
    <xf numFmtId="173" fontId="18" fillId="0" borderId="0" xfId="0" applyNumberFormat="1" applyFont="1" applyAlignment="1" applyProtection="1"/>
    <xf numFmtId="1" fontId="18" fillId="0" borderId="0" xfId="0" applyNumberFormat="1" applyFont="1" applyAlignment="1"/>
    <xf numFmtId="1" fontId="18" fillId="0" borderId="0" xfId="0" applyNumberFormat="1" applyFont="1" applyFill="1" applyAlignment="1"/>
    <xf numFmtId="0" fontId="0" fillId="0" borderId="9" xfId="56" applyFont="1" applyFill="1" applyBorder="1" applyAlignment="1"/>
    <xf numFmtId="173" fontId="0" fillId="0" borderId="0" xfId="0" applyNumberFormat="1" applyFill="1" applyAlignment="1" applyProtection="1"/>
    <xf numFmtId="0" fontId="0" fillId="0" borderId="7" xfId="0" applyBorder="1" applyAlignment="1"/>
    <xf numFmtId="0" fontId="24" fillId="0" borderId="0" xfId="0" applyFont="1" applyAlignment="1">
      <alignment vertical="center"/>
    </xf>
    <xf numFmtId="173" fontId="1" fillId="0" borderId="0" xfId="0" applyNumberFormat="1" applyFont="1" applyAlignment="1">
      <alignment horizontal="center"/>
    </xf>
    <xf numFmtId="173" fontId="0" fillId="0" borderId="0" xfId="0" applyNumberFormat="1" applyAlignment="1">
      <alignment horizontal="center"/>
    </xf>
    <xf numFmtId="174" fontId="17" fillId="0" borderId="0" xfId="0" applyNumberFormat="1" applyFont="1" applyAlignment="1">
      <alignment horizontal="center"/>
    </xf>
    <xf numFmtId="173" fontId="29" fillId="0" borderId="0" xfId="0" applyNumberFormat="1" applyFont="1" applyAlignment="1">
      <alignment horizontal="center"/>
    </xf>
    <xf numFmtId="166" fontId="17" fillId="0" borderId="0" xfId="0" applyNumberFormat="1" applyFont="1"/>
    <xf numFmtId="0" fontId="25" fillId="0" borderId="0" xfId="0" applyFont="1"/>
    <xf numFmtId="0" fontId="1" fillId="0" borderId="0" xfId="0" applyFont="1" applyAlignment="1">
      <alignment horizontal="center"/>
    </xf>
  </cellXfs>
  <cellStyles count="57">
    <cellStyle name="20% - Accent5 2" xfId="1"/>
    <cellStyle name="20% - Accent5 3" xfId="2"/>
    <cellStyle name="Body: normal cell" xfId="56"/>
    <cellStyle name="Comma 2" xfId="3"/>
    <cellStyle name="Comma 2 2" xfId="4"/>
    <cellStyle name="Comma 2 3" xfId="5"/>
    <cellStyle name="Comma 2 4" xfId="6"/>
    <cellStyle name="Comma 3" xfId="7"/>
    <cellStyle name="Comma 4" xfId="8"/>
    <cellStyle name="Comma 4 2" xfId="9"/>
    <cellStyle name="Comma 5" xfId="10"/>
    <cellStyle name="Currency 2" xfId="11"/>
    <cellStyle name="Currency 3" xfId="12"/>
    <cellStyle name="Date" xfId="13"/>
    <cellStyle name="Fixed" xfId="14"/>
    <cellStyle name="header-top" xfId="15"/>
    <cellStyle name="Heading1" xfId="16"/>
    <cellStyle name="Heading2" xfId="17"/>
    <cellStyle name="Hyperlink" xfId="54" builtinId="8"/>
    <cellStyle name="Last Header Row" xfId="18"/>
    <cellStyle name="Normal" xfId="0" builtinId="0"/>
    <cellStyle name="Normal 10" xfId="19"/>
    <cellStyle name="Normal 2" xfId="20"/>
    <cellStyle name="Normal 2 2" xfId="21"/>
    <cellStyle name="Normal 3" xfId="22"/>
    <cellStyle name="Normal 4" xfId="23"/>
    <cellStyle name="Normal 4 2" xfId="24"/>
    <cellStyle name="Normal 8" xfId="25"/>
    <cellStyle name="Normal 8 2" xfId="26"/>
    <cellStyle name="Normal 9 2" xfId="27"/>
    <cellStyle name="normal cell" xfId="28"/>
    <cellStyle name="Normale_B2020" xfId="29"/>
    <cellStyle name="Parent row" xfId="55"/>
    <cellStyle name="Percent 2" xfId="30"/>
    <cellStyle name="Percent 2 2" xfId="31"/>
    <cellStyle name="Percent 3" xfId="32"/>
    <cellStyle name="Percent 3 2" xfId="33"/>
    <cellStyle name="Percent 3 2 2" xfId="34"/>
    <cellStyle name="Percent 3 3" xfId="35"/>
    <cellStyle name="Percent 4" xfId="36"/>
    <cellStyle name="Percent 4 2" xfId="37"/>
    <cellStyle name="Percent 4 2 2" xfId="38"/>
    <cellStyle name="Percent 4 3" xfId="39"/>
    <cellStyle name="Percent 5" xfId="40"/>
    <cellStyle name="Percent 6" xfId="41"/>
    <cellStyle name="Percent 7" xfId="42"/>
    <cellStyle name="Percent 8" xfId="43"/>
    <cellStyle name="Standard_Sce_D_Extraction" xfId="44"/>
    <cellStyle name="Style 29" xfId="45"/>
    <cellStyle name="Style 29 2" xfId="46"/>
    <cellStyle name="Style 29 3" xfId="47"/>
    <cellStyle name="Style 29 3 2" xfId="48"/>
    <cellStyle name="Style 35" xfId="49"/>
    <cellStyle name="Style 35 2" xfId="50"/>
    <cellStyle name="Style 36" xfId="51"/>
    <cellStyle name="Style 36 2" xfId="52"/>
    <cellStyle name="Total 2" xfId="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a\ord\RTP\Users\A-D\clenox\TIMES%20workbooks\Workbooks_16.1.2\VT_EPAUS9rT_NATGAS_v16.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ANSv6.1-Commodities"/>
      <sheetName val="SEC_Comm"/>
      <sheetName val="Commodities"/>
      <sheetName val="SEC_Process"/>
      <sheetName val="ANSv6.1-Technologies"/>
      <sheetName val="Technologies"/>
      <sheetName val="ANSv6.1-Constraints"/>
      <sheetName val="ANSv6.1-CommData"/>
      <sheetName val="ANSv6.1-TechData"/>
      <sheetName val="Constraints"/>
      <sheetName val="ConstrData"/>
      <sheetName val="Process_Charac_Dom"/>
      <sheetName val="Process_Charac_MinEmiss"/>
      <sheetName val="Process_Charac_ImpExp"/>
      <sheetName val="TechData_R0"/>
      <sheetName val="Process_Charac_NGtoSectors"/>
      <sheetName val="Emissions"/>
      <sheetName val="TechData_DelNGA"/>
      <sheetName val="TechData_ExIm"/>
      <sheetName val="ANSv6.1-ConstrData"/>
      <sheetName val="Domestic NG CUM"/>
      <sheetName val="Domestic NG Production"/>
      <sheetName val="Domestic NG Prices"/>
      <sheetName val="AEO NG Imports"/>
      <sheetName val="LNG Export Regions"/>
      <sheetName val="Exports"/>
      <sheetName val="NGACap"/>
      <sheetName val="NGExpansion"/>
      <sheetName val="DelivNGA"/>
      <sheetName val="ANSv6.0-ConstrData"/>
      <sheetName val="ANSv6.0-TechData"/>
      <sheetName val="ANSv6.0-CommData"/>
      <sheetName val="ANSv6.0-Constraints"/>
      <sheetName val="ANSv6.0-Technologies"/>
      <sheetName val="ANSv6.0-Commodities"/>
      <sheetName val="Emissions_raw"/>
      <sheetName val="Conv vs Shale"/>
      <sheetName val="Con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5">
          <cell r="J5">
            <v>1.0550559999999999E-6</v>
          </cell>
        </row>
        <row r="6">
          <cell r="D6">
            <v>1.0219999999999999E-3</v>
          </cell>
        </row>
        <row r="31">
          <cell r="D31">
            <v>1.1652690514795299</v>
          </cell>
        </row>
        <row r="38">
          <cell r="D38">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http://www.eia.gov/pub/oil_gas/natural_gas/analysis_publications/ngpipeline/usage.html"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738"/>
  <sheetViews>
    <sheetView tabSelected="1" zoomScaleNormal="100" workbookViewId="0">
      <pane ySplit="3" topLeftCell="A57" activePane="bottomLeft" state="frozen"/>
      <selection pane="bottomLeft" activeCell="L82" sqref="L82"/>
    </sheetView>
  </sheetViews>
  <sheetFormatPr defaultRowHeight="14.4" x14ac:dyDescent="0.3"/>
  <cols>
    <col min="2" max="2" width="10.109375" bestFit="1" customWidth="1"/>
    <col min="3" max="3" width="8.88671875" bestFit="1" customWidth="1"/>
    <col min="4" max="4" width="11.5546875" bestFit="1" customWidth="1"/>
    <col min="5" max="5" width="5.109375" bestFit="1" customWidth="1"/>
    <col min="6" max="6" width="11.5546875" bestFit="1" customWidth="1"/>
    <col min="7" max="7" width="9.6640625" bestFit="1" customWidth="1"/>
    <col min="8" max="8" width="10.6640625" bestFit="1" customWidth="1"/>
    <col min="9" max="10" width="7" customWidth="1"/>
    <col min="11" max="18" width="7.44140625" customWidth="1"/>
    <col min="19" max="19" width="8.6640625" bestFit="1" customWidth="1"/>
    <col min="20" max="20" width="23.6640625" customWidth="1"/>
    <col min="21" max="21" width="8.44140625" bestFit="1" customWidth="1"/>
    <col min="22" max="22" width="7.5546875" bestFit="1" customWidth="1"/>
    <col min="23" max="23" width="8.5546875" bestFit="1" customWidth="1"/>
    <col min="24" max="24" width="8.6640625" bestFit="1" customWidth="1"/>
    <col min="25" max="26" width="8.44140625" bestFit="1" customWidth="1"/>
  </cols>
  <sheetData>
    <row r="1" spans="1:26" x14ac:dyDescent="0.3">
      <c r="A1" t="s">
        <v>17</v>
      </c>
    </row>
    <row r="2" spans="1:26" x14ac:dyDescent="0.3">
      <c r="B2" s="1" t="s">
        <v>8</v>
      </c>
      <c r="S2" s="2"/>
      <c r="T2" s="3"/>
      <c r="U2" s="3"/>
      <c r="V2" s="3"/>
      <c r="W2" s="3"/>
      <c r="X2" s="3"/>
      <c r="Y2" s="3"/>
      <c r="Z2" s="3"/>
    </row>
    <row r="3" spans="1:26" ht="15" thickBot="1" x14ac:dyDescent="0.35">
      <c r="B3" s="4" t="s">
        <v>9</v>
      </c>
      <c r="C3" s="4" t="s">
        <v>7</v>
      </c>
      <c r="D3" s="4" t="s">
        <v>6</v>
      </c>
      <c r="E3" s="4" t="s">
        <v>1</v>
      </c>
      <c r="F3" s="4" t="s">
        <v>14</v>
      </c>
      <c r="G3" s="4" t="s">
        <v>15</v>
      </c>
      <c r="H3" s="5" t="s">
        <v>10</v>
      </c>
      <c r="I3" s="5" t="s">
        <v>28</v>
      </c>
      <c r="J3" s="5" t="s">
        <v>27</v>
      </c>
      <c r="K3" s="5" t="s">
        <v>26</v>
      </c>
      <c r="L3" s="5" t="s">
        <v>25</v>
      </c>
      <c r="M3" s="5" t="s">
        <v>24</v>
      </c>
      <c r="N3" s="5" t="s">
        <v>23</v>
      </c>
      <c r="O3" s="5" t="s">
        <v>22</v>
      </c>
      <c r="P3" s="5" t="s">
        <v>21</v>
      </c>
      <c r="Q3" s="5" t="s">
        <v>20</v>
      </c>
      <c r="R3" s="5" t="s">
        <v>19</v>
      </c>
      <c r="S3" s="6" t="s">
        <v>3</v>
      </c>
      <c r="T3" s="6" t="s">
        <v>2</v>
      </c>
      <c r="U3" s="6" t="s">
        <v>11</v>
      </c>
      <c r="V3" s="6" t="s">
        <v>0</v>
      </c>
      <c r="W3" s="6" t="s">
        <v>5</v>
      </c>
      <c r="X3" s="6" t="s">
        <v>12</v>
      </c>
      <c r="Y3" s="6" t="s">
        <v>4</v>
      </c>
      <c r="Z3" s="6" t="s">
        <v>13</v>
      </c>
    </row>
    <row r="4" spans="1:26" x14ac:dyDescent="0.3">
      <c r="D4" t="s">
        <v>120</v>
      </c>
      <c r="E4">
        <v>2010</v>
      </c>
      <c r="K4" s="13">
        <f>NGCap!B3*NGCap!$O$3*NGCap!$O$5*10^9*1.2</f>
        <v>1035.4935659638231</v>
      </c>
      <c r="T4" t="s">
        <v>29</v>
      </c>
    </row>
    <row r="5" spans="1:26" x14ac:dyDescent="0.3">
      <c r="D5" t="s">
        <v>120</v>
      </c>
      <c r="E5">
        <v>2010</v>
      </c>
      <c r="L5" s="13">
        <f>NGCap!B6*NGCap!$O$3*NGCap!$O$5*10^9*1.2</f>
        <v>818.6455444726995</v>
      </c>
      <c r="T5" t="s">
        <v>97</v>
      </c>
    </row>
    <row r="6" spans="1:26" x14ac:dyDescent="0.3">
      <c r="D6" t="s">
        <v>120</v>
      </c>
      <c r="E6">
        <v>2010</v>
      </c>
      <c r="L6" s="13">
        <f>NGCap!B8*NGCap!$O$3*NGCap!$O$5*10^9*1.2</f>
        <v>988.11154530107694</v>
      </c>
      <c r="T6" t="s">
        <v>99</v>
      </c>
    </row>
    <row r="7" spans="1:26" x14ac:dyDescent="0.3">
      <c r="D7" t="s">
        <v>120</v>
      </c>
      <c r="E7">
        <v>2010</v>
      </c>
      <c r="M7" s="13">
        <f>NGCap!B10*NGCap!$O$3*NGCap!$O$5*10^9*1.2</f>
        <v>4770.2792899145479</v>
      </c>
      <c r="T7" t="s">
        <v>101</v>
      </c>
    </row>
    <row r="8" spans="1:26" x14ac:dyDescent="0.3">
      <c r="D8" t="s">
        <v>120</v>
      </c>
      <c r="E8">
        <v>2010</v>
      </c>
      <c r="N8" s="13">
        <f>NGCap!B12*NGCap!$O$3*NGCap!$O$5*10^9*1.2</f>
        <v>2235.5147956314095</v>
      </c>
      <c r="T8" t="s">
        <v>103</v>
      </c>
    </row>
    <row r="9" spans="1:26" x14ac:dyDescent="0.3">
      <c r="D9" t="s">
        <v>120</v>
      </c>
      <c r="E9">
        <v>2010</v>
      </c>
      <c r="O9" s="13">
        <f>NGCap!B14*NGCap!$O$3*NGCap!$O$5*10^9*1.2</f>
        <v>2370.5098450894948</v>
      </c>
      <c r="T9" t="s">
        <v>105</v>
      </c>
    </row>
    <row r="10" spans="1:26" x14ac:dyDescent="0.3">
      <c r="D10" t="s">
        <v>120</v>
      </c>
      <c r="E10">
        <v>2010</v>
      </c>
      <c r="O10" s="13">
        <f>NGCap!B15*NGCap!$O$3*NGCap!$O$5*10^9*1.2</f>
        <v>4330.2068243866615</v>
      </c>
      <c r="T10" t="s">
        <v>107</v>
      </c>
    </row>
    <row r="11" spans="1:26" x14ac:dyDescent="0.3">
      <c r="D11" t="s">
        <v>120</v>
      </c>
      <c r="E11">
        <v>2010</v>
      </c>
      <c r="P11" s="13">
        <f>NGCap!B17*NGCap!$O$3*NGCap!$O$5*10^9*1.2</f>
        <v>1902.034586633936</v>
      </c>
      <c r="T11" t="s">
        <v>109</v>
      </c>
    </row>
    <row r="12" spans="1:26" x14ac:dyDescent="0.3">
      <c r="D12" t="s">
        <v>120</v>
      </c>
      <c r="E12">
        <v>2010</v>
      </c>
      <c r="P12" s="13">
        <f>NGCap!B18*NGCap!$O$3*NGCap!$O$5*10^9*1.2</f>
        <v>8357.7351399132694</v>
      </c>
      <c r="T12" t="s">
        <v>111</v>
      </c>
    </row>
    <row r="13" spans="1:26" x14ac:dyDescent="0.3">
      <c r="D13" t="s">
        <v>120</v>
      </c>
      <c r="E13">
        <v>2010</v>
      </c>
      <c r="Q13" s="13">
        <f>NGCap!B19*NGCap!$O$3*NGCap!$O$5*10^9*1.2</f>
        <v>3121.6761174062226</v>
      </c>
      <c r="T13" t="s">
        <v>113</v>
      </c>
    </row>
    <row r="14" spans="1:26" x14ac:dyDescent="0.3">
      <c r="D14" t="s">
        <v>120</v>
      </c>
      <c r="E14">
        <v>2010</v>
      </c>
      <c r="Q14" s="13">
        <f>NGCap!B20*NGCap!$O$3*NGCap!$O$5*10^9*1.2</f>
        <v>505.32407169445139</v>
      </c>
      <c r="T14" t="s">
        <v>115</v>
      </c>
    </row>
    <row r="15" spans="1:26" x14ac:dyDescent="0.3">
      <c r="D15" t="s">
        <v>120</v>
      </c>
      <c r="E15">
        <v>2010</v>
      </c>
      <c r="Q15" s="13">
        <f>NGCap!B21*NGCap!$O$3*NGCap!$O$5*10^9*1.2</f>
        <v>2258.4386120118847</v>
      </c>
      <c r="T15" t="s">
        <v>117</v>
      </c>
    </row>
    <row r="16" spans="1:26" x14ac:dyDescent="0.3">
      <c r="D16" t="s">
        <v>120</v>
      </c>
      <c r="E16">
        <v>2055</v>
      </c>
      <c r="K16" s="23">
        <f>K4</f>
        <v>1035.4935659638231</v>
      </c>
      <c r="T16" t="s">
        <v>29</v>
      </c>
    </row>
    <row r="17" spans="4:20" x14ac:dyDescent="0.3">
      <c r="D17" t="s">
        <v>120</v>
      </c>
      <c r="E17">
        <v>2055</v>
      </c>
      <c r="L17" s="99">
        <v>0</v>
      </c>
      <c r="T17" t="s">
        <v>97</v>
      </c>
    </row>
    <row r="18" spans="4:20" x14ac:dyDescent="0.3">
      <c r="D18" t="s">
        <v>120</v>
      </c>
      <c r="E18">
        <v>2055</v>
      </c>
      <c r="L18" s="99">
        <v>0</v>
      </c>
      <c r="T18" t="s">
        <v>99</v>
      </c>
    </row>
    <row r="19" spans="4:20" x14ac:dyDescent="0.3">
      <c r="D19" t="s">
        <v>120</v>
      </c>
      <c r="E19">
        <v>2055</v>
      </c>
      <c r="M19" s="23">
        <f>M7</f>
        <v>4770.2792899145479</v>
      </c>
      <c r="T19" t="s">
        <v>101</v>
      </c>
    </row>
    <row r="20" spans="4:20" x14ac:dyDescent="0.3">
      <c r="D20" t="s">
        <v>120</v>
      </c>
      <c r="E20">
        <v>2055</v>
      </c>
      <c r="N20" s="99">
        <v>0</v>
      </c>
      <c r="T20" t="s">
        <v>103</v>
      </c>
    </row>
    <row r="21" spans="4:20" x14ac:dyDescent="0.3">
      <c r="D21" t="s">
        <v>120</v>
      </c>
      <c r="E21">
        <v>2055</v>
      </c>
      <c r="O21" s="23">
        <f t="shared" ref="O21:O22" si="0">O9</f>
        <v>2370.5098450894948</v>
      </c>
      <c r="T21" t="s">
        <v>105</v>
      </c>
    </row>
    <row r="22" spans="4:20" x14ac:dyDescent="0.3">
      <c r="D22" t="s">
        <v>120</v>
      </c>
      <c r="E22">
        <v>2055</v>
      </c>
      <c r="O22" s="23">
        <f t="shared" si="0"/>
        <v>4330.2068243866615</v>
      </c>
      <c r="T22" t="s">
        <v>107</v>
      </c>
    </row>
    <row r="23" spans="4:20" x14ac:dyDescent="0.3">
      <c r="D23" t="s">
        <v>120</v>
      </c>
      <c r="E23">
        <v>2055</v>
      </c>
      <c r="P23" s="23">
        <f t="shared" ref="P23:P24" si="1">P11</f>
        <v>1902.034586633936</v>
      </c>
      <c r="T23" t="s">
        <v>109</v>
      </c>
    </row>
    <row r="24" spans="4:20" x14ac:dyDescent="0.3">
      <c r="D24" t="s">
        <v>120</v>
      </c>
      <c r="E24">
        <v>2055</v>
      </c>
      <c r="P24" s="23">
        <f t="shared" si="1"/>
        <v>8357.7351399132694</v>
      </c>
      <c r="T24" t="s">
        <v>111</v>
      </c>
    </row>
    <row r="25" spans="4:20" x14ac:dyDescent="0.3">
      <c r="D25" t="s">
        <v>120</v>
      </c>
      <c r="E25">
        <v>2055</v>
      </c>
      <c r="Q25" s="23">
        <f t="shared" ref="Q25:Q27" si="2">Q13</f>
        <v>3121.6761174062226</v>
      </c>
      <c r="T25" t="s">
        <v>113</v>
      </c>
    </row>
    <row r="26" spans="4:20" x14ac:dyDescent="0.3">
      <c r="D26" t="s">
        <v>120</v>
      </c>
      <c r="E26">
        <v>2055</v>
      </c>
      <c r="Q26" s="23">
        <f t="shared" si="2"/>
        <v>505.32407169445139</v>
      </c>
      <c r="T26" t="s">
        <v>115</v>
      </c>
    </row>
    <row r="27" spans="4:20" x14ac:dyDescent="0.3">
      <c r="D27" t="s">
        <v>120</v>
      </c>
      <c r="E27">
        <v>2055</v>
      </c>
      <c r="Q27" s="23">
        <f t="shared" si="2"/>
        <v>2258.4386120118847</v>
      </c>
      <c r="T27" t="s">
        <v>117</v>
      </c>
    </row>
    <row r="28" spans="4:20" x14ac:dyDescent="0.3">
      <c r="D28" t="s">
        <v>120</v>
      </c>
      <c r="E28">
        <v>0</v>
      </c>
      <c r="K28" s="24">
        <v>5</v>
      </c>
      <c r="L28" s="24"/>
      <c r="M28" s="24"/>
      <c r="N28" s="24"/>
      <c r="O28" s="24"/>
      <c r="P28" s="24"/>
      <c r="Q28" s="24"/>
      <c r="R28" s="24"/>
      <c r="T28" t="s">
        <v>29</v>
      </c>
    </row>
    <row r="29" spans="4:20" x14ac:dyDescent="0.3">
      <c r="D29" t="s">
        <v>120</v>
      </c>
      <c r="E29">
        <v>0</v>
      </c>
      <c r="K29" s="24"/>
      <c r="L29" s="24">
        <v>5</v>
      </c>
      <c r="M29" s="24"/>
      <c r="N29" s="24"/>
      <c r="O29" s="24"/>
      <c r="P29" s="24"/>
      <c r="Q29" s="24"/>
      <c r="R29" s="24"/>
      <c r="T29" t="s">
        <v>97</v>
      </c>
    </row>
    <row r="30" spans="4:20" x14ac:dyDescent="0.3">
      <c r="D30" t="s">
        <v>120</v>
      </c>
      <c r="E30">
        <v>0</v>
      </c>
      <c r="K30" s="24"/>
      <c r="L30" s="24">
        <v>5</v>
      </c>
      <c r="M30" s="24"/>
      <c r="N30" s="24"/>
      <c r="O30" s="24"/>
      <c r="P30" s="24"/>
      <c r="Q30" s="24"/>
      <c r="R30" s="24"/>
      <c r="T30" t="s">
        <v>99</v>
      </c>
    </row>
    <row r="31" spans="4:20" x14ac:dyDescent="0.3">
      <c r="D31" t="s">
        <v>120</v>
      </c>
      <c r="E31">
        <v>0</v>
      </c>
      <c r="K31" s="24"/>
      <c r="L31" s="24"/>
      <c r="M31" s="24">
        <v>5</v>
      </c>
      <c r="N31" s="24"/>
      <c r="O31" s="24"/>
      <c r="P31" s="24"/>
      <c r="Q31" s="24"/>
      <c r="R31" s="24"/>
      <c r="T31" t="s">
        <v>101</v>
      </c>
    </row>
    <row r="32" spans="4:20" x14ac:dyDescent="0.3">
      <c r="D32" t="s">
        <v>120</v>
      </c>
      <c r="E32">
        <v>0</v>
      </c>
      <c r="K32" s="24"/>
      <c r="L32" s="24"/>
      <c r="M32" s="24"/>
      <c r="N32" s="24">
        <v>5</v>
      </c>
      <c r="O32" s="24"/>
      <c r="P32" s="24"/>
      <c r="Q32" s="24"/>
      <c r="R32" s="24"/>
      <c r="T32" t="s">
        <v>103</v>
      </c>
    </row>
    <row r="33" spans="4:20" x14ac:dyDescent="0.3">
      <c r="D33" t="s">
        <v>120</v>
      </c>
      <c r="E33">
        <v>0</v>
      </c>
      <c r="K33" s="24"/>
      <c r="L33" s="24"/>
      <c r="M33" s="24"/>
      <c r="N33" s="24"/>
      <c r="O33" s="24">
        <v>5</v>
      </c>
      <c r="P33" s="24"/>
      <c r="Q33" s="24"/>
      <c r="R33" s="24"/>
      <c r="T33" t="s">
        <v>105</v>
      </c>
    </row>
    <row r="34" spans="4:20" x14ac:dyDescent="0.3">
      <c r="D34" t="s">
        <v>120</v>
      </c>
      <c r="E34">
        <v>0</v>
      </c>
      <c r="K34" s="24"/>
      <c r="L34" s="24"/>
      <c r="M34" s="24"/>
      <c r="N34" s="24"/>
      <c r="O34" s="24">
        <v>5</v>
      </c>
      <c r="P34" s="24"/>
      <c r="Q34" s="24"/>
      <c r="R34" s="24"/>
      <c r="T34" t="s">
        <v>107</v>
      </c>
    </row>
    <row r="35" spans="4:20" x14ac:dyDescent="0.3">
      <c r="D35" t="s">
        <v>120</v>
      </c>
      <c r="E35">
        <v>0</v>
      </c>
      <c r="K35" s="24"/>
      <c r="L35" s="24"/>
      <c r="M35" s="24"/>
      <c r="N35" s="24"/>
      <c r="O35" s="24"/>
      <c r="P35" s="24">
        <v>5</v>
      </c>
      <c r="Q35" s="24"/>
      <c r="R35" s="24"/>
      <c r="T35" t="s">
        <v>109</v>
      </c>
    </row>
    <row r="36" spans="4:20" x14ac:dyDescent="0.3">
      <c r="D36" t="s">
        <v>120</v>
      </c>
      <c r="E36">
        <v>0</v>
      </c>
      <c r="K36" s="24"/>
      <c r="L36" s="24"/>
      <c r="M36" s="24"/>
      <c r="N36" s="24"/>
      <c r="O36" s="24"/>
      <c r="P36" s="24">
        <v>5</v>
      </c>
      <c r="Q36" s="24"/>
      <c r="R36" s="24"/>
      <c r="T36" t="s">
        <v>111</v>
      </c>
    </row>
    <row r="37" spans="4:20" x14ac:dyDescent="0.3">
      <c r="D37" t="s">
        <v>120</v>
      </c>
      <c r="E37">
        <v>0</v>
      </c>
      <c r="K37" s="24"/>
      <c r="L37" s="24"/>
      <c r="M37" s="24"/>
      <c r="N37" s="24"/>
      <c r="O37" s="24"/>
      <c r="P37" s="24"/>
      <c r="Q37" s="24">
        <v>5</v>
      </c>
      <c r="R37" s="24"/>
      <c r="T37" t="s">
        <v>113</v>
      </c>
    </row>
    <row r="38" spans="4:20" x14ac:dyDescent="0.3">
      <c r="D38" t="s">
        <v>120</v>
      </c>
      <c r="E38">
        <v>0</v>
      </c>
      <c r="K38" s="24"/>
      <c r="L38" s="24"/>
      <c r="M38" s="24"/>
      <c r="N38" s="24"/>
      <c r="O38" s="24"/>
      <c r="P38" s="24"/>
      <c r="Q38" s="24">
        <v>5</v>
      </c>
      <c r="R38" s="24"/>
      <c r="T38" t="s">
        <v>115</v>
      </c>
    </row>
    <row r="39" spans="4:20" x14ac:dyDescent="0.3">
      <c r="D39" t="s">
        <v>120</v>
      </c>
      <c r="E39">
        <v>0</v>
      </c>
      <c r="K39" s="24"/>
      <c r="L39" s="24"/>
      <c r="M39" s="24"/>
      <c r="N39" s="24"/>
      <c r="O39" s="24"/>
      <c r="P39" s="24"/>
      <c r="Q39" s="24">
        <v>5</v>
      </c>
      <c r="R39" s="24"/>
      <c r="T39" t="s">
        <v>117</v>
      </c>
    </row>
    <row r="40" spans="4:20" x14ac:dyDescent="0.3">
      <c r="D40" t="s">
        <v>119</v>
      </c>
      <c r="K40">
        <v>0</v>
      </c>
      <c r="T40" t="s">
        <v>29</v>
      </c>
    </row>
    <row r="41" spans="4:20" x14ac:dyDescent="0.3">
      <c r="D41" t="s">
        <v>119</v>
      </c>
      <c r="L41">
        <v>0</v>
      </c>
      <c r="T41" t="s">
        <v>97</v>
      </c>
    </row>
    <row r="42" spans="4:20" x14ac:dyDescent="0.3">
      <c r="D42" t="s">
        <v>119</v>
      </c>
      <c r="L42">
        <v>0</v>
      </c>
      <c r="T42" t="s">
        <v>99</v>
      </c>
    </row>
    <row r="43" spans="4:20" x14ac:dyDescent="0.3">
      <c r="D43" t="s">
        <v>119</v>
      </c>
      <c r="M43">
        <v>0</v>
      </c>
      <c r="T43" t="s">
        <v>101</v>
      </c>
    </row>
    <row r="44" spans="4:20" x14ac:dyDescent="0.3">
      <c r="D44" t="s">
        <v>119</v>
      </c>
      <c r="N44">
        <v>0</v>
      </c>
      <c r="T44" t="s">
        <v>103</v>
      </c>
    </row>
    <row r="45" spans="4:20" x14ac:dyDescent="0.3">
      <c r="D45" t="s">
        <v>119</v>
      </c>
      <c r="O45">
        <v>0</v>
      </c>
      <c r="T45" t="s">
        <v>105</v>
      </c>
    </row>
    <row r="46" spans="4:20" x14ac:dyDescent="0.3">
      <c r="D46" t="s">
        <v>119</v>
      </c>
      <c r="O46">
        <v>0</v>
      </c>
      <c r="T46" t="s">
        <v>107</v>
      </c>
    </row>
    <row r="47" spans="4:20" x14ac:dyDescent="0.3">
      <c r="D47" t="s">
        <v>119</v>
      </c>
      <c r="P47">
        <v>0</v>
      </c>
      <c r="T47" t="s">
        <v>109</v>
      </c>
    </row>
    <row r="48" spans="4:20" x14ac:dyDescent="0.3">
      <c r="D48" t="s">
        <v>119</v>
      </c>
      <c r="P48">
        <v>0</v>
      </c>
      <c r="T48" t="s">
        <v>111</v>
      </c>
    </row>
    <row r="49" spans="4:22" x14ac:dyDescent="0.3">
      <c r="D49" t="s">
        <v>119</v>
      </c>
      <c r="Q49">
        <v>0</v>
      </c>
      <c r="T49" t="s">
        <v>113</v>
      </c>
    </row>
    <row r="50" spans="4:22" x14ac:dyDescent="0.3">
      <c r="D50" t="s">
        <v>119</v>
      </c>
      <c r="Q50">
        <v>0</v>
      </c>
      <c r="T50" t="s">
        <v>115</v>
      </c>
    </row>
    <row r="51" spans="4:22" x14ac:dyDescent="0.3">
      <c r="D51" t="s">
        <v>119</v>
      </c>
      <c r="Q51">
        <v>0</v>
      </c>
      <c r="T51" t="s">
        <v>117</v>
      </c>
    </row>
    <row r="52" spans="4:22" x14ac:dyDescent="0.3">
      <c r="D52" t="s">
        <v>119</v>
      </c>
      <c r="E52">
        <v>0</v>
      </c>
      <c r="K52">
        <v>5</v>
      </c>
      <c r="T52" t="s">
        <v>29</v>
      </c>
    </row>
    <row r="53" spans="4:22" x14ac:dyDescent="0.3">
      <c r="D53" t="s">
        <v>119</v>
      </c>
      <c r="E53">
        <v>0</v>
      </c>
      <c r="L53">
        <v>5</v>
      </c>
      <c r="T53" t="s">
        <v>97</v>
      </c>
    </row>
    <row r="54" spans="4:22" x14ac:dyDescent="0.3">
      <c r="D54" t="s">
        <v>119</v>
      </c>
      <c r="E54">
        <v>0</v>
      </c>
      <c r="L54">
        <v>5</v>
      </c>
      <c r="T54" t="s">
        <v>99</v>
      </c>
    </row>
    <row r="55" spans="4:22" x14ac:dyDescent="0.3">
      <c r="D55" t="s">
        <v>119</v>
      </c>
      <c r="E55">
        <v>0</v>
      </c>
      <c r="M55">
        <v>5</v>
      </c>
      <c r="T55" t="s">
        <v>101</v>
      </c>
    </row>
    <row r="56" spans="4:22" x14ac:dyDescent="0.3">
      <c r="D56" t="s">
        <v>119</v>
      </c>
      <c r="E56">
        <v>0</v>
      </c>
      <c r="N56">
        <v>5</v>
      </c>
      <c r="T56" t="s">
        <v>103</v>
      </c>
    </row>
    <row r="57" spans="4:22" x14ac:dyDescent="0.3">
      <c r="D57" t="s">
        <v>119</v>
      </c>
      <c r="E57">
        <v>0</v>
      </c>
      <c r="O57">
        <v>5</v>
      </c>
      <c r="T57" t="s">
        <v>105</v>
      </c>
    </row>
    <row r="58" spans="4:22" x14ac:dyDescent="0.3">
      <c r="D58" t="s">
        <v>119</v>
      </c>
      <c r="E58">
        <v>0</v>
      </c>
      <c r="O58">
        <v>5</v>
      </c>
      <c r="T58" t="s">
        <v>107</v>
      </c>
    </row>
    <row r="59" spans="4:22" x14ac:dyDescent="0.3">
      <c r="D59" t="s">
        <v>119</v>
      </c>
      <c r="E59">
        <v>0</v>
      </c>
      <c r="P59">
        <v>5</v>
      </c>
      <c r="T59" t="s">
        <v>109</v>
      </c>
    </row>
    <row r="60" spans="4:22" x14ac:dyDescent="0.3">
      <c r="D60" t="s">
        <v>119</v>
      </c>
      <c r="E60">
        <v>0</v>
      </c>
      <c r="P60">
        <v>5</v>
      </c>
      <c r="T60" t="s">
        <v>111</v>
      </c>
    </row>
    <row r="61" spans="4:22" x14ac:dyDescent="0.3">
      <c r="D61" t="s">
        <v>119</v>
      </c>
      <c r="E61">
        <v>0</v>
      </c>
      <c r="Q61">
        <v>5</v>
      </c>
      <c r="T61" t="s">
        <v>113</v>
      </c>
    </row>
    <row r="62" spans="4:22" x14ac:dyDescent="0.3">
      <c r="D62" t="s">
        <v>119</v>
      </c>
      <c r="E62">
        <v>0</v>
      </c>
      <c r="Q62">
        <v>5</v>
      </c>
      <c r="T62" t="s">
        <v>115</v>
      </c>
    </row>
    <row r="63" spans="4:22" x14ac:dyDescent="0.3">
      <c r="D63" t="s">
        <v>119</v>
      </c>
      <c r="E63">
        <v>0</v>
      </c>
      <c r="Q63">
        <v>5</v>
      </c>
      <c r="T63" t="s">
        <v>117</v>
      </c>
    </row>
    <row r="64" spans="4:22" x14ac:dyDescent="0.3">
      <c r="D64" t="s">
        <v>31</v>
      </c>
      <c r="E64">
        <v>2011</v>
      </c>
      <c r="K64" s="100">
        <v>500</v>
      </c>
      <c r="T64" t="s">
        <v>30</v>
      </c>
      <c r="V64" s="38"/>
    </row>
    <row r="65" spans="4:24" x14ac:dyDescent="0.3">
      <c r="D65" t="s">
        <v>31</v>
      </c>
      <c r="E65">
        <v>2011</v>
      </c>
      <c r="L65" s="34">
        <v>9999</v>
      </c>
      <c r="T65" t="s">
        <v>98</v>
      </c>
      <c r="V65" s="38"/>
    </row>
    <row r="66" spans="4:24" x14ac:dyDescent="0.3">
      <c r="D66" t="s">
        <v>31</v>
      </c>
      <c r="E66">
        <v>2011</v>
      </c>
      <c r="L66" s="34">
        <v>9999</v>
      </c>
      <c r="T66" t="s">
        <v>100</v>
      </c>
      <c r="V66" s="38"/>
    </row>
    <row r="67" spans="4:24" x14ac:dyDescent="0.3">
      <c r="D67" t="s">
        <v>31</v>
      </c>
      <c r="E67">
        <v>2011</v>
      </c>
      <c r="M67">
        <v>500</v>
      </c>
      <c r="T67" t="s">
        <v>102</v>
      </c>
      <c r="V67" s="38"/>
    </row>
    <row r="68" spans="4:24" x14ac:dyDescent="0.3">
      <c r="D68" t="s">
        <v>31</v>
      </c>
      <c r="E68">
        <v>2011</v>
      </c>
      <c r="N68" s="34">
        <v>9999</v>
      </c>
      <c r="T68" t="s">
        <v>104</v>
      </c>
      <c r="V68" s="38"/>
    </row>
    <row r="69" spans="4:24" x14ac:dyDescent="0.3">
      <c r="D69" t="s">
        <v>31</v>
      </c>
      <c r="E69">
        <v>2011</v>
      </c>
      <c r="O69">
        <v>500</v>
      </c>
      <c r="T69" t="s">
        <v>106</v>
      </c>
      <c r="V69" s="38"/>
    </row>
    <row r="70" spans="4:24" x14ac:dyDescent="0.3">
      <c r="D70" t="s">
        <v>31</v>
      </c>
      <c r="E70">
        <v>2011</v>
      </c>
      <c r="O70">
        <v>500</v>
      </c>
      <c r="T70" t="s">
        <v>108</v>
      </c>
      <c r="V70" s="38"/>
    </row>
    <row r="71" spans="4:24" x14ac:dyDescent="0.3">
      <c r="D71" t="s">
        <v>31</v>
      </c>
      <c r="E71">
        <v>2011</v>
      </c>
      <c r="P71">
        <v>500</v>
      </c>
      <c r="T71" t="s">
        <v>110</v>
      </c>
      <c r="V71" s="38"/>
    </row>
    <row r="72" spans="4:24" x14ac:dyDescent="0.3">
      <c r="D72" t="s">
        <v>31</v>
      </c>
      <c r="E72">
        <v>2011</v>
      </c>
      <c r="P72">
        <v>500</v>
      </c>
      <c r="T72" t="s">
        <v>112</v>
      </c>
      <c r="V72" s="38"/>
    </row>
    <row r="73" spans="4:24" x14ac:dyDescent="0.3">
      <c r="D73" t="s">
        <v>31</v>
      </c>
      <c r="E73">
        <v>2011</v>
      </c>
      <c r="Q73">
        <v>500</v>
      </c>
      <c r="T73" t="s">
        <v>114</v>
      </c>
      <c r="V73" s="38"/>
    </row>
    <row r="74" spans="4:24" x14ac:dyDescent="0.3">
      <c r="D74" t="s">
        <v>31</v>
      </c>
      <c r="E74">
        <v>2011</v>
      </c>
      <c r="Q74">
        <v>500</v>
      </c>
      <c r="T74" t="s">
        <v>116</v>
      </c>
      <c r="V74" s="38"/>
    </row>
    <row r="75" spans="4:24" x14ac:dyDescent="0.3">
      <c r="D75" t="s">
        <v>31</v>
      </c>
      <c r="E75">
        <v>2011</v>
      </c>
      <c r="Q75">
        <v>500</v>
      </c>
      <c r="T75" t="s">
        <v>118</v>
      </c>
      <c r="V75" s="38"/>
    </row>
    <row r="76" spans="4:24" x14ac:dyDescent="0.3">
      <c r="D76" t="s">
        <v>120</v>
      </c>
      <c r="E76">
        <v>2015</v>
      </c>
      <c r="K76">
        <v>400</v>
      </c>
      <c r="T76" t="s">
        <v>321</v>
      </c>
      <c r="X76" s="38"/>
    </row>
    <row r="77" spans="4:24" x14ac:dyDescent="0.3">
      <c r="D77" t="s">
        <v>120</v>
      </c>
      <c r="E77">
        <v>2015</v>
      </c>
      <c r="K77">
        <v>600</v>
      </c>
      <c r="T77" t="s">
        <v>322</v>
      </c>
      <c r="X77" s="38"/>
    </row>
    <row r="78" spans="4:24" x14ac:dyDescent="0.3">
      <c r="D78" t="s">
        <v>120</v>
      </c>
      <c r="E78">
        <v>2015</v>
      </c>
      <c r="L78">
        <v>700</v>
      </c>
      <c r="T78" t="s">
        <v>323</v>
      </c>
      <c r="X78" s="38"/>
    </row>
    <row r="79" spans="4:24" x14ac:dyDescent="0.3">
      <c r="D79" t="s">
        <v>120</v>
      </c>
      <c r="E79">
        <v>0</v>
      </c>
      <c r="K79">
        <v>5</v>
      </c>
      <c r="T79" t="s">
        <v>321</v>
      </c>
      <c r="X79" s="38"/>
    </row>
    <row r="80" spans="4:24" x14ac:dyDescent="0.3">
      <c r="D80" t="s">
        <v>120</v>
      </c>
      <c r="E80">
        <v>0</v>
      </c>
      <c r="K80">
        <v>5</v>
      </c>
      <c r="T80" t="s">
        <v>322</v>
      </c>
      <c r="X80" s="38"/>
    </row>
    <row r="81" spans="4:24" x14ac:dyDescent="0.3">
      <c r="D81" t="s">
        <v>120</v>
      </c>
      <c r="E81">
        <v>0</v>
      </c>
      <c r="L81">
        <v>5</v>
      </c>
      <c r="T81" t="s">
        <v>323</v>
      </c>
      <c r="X81" s="38"/>
    </row>
    <row r="82" spans="4:24" x14ac:dyDescent="0.3">
      <c r="D82" t="s">
        <v>31</v>
      </c>
      <c r="E82">
        <v>2011</v>
      </c>
      <c r="K82">
        <v>1E-4</v>
      </c>
      <c r="T82" t="s">
        <v>321</v>
      </c>
      <c r="X82" s="38"/>
    </row>
    <row r="83" spans="4:24" x14ac:dyDescent="0.3">
      <c r="D83" t="s">
        <v>31</v>
      </c>
      <c r="E83">
        <v>2011</v>
      </c>
      <c r="K83">
        <v>1E-4</v>
      </c>
      <c r="T83" t="s">
        <v>322</v>
      </c>
      <c r="X83" s="38"/>
    </row>
    <row r="84" spans="4:24" x14ac:dyDescent="0.3">
      <c r="D84" t="s">
        <v>31</v>
      </c>
      <c r="E84">
        <v>2011</v>
      </c>
      <c r="L84">
        <v>1E-4</v>
      </c>
      <c r="T84" s="34" t="s">
        <v>483</v>
      </c>
      <c r="X84" s="38"/>
    </row>
    <row r="85" spans="4:24" x14ac:dyDescent="0.3">
      <c r="D85" t="s">
        <v>31</v>
      </c>
      <c r="E85">
        <v>2011</v>
      </c>
      <c r="L85">
        <v>1E-4</v>
      </c>
      <c r="T85" t="s">
        <v>323</v>
      </c>
      <c r="X85" s="38"/>
    </row>
    <row r="86" spans="4:24" x14ac:dyDescent="0.3">
      <c r="D86" t="s">
        <v>31</v>
      </c>
      <c r="E86">
        <v>2011</v>
      </c>
      <c r="M86">
        <v>1E-4</v>
      </c>
      <c r="T86" s="34" t="s">
        <v>484</v>
      </c>
      <c r="U86" s="38"/>
      <c r="X86" s="38"/>
    </row>
    <row r="87" spans="4:24" x14ac:dyDescent="0.3">
      <c r="D87" t="s">
        <v>31</v>
      </c>
      <c r="E87">
        <v>2011</v>
      </c>
      <c r="N87">
        <v>1E-4</v>
      </c>
      <c r="T87" s="34" t="s">
        <v>485</v>
      </c>
      <c r="U87" s="38"/>
      <c r="X87" s="38"/>
    </row>
    <row r="88" spans="4:24" x14ac:dyDescent="0.3">
      <c r="D88" t="s">
        <v>31</v>
      </c>
      <c r="E88">
        <v>2011</v>
      </c>
      <c r="O88">
        <v>1E-4</v>
      </c>
      <c r="T88" s="34" t="s">
        <v>486</v>
      </c>
      <c r="U88" s="38"/>
      <c r="X88" s="38"/>
    </row>
    <row r="89" spans="4:24" x14ac:dyDescent="0.3">
      <c r="D89" t="s">
        <v>31</v>
      </c>
      <c r="E89">
        <v>0</v>
      </c>
      <c r="K89">
        <v>5</v>
      </c>
      <c r="T89" t="s">
        <v>30</v>
      </c>
    </row>
    <row r="90" spans="4:24" x14ac:dyDescent="0.3">
      <c r="D90" t="s">
        <v>31</v>
      </c>
      <c r="E90">
        <v>0</v>
      </c>
      <c r="L90">
        <v>5</v>
      </c>
      <c r="T90" t="s">
        <v>98</v>
      </c>
    </row>
    <row r="91" spans="4:24" x14ac:dyDescent="0.3">
      <c r="D91" t="s">
        <v>31</v>
      </c>
      <c r="E91">
        <v>0</v>
      </c>
      <c r="L91">
        <v>5</v>
      </c>
      <c r="T91" t="s">
        <v>100</v>
      </c>
    </row>
    <row r="92" spans="4:24" x14ac:dyDescent="0.3">
      <c r="D92" t="s">
        <v>31</v>
      </c>
      <c r="E92">
        <v>0</v>
      </c>
      <c r="M92">
        <v>5</v>
      </c>
      <c r="T92" t="s">
        <v>102</v>
      </c>
    </row>
    <row r="93" spans="4:24" x14ac:dyDescent="0.3">
      <c r="D93" t="s">
        <v>31</v>
      </c>
      <c r="E93">
        <v>0</v>
      </c>
      <c r="N93">
        <v>5</v>
      </c>
      <c r="T93" t="s">
        <v>104</v>
      </c>
    </row>
    <row r="94" spans="4:24" x14ac:dyDescent="0.3">
      <c r="D94" t="s">
        <v>31</v>
      </c>
      <c r="E94">
        <v>0</v>
      </c>
      <c r="O94">
        <v>5</v>
      </c>
      <c r="T94" t="s">
        <v>106</v>
      </c>
    </row>
    <row r="95" spans="4:24" x14ac:dyDescent="0.3">
      <c r="D95" t="s">
        <v>31</v>
      </c>
      <c r="E95">
        <v>0</v>
      </c>
      <c r="O95">
        <v>5</v>
      </c>
      <c r="T95" t="s">
        <v>108</v>
      </c>
    </row>
    <row r="96" spans="4:24" x14ac:dyDescent="0.3">
      <c r="D96" t="s">
        <v>31</v>
      </c>
      <c r="E96">
        <v>0</v>
      </c>
      <c r="P96">
        <v>5</v>
      </c>
      <c r="T96" t="s">
        <v>110</v>
      </c>
    </row>
    <row r="97" spans="4:22" x14ac:dyDescent="0.3">
      <c r="D97" t="s">
        <v>31</v>
      </c>
      <c r="E97">
        <v>0</v>
      </c>
      <c r="P97">
        <v>5</v>
      </c>
      <c r="T97" t="s">
        <v>112</v>
      </c>
    </row>
    <row r="98" spans="4:22" x14ac:dyDescent="0.3">
      <c r="D98" t="s">
        <v>31</v>
      </c>
      <c r="E98">
        <v>0</v>
      </c>
      <c r="Q98">
        <v>5</v>
      </c>
      <c r="T98" t="s">
        <v>114</v>
      </c>
    </row>
    <row r="99" spans="4:22" x14ac:dyDescent="0.3">
      <c r="D99" t="s">
        <v>31</v>
      </c>
      <c r="E99">
        <v>0</v>
      </c>
      <c r="Q99">
        <v>5</v>
      </c>
      <c r="T99" t="s">
        <v>116</v>
      </c>
    </row>
    <row r="100" spans="4:22" x14ac:dyDescent="0.3">
      <c r="D100" t="s">
        <v>31</v>
      </c>
      <c r="E100">
        <v>0</v>
      </c>
      <c r="Q100">
        <v>5</v>
      </c>
      <c r="T100" t="s">
        <v>118</v>
      </c>
    </row>
    <row r="101" spans="4:22" x14ac:dyDescent="0.3">
      <c r="D101" t="s">
        <v>31</v>
      </c>
      <c r="E101">
        <v>0</v>
      </c>
      <c r="K101">
        <v>5</v>
      </c>
      <c r="T101" t="s">
        <v>321</v>
      </c>
    </row>
    <row r="102" spans="4:22" x14ac:dyDescent="0.3">
      <c r="D102" t="s">
        <v>31</v>
      </c>
      <c r="E102">
        <v>0</v>
      </c>
      <c r="K102">
        <v>5</v>
      </c>
      <c r="T102" t="s">
        <v>322</v>
      </c>
    </row>
    <row r="103" spans="4:22" x14ac:dyDescent="0.3">
      <c r="D103" t="s">
        <v>31</v>
      </c>
      <c r="E103">
        <v>0</v>
      </c>
      <c r="L103">
        <v>5</v>
      </c>
      <c r="T103" s="34" t="s">
        <v>483</v>
      </c>
      <c r="U103" s="34"/>
    </row>
    <row r="104" spans="4:22" x14ac:dyDescent="0.3">
      <c r="D104" t="s">
        <v>31</v>
      </c>
      <c r="E104">
        <v>0</v>
      </c>
      <c r="L104">
        <v>5</v>
      </c>
      <c r="T104" t="s">
        <v>323</v>
      </c>
    </row>
    <row r="105" spans="4:22" x14ac:dyDescent="0.3">
      <c r="D105" t="s">
        <v>31</v>
      </c>
      <c r="E105">
        <v>0</v>
      </c>
      <c r="M105">
        <v>5</v>
      </c>
      <c r="T105" s="34" t="s">
        <v>484</v>
      </c>
      <c r="U105" s="34"/>
    </row>
    <row r="106" spans="4:22" x14ac:dyDescent="0.3">
      <c r="D106" t="s">
        <v>31</v>
      </c>
      <c r="E106">
        <v>0</v>
      </c>
      <c r="N106">
        <v>5</v>
      </c>
      <c r="T106" s="34" t="s">
        <v>485</v>
      </c>
      <c r="U106" s="34"/>
    </row>
    <row r="107" spans="4:22" x14ac:dyDescent="0.3">
      <c r="D107" t="s">
        <v>31</v>
      </c>
      <c r="E107">
        <v>0</v>
      </c>
      <c r="O107">
        <v>5</v>
      </c>
      <c r="T107" s="34" t="s">
        <v>486</v>
      </c>
      <c r="U107" s="34"/>
    </row>
    <row r="108" spans="4:22" x14ac:dyDescent="0.3">
      <c r="D108" t="s">
        <v>119</v>
      </c>
      <c r="E108">
        <v>2010</v>
      </c>
      <c r="K108" s="100">
        <v>0</v>
      </c>
      <c r="T108" t="s">
        <v>30</v>
      </c>
      <c r="V108" s="38"/>
    </row>
    <row r="109" spans="4:22" x14ac:dyDescent="0.3">
      <c r="D109" t="s">
        <v>119</v>
      </c>
      <c r="E109">
        <v>2010</v>
      </c>
      <c r="L109" s="34">
        <v>0</v>
      </c>
      <c r="T109" t="s">
        <v>98</v>
      </c>
      <c r="V109" s="38"/>
    </row>
    <row r="110" spans="4:22" x14ac:dyDescent="0.3">
      <c r="D110" t="s">
        <v>119</v>
      </c>
      <c r="E110">
        <v>2010</v>
      </c>
      <c r="L110" s="34">
        <v>0</v>
      </c>
      <c r="T110" t="s">
        <v>100</v>
      </c>
      <c r="V110" s="38"/>
    </row>
    <row r="111" spans="4:22" x14ac:dyDescent="0.3">
      <c r="D111" t="s">
        <v>119</v>
      </c>
      <c r="E111">
        <v>2010</v>
      </c>
      <c r="M111">
        <v>0</v>
      </c>
      <c r="T111" t="s">
        <v>102</v>
      </c>
      <c r="V111" s="38"/>
    </row>
    <row r="112" spans="4:22" x14ac:dyDescent="0.3">
      <c r="D112" t="s">
        <v>119</v>
      </c>
      <c r="E112">
        <v>2010</v>
      </c>
      <c r="N112" s="34">
        <v>0</v>
      </c>
      <c r="T112" t="s">
        <v>104</v>
      </c>
      <c r="V112" s="38"/>
    </row>
    <row r="113" spans="4:24" x14ac:dyDescent="0.3">
      <c r="D113" t="s">
        <v>119</v>
      </c>
      <c r="E113">
        <v>2010</v>
      </c>
      <c r="O113">
        <v>0</v>
      </c>
      <c r="T113" t="s">
        <v>106</v>
      </c>
      <c r="V113" s="38"/>
    </row>
    <row r="114" spans="4:24" x14ac:dyDescent="0.3">
      <c r="D114" t="s">
        <v>119</v>
      </c>
      <c r="E114">
        <v>2010</v>
      </c>
      <c r="O114">
        <v>0</v>
      </c>
      <c r="T114" t="s">
        <v>108</v>
      </c>
      <c r="V114" s="38"/>
    </row>
    <row r="115" spans="4:24" x14ac:dyDescent="0.3">
      <c r="D115" t="s">
        <v>119</v>
      </c>
      <c r="E115">
        <v>2010</v>
      </c>
      <c r="P115">
        <v>0</v>
      </c>
      <c r="T115" t="s">
        <v>110</v>
      </c>
      <c r="V115" s="38"/>
    </row>
    <row r="116" spans="4:24" x14ac:dyDescent="0.3">
      <c r="D116" t="s">
        <v>119</v>
      </c>
      <c r="E116">
        <v>2010</v>
      </c>
      <c r="P116">
        <v>0</v>
      </c>
      <c r="T116" t="s">
        <v>112</v>
      </c>
      <c r="V116" s="38"/>
    </row>
    <row r="117" spans="4:24" x14ac:dyDescent="0.3">
      <c r="D117" t="s">
        <v>119</v>
      </c>
      <c r="E117">
        <v>2010</v>
      </c>
      <c r="Q117">
        <v>0</v>
      </c>
      <c r="T117" t="s">
        <v>114</v>
      </c>
      <c r="V117" s="38"/>
    </row>
    <row r="118" spans="4:24" x14ac:dyDescent="0.3">
      <c r="D118" t="s">
        <v>119</v>
      </c>
      <c r="E118">
        <v>2010</v>
      </c>
      <c r="Q118">
        <v>0</v>
      </c>
      <c r="T118" t="s">
        <v>116</v>
      </c>
      <c r="V118" s="38"/>
    </row>
    <row r="119" spans="4:24" x14ac:dyDescent="0.3">
      <c r="D119" t="s">
        <v>119</v>
      </c>
      <c r="E119">
        <v>2010</v>
      </c>
      <c r="Q119">
        <v>0</v>
      </c>
      <c r="T119" t="s">
        <v>118</v>
      </c>
      <c r="V119" s="38"/>
    </row>
    <row r="120" spans="4:24" x14ac:dyDescent="0.3">
      <c r="D120" t="s">
        <v>119</v>
      </c>
      <c r="E120">
        <v>2010</v>
      </c>
      <c r="K120">
        <v>0</v>
      </c>
      <c r="T120" t="s">
        <v>321</v>
      </c>
      <c r="X120" s="38"/>
    </row>
    <row r="121" spans="4:24" x14ac:dyDescent="0.3">
      <c r="D121" t="s">
        <v>119</v>
      </c>
      <c r="E121">
        <v>2010</v>
      </c>
      <c r="K121">
        <v>0</v>
      </c>
      <c r="T121" t="s">
        <v>322</v>
      </c>
      <c r="X121" s="38"/>
    </row>
    <row r="122" spans="4:24" x14ac:dyDescent="0.3">
      <c r="D122" t="s">
        <v>119</v>
      </c>
      <c r="E122">
        <v>2010</v>
      </c>
      <c r="L122">
        <v>0</v>
      </c>
      <c r="T122" s="34" t="s">
        <v>483</v>
      </c>
      <c r="X122" s="38"/>
    </row>
    <row r="123" spans="4:24" x14ac:dyDescent="0.3">
      <c r="D123" t="s">
        <v>119</v>
      </c>
      <c r="E123">
        <v>2010</v>
      </c>
      <c r="L123">
        <v>0</v>
      </c>
      <c r="T123" t="s">
        <v>323</v>
      </c>
      <c r="X123" s="38"/>
    </row>
    <row r="124" spans="4:24" x14ac:dyDescent="0.3">
      <c r="D124" t="s">
        <v>119</v>
      </c>
      <c r="E124">
        <v>2010</v>
      </c>
      <c r="M124">
        <v>0</v>
      </c>
      <c r="T124" s="34" t="s">
        <v>484</v>
      </c>
      <c r="U124" s="38"/>
      <c r="X124" s="38"/>
    </row>
    <row r="125" spans="4:24" x14ac:dyDescent="0.3">
      <c r="D125" t="s">
        <v>119</v>
      </c>
      <c r="E125">
        <v>2010</v>
      </c>
      <c r="N125">
        <v>0</v>
      </c>
      <c r="T125" s="34" t="s">
        <v>485</v>
      </c>
      <c r="U125" s="38"/>
      <c r="X125" s="38"/>
    </row>
    <row r="126" spans="4:24" x14ac:dyDescent="0.3">
      <c r="D126" t="s">
        <v>119</v>
      </c>
      <c r="E126">
        <v>2010</v>
      </c>
      <c r="O126">
        <v>0</v>
      </c>
      <c r="T126" s="34" t="s">
        <v>486</v>
      </c>
      <c r="U126" s="38"/>
      <c r="X126" s="38"/>
    </row>
    <row r="127" spans="4:24" x14ac:dyDescent="0.3">
      <c r="D127" t="s">
        <v>119</v>
      </c>
      <c r="E127">
        <v>2011</v>
      </c>
      <c r="K127" s="100">
        <v>0</v>
      </c>
      <c r="T127" t="s">
        <v>30</v>
      </c>
      <c r="V127" s="38"/>
    </row>
    <row r="128" spans="4:24" x14ac:dyDescent="0.3">
      <c r="D128" t="s">
        <v>119</v>
      </c>
      <c r="E128">
        <v>2011</v>
      </c>
      <c r="L128" s="34">
        <v>0</v>
      </c>
      <c r="T128" t="s">
        <v>98</v>
      </c>
      <c r="V128" s="38"/>
    </row>
    <row r="129" spans="4:24" x14ac:dyDescent="0.3">
      <c r="D129" t="s">
        <v>119</v>
      </c>
      <c r="E129">
        <v>2011</v>
      </c>
      <c r="L129" s="34">
        <v>0</v>
      </c>
      <c r="T129" t="s">
        <v>100</v>
      </c>
      <c r="V129" s="38"/>
    </row>
    <row r="130" spans="4:24" x14ac:dyDescent="0.3">
      <c r="D130" t="s">
        <v>119</v>
      </c>
      <c r="E130">
        <v>2011</v>
      </c>
      <c r="M130">
        <v>0</v>
      </c>
      <c r="T130" t="s">
        <v>102</v>
      </c>
      <c r="V130" s="38"/>
    </row>
    <row r="131" spans="4:24" x14ac:dyDescent="0.3">
      <c r="D131" t="s">
        <v>119</v>
      </c>
      <c r="E131">
        <v>2011</v>
      </c>
      <c r="N131" s="34">
        <v>0</v>
      </c>
      <c r="T131" t="s">
        <v>104</v>
      </c>
      <c r="V131" s="38"/>
    </row>
    <row r="132" spans="4:24" x14ac:dyDescent="0.3">
      <c r="D132" t="s">
        <v>119</v>
      </c>
      <c r="E132">
        <v>2011</v>
      </c>
      <c r="O132">
        <v>0</v>
      </c>
      <c r="T132" t="s">
        <v>106</v>
      </c>
      <c r="V132" s="38"/>
    </row>
    <row r="133" spans="4:24" x14ac:dyDescent="0.3">
      <c r="D133" t="s">
        <v>119</v>
      </c>
      <c r="E133">
        <v>2011</v>
      </c>
      <c r="O133">
        <v>0</v>
      </c>
      <c r="T133" t="s">
        <v>108</v>
      </c>
      <c r="V133" s="38"/>
    </row>
    <row r="134" spans="4:24" x14ac:dyDescent="0.3">
      <c r="D134" t="s">
        <v>119</v>
      </c>
      <c r="E134">
        <v>2011</v>
      </c>
      <c r="P134">
        <v>0</v>
      </c>
      <c r="T134" t="s">
        <v>110</v>
      </c>
      <c r="V134" s="38"/>
    </row>
    <row r="135" spans="4:24" x14ac:dyDescent="0.3">
      <c r="D135" t="s">
        <v>119</v>
      </c>
      <c r="E135">
        <v>2011</v>
      </c>
      <c r="P135">
        <v>0</v>
      </c>
      <c r="T135" t="s">
        <v>112</v>
      </c>
      <c r="V135" s="38"/>
    </row>
    <row r="136" spans="4:24" x14ac:dyDescent="0.3">
      <c r="D136" t="s">
        <v>119</v>
      </c>
      <c r="E136">
        <v>2011</v>
      </c>
      <c r="Q136">
        <v>0</v>
      </c>
      <c r="T136" t="s">
        <v>114</v>
      </c>
      <c r="V136" s="38"/>
    </row>
    <row r="137" spans="4:24" x14ac:dyDescent="0.3">
      <c r="D137" t="s">
        <v>119</v>
      </c>
      <c r="E137">
        <v>2011</v>
      </c>
      <c r="Q137">
        <v>0</v>
      </c>
      <c r="T137" t="s">
        <v>116</v>
      </c>
      <c r="V137" s="38"/>
    </row>
    <row r="138" spans="4:24" x14ac:dyDescent="0.3">
      <c r="D138" t="s">
        <v>119</v>
      </c>
      <c r="E138">
        <v>2011</v>
      </c>
      <c r="Q138">
        <v>0</v>
      </c>
      <c r="T138" t="s">
        <v>118</v>
      </c>
      <c r="V138" s="38"/>
    </row>
    <row r="139" spans="4:24" x14ac:dyDescent="0.3">
      <c r="D139" t="s">
        <v>119</v>
      </c>
      <c r="E139">
        <v>2011</v>
      </c>
      <c r="K139">
        <v>0</v>
      </c>
      <c r="T139" t="s">
        <v>321</v>
      </c>
      <c r="X139" s="38"/>
    </row>
    <row r="140" spans="4:24" x14ac:dyDescent="0.3">
      <c r="D140" t="s">
        <v>119</v>
      </c>
      <c r="E140">
        <v>2011</v>
      </c>
      <c r="K140">
        <v>0</v>
      </c>
      <c r="T140" t="s">
        <v>322</v>
      </c>
      <c r="X140" s="38"/>
    </row>
    <row r="141" spans="4:24" x14ac:dyDescent="0.3">
      <c r="D141" t="s">
        <v>119</v>
      </c>
      <c r="E141">
        <v>2011</v>
      </c>
      <c r="L141">
        <v>0</v>
      </c>
      <c r="T141" s="34" t="s">
        <v>483</v>
      </c>
      <c r="X141" s="38"/>
    </row>
    <row r="142" spans="4:24" x14ac:dyDescent="0.3">
      <c r="D142" t="s">
        <v>119</v>
      </c>
      <c r="E142">
        <v>2011</v>
      </c>
      <c r="L142">
        <v>0</v>
      </c>
      <c r="T142" t="s">
        <v>323</v>
      </c>
      <c r="X142" s="38"/>
    </row>
    <row r="143" spans="4:24" x14ac:dyDescent="0.3">
      <c r="D143" t="s">
        <v>119</v>
      </c>
      <c r="E143">
        <v>2011</v>
      </c>
      <c r="M143">
        <v>0</v>
      </c>
      <c r="T143" s="34" t="s">
        <v>484</v>
      </c>
      <c r="U143" s="38"/>
      <c r="X143" s="38"/>
    </row>
    <row r="144" spans="4:24" x14ac:dyDescent="0.3">
      <c r="D144" t="s">
        <v>119</v>
      </c>
      <c r="E144">
        <v>2011</v>
      </c>
      <c r="N144">
        <v>0</v>
      </c>
      <c r="T144" s="34" t="s">
        <v>485</v>
      </c>
      <c r="U144" s="38"/>
      <c r="X144" s="38"/>
    </row>
    <row r="145" spans="4:24" x14ac:dyDescent="0.3">
      <c r="D145" t="s">
        <v>119</v>
      </c>
      <c r="E145">
        <v>2011</v>
      </c>
      <c r="O145">
        <v>0</v>
      </c>
      <c r="T145" s="34" t="s">
        <v>486</v>
      </c>
      <c r="U145" s="38"/>
      <c r="X145" s="38"/>
    </row>
    <row r="146" spans="4:24" x14ac:dyDescent="0.3">
      <c r="D146" t="s">
        <v>120</v>
      </c>
      <c r="E146">
        <v>2010</v>
      </c>
      <c r="J146">
        <f>'ELC data'!L5</f>
        <v>44.938800000000001</v>
      </c>
      <c r="T146" t="s">
        <v>246</v>
      </c>
    </row>
    <row r="147" spans="4:24" x14ac:dyDescent="0.3">
      <c r="D147" t="s">
        <v>120</v>
      </c>
      <c r="E147">
        <v>2010</v>
      </c>
      <c r="K147">
        <f>'ELC data'!L6</f>
        <v>50.457600000000006</v>
      </c>
      <c r="T147" t="s">
        <v>247</v>
      </c>
    </row>
    <row r="148" spans="4:24" x14ac:dyDescent="0.3">
      <c r="D148" t="s">
        <v>120</v>
      </c>
      <c r="E148">
        <v>2010</v>
      </c>
      <c r="K148">
        <f>'ELC data'!L7</f>
        <v>111.826656</v>
      </c>
      <c r="T148" t="s">
        <v>248</v>
      </c>
    </row>
    <row r="149" spans="4:24" x14ac:dyDescent="0.3">
      <c r="D149" t="s">
        <v>120</v>
      </c>
      <c r="E149">
        <v>2010</v>
      </c>
      <c r="K149">
        <f>'ELC data'!L8</f>
        <v>75.686400000000006</v>
      </c>
      <c r="T149" t="s">
        <v>249</v>
      </c>
    </row>
    <row r="150" spans="4:24" x14ac:dyDescent="0.3">
      <c r="D150" t="s">
        <v>120</v>
      </c>
      <c r="E150">
        <v>2010</v>
      </c>
      <c r="L150">
        <f>'ELC data'!L9</f>
        <v>148.40841600000002</v>
      </c>
      <c r="T150" t="s">
        <v>250</v>
      </c>
    </row>
    <row r="151" spans="4:24" x14ac:dyDescent="0.3">
      <c r="D151" t="s">
        <v>120</v>
      </c>
      <c r="E151">
        <v>2010</v>
      </c>
      <c r="L151">
        <f>'ELC data'!L10</f>
        <v>91.927440000000004</v>
      </c>
      <c r="T151" t="s">
        <v>251</v>
      </c>
    </row>
    <row r="152" spans="4:24" x14ac:dyDescent="0.3">
      <c r="D152" t="s">
        <v>120</v>
      </c>
      <c r="E152">
        <v>2010</v>
      </c>
      <c r="L152">
        <f>'ELC data'!L11</f>
        <v>139.64140800000001</v>
      </c>
      <c r="T152" t="s">
        <v>252</v>
      </c>
    </row>
    <row r="153" spans="4:24" x14ac:dyDescent="0.3">
      <c r="D153" t="s">
        <v>120</v>
      </c>
      <c r="E153">
        <v>2010</v>
      </c>
      <c r="L153">
        <f>'ELC data'!L12</f>
        <v>44.938800000000001</v>
      </c>
      <c r="T153" t="s">
        <v>253</v>
      </c>
    </row>
    <row r="154" spans="4:24" x14ac:dyDescent="0.3">
      <c r="D154" t="s">
        <v>120</v>
      </c>
      <c r="E154">
        <v>2010</v>
      </c>
      <c r="L154">
        <f>'ELC data'!L13</f>
        <v>48.250080000000004</v>
      </c>
      <c r="T154" t="s">
        <v>254</v>
      </c>
    </row>
    <row r="155" spans="4:24" x14ac:dyDescent="0.3">
      <c r="D155" t="s">
        <v>120</v>
      </c>
      <c r="E155">
        <v>2010</v>
      </c>
      <c r="M155">
        <f>'ELC data'!L14</f>
        <v>55.124928000000004</v>
      </c>
      <c r="T155" t="s">
        <v>255</v>
      </c>
    </row>
    <row r="156" spans="4:24" x14ac:dyDescent="0.3">
      <c r="D156" t="s">
        <v>120</v>
      </c>
      <c r="E156">
        <v>2010</v>
      </c>
      <c r="M156">
        <f>'ELC data'!L15</f>
        <v>76.569407999999996</v>
      </c>
      <c r="T156" t="s">
        <v>256</v>
      </c>
    </row>
    <row r="157" spans="4:24" x14ac:dyDescent="0.3">
      <c r="D157" t="s">
        <v>120</v>
      </c>
      <c r="E157">
        <v>2010</v>
      </c>
      <c r="M157">
        <f>'ELC data'!L16</f>
        <v>121.192848</v>
      </c>
      <c r="T157" t="s">
        <v>257</v>
      </c>
    </row>
    <row r="158" spans="4:24" x14ac:dyDescent="0.3">
      <c r="D158" t="s">
        <v>120</v>
      </c>
      <c r="E158">
        <v>2010</v>
      </c>
      <c r="M158">
        <f>'ELC data'!L17</f>
        <v>14.506560000000002</v>
      </c>
      <c r="T158" t="s">
        <v>258</v>
      </c>
    </row>
    <row r="159" spans="4:24" x14ac:dyDescent="0.3">
      <c r="D159" t="s">
        <v>120</v>
      </c>
      <c r="E159">
        <v>2010</v>
      </c>
      <c r="N159">
        <f>'ELC data'!L18</f>
        <v>129.29759999999999</v>
      </c>
      <c r="T159" t="s">
        <v>259</v>
      </c>
    </row>
    <row r="160" spans="4:24" x14ac:dyDescent="0.3">
      <c r="D160" t="s">
        <v>120</v>
      </c>
      <c r="E160">
        <v>2010</v>
      </c>
      <c r="N160">
        <f>'ELC data'!L19</f>
        <v>126.83779200000001</v>
      </c>
      <c r="T160" t="s">
        <v>260</v>
      </c>
    </row>
    <row r="161" spans="2:24" x14ac:dyDescent="0.3">
      <c r="D161" t="s">
        <v>120</v>
      </c>
      <c r="E161">
        <v>2010</v>
      </c>
      <c r="N161">
        <f>'ELC data'!L20</f>
        <v>111.76358400000001</v>
      </c>
      <c r="T161" t="s">
        <v>261</v>
      </c>
    </row>
    <row r="162" spans="2:24" x14ac:dyDescent="0.3">
      <c r="D162" t="s">
        <v>120</v>
      </c>
      <c r="E162">
        <v>2010</v>
      </c>
      <c r="O162">
        <f>'ELC data'!L21</f>
        <v>115.80019200000001</v>
      </c>
      <c r="T162" t="s">
        <v>262</v>
      </c>
    </row>
    <row r="163" spans="2:24" x14ac:dyDescent="0.3">
      <c r="D163" t="s">
        <v>120</v>
      </c>
      <c r="E163">
        <v>2010</v>
      </c>
      <c r="O163">
        <f>'ELC data'!L22</f>
        <v>125.260992</v>
      </c>
      <c r="T163" t="s">
        <v>263</v>
      </c>
      <c r="V163" s="15"/>
    </row>
    <row r="164" spans="2:24" x14ac:dyDescent="0.3">
      <c r="D164" t="s">
        <v>120</v>
      </c>
      <c r="E164">
        <v>2010</v>
      </c>
      <c r="O164">
        <f>'ELC data'!L23</f>
        <v>171.839664</v>
      </c>
      <c r="T164" t="s">
        <v>264</v>
      </c>
      <c r="V164" s="15"/>
    </row>
    <row r="165" spans="2:24" x14ac:dyDescent="0.3">
      <c r="D165" t="s">
        <v>120</v>
      </c>
      <c r="E165">
        <v>2010</v>
      </c>
      <c r="O165">
        <f>'ELC data'!L24</f>
        <v>187.10308800000001</v>
      </c>
      <c r="T165" t="s">
        <v>265</v>
      </c>
      <c r="V165" s="35"/>
    </row>
    <row r="166" spans="2:24" x14ac:dyDescent="0.3">
      <c r="D166" t="s">
        <v>120</v>
      </c>
      <c r="E166">
        <v>2010</v>
      </c>
      <c r="P166">
        <f>'ELC data'!L25</f>
        <v>90.508320000000012</v>
      </c>
      <c r="T166" t="s">
        <v>266</v>
      </c>
      <c r="V166" s="15"/>
    </row>
    <row r="167" spans="2:24" x14ac:dyDescent="0.3">
      <c r="D167" t="s">
        <v>120</v>
      </c>
      <c r="E167">
        <v>2010</v>
      </c>
      <c r="P167">
        <f>'ELC data'!L26</f>
        <v>99.716831999999997</v>
      </c>
      <c r="T167" t="s">
        <v>267</v>
      </c>
      <c r="V167" s="15"/>
    </row>
    <row r="168" spans="2:24" x14ac:dyDescent="0.3">
      <c r="D168" t="s">
        <v>120</v>
      </c>
      <c r="E168">
        <v>2010</v>
      </c>
      <c r="P168">
        <f>'ELC data'!L27</f>
        <v>166.10011200000002</v>
      </c>
      <c r="T168" t="s">
        <v>268</v>
      </c>
      <c r="V168" s="15"/>
    </row>
    <row r="169" spans="2:24" x14ac:dyDescent="0.3">
      <c r="D169" t="s">
        <v>120</v>
      </c>
      <c r="E169">
        <v>2010</v>
      </c>
      <c r="P169">
        <f>'ELC data'!L28</f>
        <v>13.24512</v>
      </c>
      <c r="T169" t="s">
        <v>269</v>
      </c>
      <c r="V169" s="15"/>
    </row>
    <row r="170" spans="2:24" x14ac:dyDescent="0.3">
      <c r="D170" t="s">
        <v>120</v>
      </c>
      <c r="E170">
        <v>2010</v>
      </c>
      <c r="Q170">
        <f>'ELC data'!L29</f>
        <v>16.083360000000003</v>
      </c>
      <c r="T170" t="s">
        <v>270</v>
      </c>
      <c r="V170" s="15"/>
    </row>
    <row r="171" spans="2:24" x14ac:dyDescent="0.3">
      <c r="D171" t="s">
        <v>120</v>
      </c>
      <c r="E171">
        <v>2010</v>
      </c>
      <c r="Q171">
        <f>'ELC data'!L30</f>
        <v>13.24512</v>
      </c>
      <c r="T171" t="s">
        <v>271</v>
      </c>
      <c r="V171" s="15"/>
    </row>
    <row r="172" spans="2:24" s="34" customFormat="1" x14ac:dyDescent="0.3">
      <c r="B172"/>
      <c r="C172"/>
      <c r="D172" t="s">
        <v>120</v>
      </c>
      <c r="E172">
        <v>2010</v>
      </c>
      <c r="F172"/>
      <c r="G172"/>
      <c r="H172"/>
      <c r="I172"/>
      <c r="J172"/>
      <c r="K172"/>
      <c r="L172"/>
      <c r="M172"/>
      <c r="N172"/>
      <c r="O172"/>
      <c r="P172"/>
      <c r="Q172">
        <f>'ELC data'!L31</f>
        <v>97.036271999999997</v>
      </c>
      <c r="R172"/>
      <c r="S172"/>
      <c r="T172" t="s">
        <v>272</v>
      </c>
      <c r="V172"/>
      <c r="X172"/>
    </row>
    <row r="173" spans="2:24" x14ac:dyDescent="0.3">
      <c r="D173" t="s">
        <v>120</v>
      </c>
      <c r="E173">
        <v>2010</v>
      </c>
      <c r="R173">
        <f>'ELC data'!L32</f>
        <v>386.22139200000004</v>
      </c>
      <c r="T173" t="s">
        <v>273</v>
      </c>
      <c r="X173" s="34"/>
    </row>
    <row r="174" spans="2:24" x14ac:dyDescent="0.3">
      <c r="D174" t="s">
        <v>120</v>
      </c>
      <c r="E174">
        <v>2010</v>
      </c>
      <c r="I174">
        <f>'ELC data'!L70</f>
        <v>12.866688</v>
      </c>
      <c r="T174" t="s">
        <v>302</v>
      </c>
    </row>
    <row r="175" spans="2:24" x14ac:dyDescent="0.3">
      <c r="D175" t="s">
        <v>120</v>
      </c>
      <c r="E175">
        <v>2010</v>
      </c>
      <c r="I175">
        <f>'ELC data'!L71</f>
        <v>63.072000000000003</v>
      </c>
      <c r="T175" t="s">
        <v>303</v>
      </c>
    </row>
    <row r="176" spans="2:24" x14ac:dyDescent="0.3">
      <c r="B176" s="34"/>
      <c r="C176" s="34"/>
      <c r="D176" s="34" t="s">
        <v>120</v>
      </c>
      <c r="E176" s="34">
        <v>2010</v>
      </c>
      <c r="F176" s="34"/>
      <c r="G176" s="34"/>
      <c r="H176" s="34"/>
      <c r="I176" s="34">
        <f>'ELC data'!L72</f>
        <v>20.4984</v>
      </c>
      <c r="J176" s="34"/>
      <c r="K176" s="34"/>
      <c r="L176" s="34"/>
      <c r="M176" s="34"/>
      <c r="N176" s="34"/>
      <c r="O176" s="34"/>
      <c r="P176" s="34"/>
      <c r="Q176" s="34"/>
      <c r="R176" s="34"/>
      <c r="S176" s="34"/>
      <c r="T176" s="34" t="s">
        <v>304</v>
      </c>
    </row>
    <row r="177" spans="4:20" x14ac:dyDescent="0.3">
      <c r="D177" t="s">
        <v>120</v>
      </c>
      <c r="E177">
        <v>2010</v>
      </c>
      <c r="I177">
        <f>'ELC data'!L73</f>
        <v>61.495200000000004</v>
      </c>
      <c r="T177" t="s">
        <v>305</v>
      </c>
    </row>
    <row r="178" spans="4:20" x14ac:dyDescent="0.3">
      <c r="D178" t="s">
        <v>120</v>
      </c>
      <c r="E178">
        <v>2010</v>
      </c>
      <c r="I178">
        <f>'ELC data'!L74</f>
        <v>63.072000000000003</v>
      </c>
      <c r="T178" t="s">
        <v>306</v>
      </c>
    </row>
    <row r="179" spans="4:20" x14ac:dyDescent="0.3">
      <c r="D179" t="s">
        <v>120</v>
      </c>
      <c r="E179">
        <v>2010</v>
      </c>
      <c r="I179">
        <f>'ELC data'!L75</f>
        <v>3.1536000000000004</v>
      </c>
      <c r="T179" t="s">
        <v>307</v>
      </c>
    </row>
    <row r="180" spans="4:20" x14ac:dyDescent="0.3">
      <c r="D180" t="s">
        <v>120</v>
      </c>
      <c r="E180">
        <v>2010</v>
      </c>
      <c r="I180">
        <f>'ELC data'!L76</f>
        <v>49.511520000000004</v>
      </c>
      <c r="T180" t="s">
        <v>308</v>
      </c>
    </row>
    <row r="181" spans="4:20" x14ac:dyDescent="0.3">
      <c r="D181" t="s">
        <v>120</v>
      </c>
      <c r="E181">
        <v>2010</v>
      </c>
      <c r="I181">
        <f>'ELC data'!L77</f>
        <v>59.918399999999998</v>
      </c>
      <c r="T181" t="s">
        <v>309</v>
      </c>
    </row>
    <row r="182" spans="4:20" x14ac:dyDescent="0.3">
      <c r="D182" t="s">
        <v>120</v>
      </c>
      <c r="E182">
        <v>2010</v>
      </c>
      <c r="I182">
        <f>'ELC data'!L78</f>
        <v>29.959199999999999</v>
      </c>
      <c r="T182" t="s">
        <v>310</v>
      </c>
    </row>
    <row r="183" spans="4:20" x14ac:dyDescent="0.3">
      <c r="D183" t="s">
        <v>120</v>
      </c>
      <c r="E183">
        <v>2055</v>
      </c>
      <c r="J183">
        <v>44.938800000000001</v>
      </c>
      <c r="T183" t="s">
        <v>246</v>
      </c>
    </row>
    <row r="184" spans="4:20" x14ac:dyDescent="0.3">
      <c r="D184" t="s">
        <v>120</v>
      </c>
      <c r="E184">
        <v>2055</v>
      </c>
      <c r="K184">
        <v>50.457600000000006</v>
      </c>
      <c r="T184" t="s">
        <v>247</v>
      </c>
    </row>
    <row r="185" spans="4:20" x14ac:dyDescent="0.3">
      <c r="D185" t="s">
        <v>120</v>
      </c>
      <c r="E185">
        <v>2055</v>
      </c>
      <c r="K185">
        <v>111.826656</v>
      </c>
      <c r="T185" t="s">
        <v>248</v>
      </c>
    </row>
    <row r="186" spans="4:20" x14ac:dyDescent="0.3">
      <c r="D186" t="s">
        <v>120</v>
      </c>
      <c r="E186">
        <v>2055</v>
      </c>
      <c r="K186">
        <v>75.686400000000006</v>
      </c>
      <c r="T186" t="s">
        <v>249</v>
      </c>
    </row>
    <row r="187" spans="4:20" x14ac:dyDescent="0.3">
      <c r="D187" t="s">
        <v>120</v>
      </c>
      <c r="E187">
        <v>2055</v>
      </c>
      <c r="L187">
        <v>148.40841600000002</v>
      </c>
      <c r="T187" t="s">
        <v>250</v>
      </c>
    </row>
    <row r="188" spans="4:20" x14ac:dyDescent="0.3">
      <c r="D188" t="s">
        <v>120</v>
      </c>
      <c r="E188">
        <v>2055</v>
      </c>
      <c r="L188">
        <v>91.927440000000004</v>
      </c>
      <c r="T188" t="s">
        <v>251</v>
      </c>
    </row>
    <row r="189" spans="4:20" x14ac:dyDescent="0.3">
      <c r="D189" t="s">
        <v>120</v>
      </c>
      <c r="E189">
        <v>2055</v>
      </c>
      <c r="L189">
        <v>139.64140800000001</v>
      </c>
      <c r="T189" t="s">
        <v>252</v>
      </c>
    </row>
    <row r="190" spans="4:20" x14ac:dyDescent="0.3">
      <c r="D190" t="s">
        <v>120</v>
      </c>
      <c r="E190">
        <v>2055</v>
      </c>
      <c r="L190">
        <v>44.938800000000001</v>
      </c>
      <c r="T190" t="s">
        <v>253</v>
      </c>
    </row>
    <row r="191" spans="4:20" x14ac:dyDescent="0.3">
      <c r="D191" t="s">
        <v>120</v>
      </c>
      <c r="E191">
        <v>2055</v>
      </c>
      <c r="L191">
        <v>48.250080000000004</v>
      </c>
      <c r="T191" t="s">
        <v>254</v>
      </c>
    </row>
    <row r="192" spans="4:20" x14ac:dyDescent="0.3">
      <c r="D192" t="s">
        <v>120</v>
      </c>
      <c r="E192">
        <v>2055</v>
      </c>
      <c r="M192">
        <v>55.124928000000004</v>
      </c>
      <c r="T192" t="s">
        <v>255</v>
      </c>
    </row>
    <row r="193" spans="4:22" x14ac:dyDescent="0.3">
      <c r="D193" t="s">
        <v>120</v>
      </c>
      <c r="E193">
        <v>2055</v>
      </c>
      <c r="M193">
        <v>76.569407999999996</v>
      </c>
      <c r="T193" t="s">
        <v>256</v>
      </c>
    </row>
    <row r="194" spans="4:22" x14ac:dyDescent="0.3">
      <c r="D194" t="s">
        <v>120</v>
      </c>
      <c r="E194">
        <v>2055</v>
      </c>
      <c r="M194">
        <v>121.192848</v>
      </c>
      <c r="T194" t="s">
        <v>257</v>
      </c>
    </row>
    <row r="195" spans="4:22" x14ac:dyDescent="0.3">
      <c r="D195" t="s">
        <v>120</v>
      </c>
      <c r="E195">
        <v>2055</v>
      </c>
      <c r="M195">
        <v>14.506560000000002</v>
      </c>
      <c r="T195" t="s">
        <v>258</v>
      </c>
    </row>
    <row r="196" spans="4:22" x14ac:dyDescent="0.3">
      <c r="D196" t="s">
        <v>120</v>
      </c>
      <c r="E196">
        <v>2055</v>
      </c>
      <c r="N196">
        <v>129.29759999999999</v>
      </c>
      <c r="T196" t="s">
        <v>259</v>
      </c>
    </row>
    <row r="197" spans="4:22" x14ac:dyDescent="0.3">
      <c r="D197" t="s">
        <v>120</v>
      </c>
      <c r="E197">
        <v>2055</v>
      </c>
      <c r="N197">
        <v>126.83779200000001</v>
      </c>
      <c r="T197" t="s">
        <v>260</v>
      </c>
    </row>
    <row r="198" spans="4:22" x14ac:dyDescent="0.3">
      <c r="D198" t="s">
        <v>120</v>
      </c>
      <c r="E198">
        <v>2055</v>
      </c>
      <c r="N198">
        <v>111.76358400000001</v>
      </c>
      <c r="T198" t="s">
        <v>261</v>
      </c>
    </row>
    <row r="199" spans="4:22" x14ac:dyDescent="0.3">
      <c r="D199" t="s">
        <v>120</v>
      </c>
      <c r="E199">
        <v>2055</v>
      </c>
      <c r="O199">
        <v>115.80019200000001</v>
      </c>
      <c r="T199" t="s">
        <v>262</v>
      </c>
    </row>
    <row r="200" spans="4:22" x14ac:dyDescent="0.3">
      <c r="D200" t="s">
        <v>120</v>
      </c>
      <c r="E200">
        <v>2055</v>
      </c>
      <c r="O200">
        <v>125.260992</v>
      </c>
      <c r="T200" t="s">
        <v>263</v>
      </c>
      <c r="V200" s="15"/>
    </row>
    <row r="201" spans="4:22" x14ac:dyDescent="0.3">
      <c r="D201" t="s">
        <v>120</v>
      </c>
      <c r="E201">
        <v>2055</v>
      </c>
      <c r="O201">
        <v>171.839664</v>
      </c>
      <c r="T201" t="s">
        <v>264</v>
      </c>
      <c r="V201" s="15"/>
    </row>
    <row r="202" spans="4:22" x14ac:dyDescent="0.3">
      <c r="D202" t="s">
        <v>120</v>
      </c>
      <c r="E202">
        <v>2055</v>
      </c>
      <c r="O202">
        <v>187.10308800000001</v>
      </c>
      <c r="T202" t="s">
        <v>265</v>
      </c>
      <c r="V202" s="35"/>
    </row>
    <row r="203" spans="4:22" x14ac:dyDescent="0.3">
      <c r="D203" t="s">
        <v>120</v>
      </c>
      <c r="E203">
        <v>2055</v>
      </c>
      <c r="P203">
        <v>90.508320000000012</v>
      </c>
      <c r="T203" t="s">
        <v>266</v>
      </c>
      <c r="V203" s="15"/>
    </row>
    <row r="204" spans="4:22" x14ac:dyDescent="0.3">
      <c r="D204" t="s">
        <v>120</v>
      </c>
      <c r="E204">
        <v>2055</v>
      </c>
      <c r="P204">
        <v>99.716831999999997</v>
      </c>
      <c r="T204" t="s">
        <v>267</v>
      </c>
      <c r="V204" s="15"/>
    </row>
    <row r="205" spans="4:22" x14ac:dyDescent="0.3">
      <c r="D205" t="s">
        <v>120</v>
      </c>
      <c r="E205">
        <v>2055</v>
      </c>
      <c r="P205">
        <v>166.10011200000002</v>
      </c>
      <c r="T205" t="s">
        <v>268</v>
      </c>
      <c r="V205" s="15"/>
    </row>
    <row r="206" spans="4:22" x14ac:dyDescent="0.3">
      <c r="D206" t="s">
        <v>120</v>
      </c>
      <c r="E206">
        <v>2055</v>
      </c>
      <c r="P206">
        <v>13.24512</v>
      </c>
      <c r="T206" t="s">
        <v>269</v>
      </c>
      <c r="V206" s="15"/>
    </row>
    <row r="207" spans="4:22" x14ac:dyDescent="0.3">
      <c r="D207" t="s">
        <v>120</v>
      </c>
      <c r="E207">
        <v>2055</v>
      </c>
      <c r="Q207">
        <v>16.083360000000003</v>
      </c>
      <c r="T207" t="s">
        <v>270</v>
      </c>
      <c r="V207" s="15"/>
    </row>
    <row r="208" spans="4:22" x14ac:dyDescent="0.3">
      <c r="D208" t="s">
        <v>120</v>
      </c>
      <c r="E208">
        <v>2055</v>
      </c>
      <c r="Q208">
        <v>13.24512</v>
      </c>
      <c r="T208" t="s">
        <v>271</v>
      </c>
      <c r="V208" s="15"/>
    </row>
    <row r="209" spans="2:24" s="34" customFormat="1" x14ac:dyDescent="0.3">
      <c r="B209"/>
      <c r="C209"/>
      <c r="D209" t="s">
        <v>120</v>
      </c>
      <c r="E209">
        <v>2055</v>
      </c>
      <c r="F209"/>
      <c r="G209"/>
      <c r="H209"/>
      <c r="I209"/>
      <c r="J209"/>
      <c r="K209"/>
      <c r="L209"/>
      <c r="M209"/>
      <c r="N209"/>
      <c r="O209"/>
      <c r="P209"/>
      <c r="Q209">
        <v>97.036271999999997</v>
      </c>
      <c r="R209"/>
      <c r="S209"/>
      <c r="T209" t="s">
        <v>272</v>
      </c>
      <c r="V209"/>
      <c r="X209"/>
    </row>
    <row r="210" spans="2:24" x14ac:dyDescent="0.3">
      <c r="D210" t="s">
        <v>120</v>
      </c>
      <c r="E210">
        <v>2055</v>
      </c>
      <c r="R210">
        <v>386.22139200000004</v>
      </c>
      <c r="T210" t="s">
        <v>273</v>
      </c>
      <c r="X210" s="34"/>
    </row>
    <row r="211" spans="2:24" x14ac:dyDescent="0.3">
      <c r="D211" t="s">
        <v>120</v>
      </c>
      <c r="E211">
        <v>2055</v>
      </c>
      <c r="I211">
        <v>12.866688</v>
      </c>
      <c r="T211" t="s">
        <v>302</v>
      </c>
    </row>
    <row r="212" spans="2:24" x14ac:dyDescent="0.3">
      <c r="D212" t="s">
        <v>120</v>
      </c>
      <c r="E212">
        <v>2055</v>
      </c>
      <c r="I212">
        <v>63.072000000000003</v>
      </c>
      <c r="T212" t="s">
        <v>303</v>
      </c>
    </row>
    <row r="213" spans="2:24" x14ac:dyDescent="0.3">
      <c r="B213" s="34"/>
      <c r="C213" s="34"/>
      <c r="D213" s="34" t="s">
        <v>120</v>
      </c>
      <c r="E213" s="34">
        <v>2055</v>
      </c>
      <c r="F213" s="34"/>
      <c r="G213" s="34"/>
      <c r="H213" s="34"/>
      <c r="I213" s="34">
        <v>20.4984</v>
      </c>
      <c r="J213" s="34"/>
      <c r="K213" s="34"/>
      <c r="L213" s="34"/>
      <c r="M213" s="34"/>
      <c r="N213" s="34"/>
      <c r="O213" s="34"/>
      <c r="P213" s="34"/>
      <c r="Q213" s="34"/>
      <c r="R213" s="34"/>
      <c r="S213" s="34"/>
      <c r="T213" s="34" t="s">
        <v>304</v>
      </c>
    </row>
    <row r="214" spans="2:24" x14ac:dyDescent="0.3">
      <c r="D214" t="s">
        <v>120</v>
      </c>
      <c r="E214">
        <v>2055</v>
      </c>
      <c r="I214">
        <v>61.495200000000004</v>
      </c>
      <c r="T214" t="s">
        <v>305</v>
      </c>
    </row>
    <row r="215" spans="2:24" x14ac:dyDescent="0.3">
      <c r="D215" t="s">
        <v>120</v>
      </c>
      <c r="E215">
        <v>2055</v>
      </c>
      <c r="I215">
        <v>63.072000000000003</v>
      </c>
      <c r="T215" t="s">
        <v>306</v>
      </c>
    </row>
    <row r="216" spans="2:24" x14ac:dyDescent="0.3">
      <c r="D216" t="s">
        <v>120</v>
      </c>
      <c r="E216">
        <v>2055</v>
      </c>
      <c r="I216">
        <v>3.1536000000000004</v>
      </c>
      <c r="T216" t="s">
        <v>307</v>
      </c>
    </row>
    <row r="217" spans="2:24" x14ac:dyDescent="0.3">
      <c r="D217" t="s">
        <v>120</v>
      </c>
      <c r="E217">
        <v>2055</v>
      </c>
      <c r="I217">
        <v>49.511520000000004</v>
      </c>
      <c r="T217" t="s">
        <v>308</v>
      </c>
    </row>
    <row r="218" spans="2:24" x14ac:dyDescent="0.3">
      <c r="D218" t="s">
        <v>120</v>
      </c>
      <c r="E218">
        <v>2055</v>
      </c>
      <c r="I218">
        <v>59.918399999999998</v>
      </c>
      <c r="T218" t="s">
        <v>309</v>
      </c>
    </row>
    <row r="219" spans="2:24" x14ac:dyDescent="0.3">
      <c r="D219" t="s">
        <v>120</v>
      </c>
      <c r="E219">
        <v>2055</v>
      </c>
      <c r="I219">
        <v>29.959199999999999</v>
      </c>
      <c r="T219" t="s">
        <v>310</v>
      </c>
    </row>
    <row r="220" spans="2:24" x14ac:dyDescent="0.3">
      <c r="D220" t="s">
        <v>120</v>
      </c>
      <c r="E220">
        <v>0</v>
      </c>
      <c r="J220">
        <v>5</v>
      </c>
      <c r="T220" t="s">
        <v>246</v>
      </c>
    </row>
    <row r="221" spans="2:24" x14ac:dyDescent="0.3">
      <c r="D221" t="s">
        <v>120</v>
      </c>
      <c r="E221">
        <v>0</v>
      </c>
      <c r="K221">
        <v>5</v>
      </c>
      <c r="T221" t="s">
        <v>247</v>
      </c>
    </row>
    <row r="222" spans="2:24" x14ac:dyDescent="0.3">
      <c r="D222" t="s">
        <v>120</v>
      </c>
      <c r="E222">
        <v>0</v>
      </c>
      <c r="K222">
        <v>5</v>
      </c>
      <c r="T222" t="s">
        <v>248</v>
      </c>
    </row>
    <row r="223" spans="2:24" x14ac:dyDescent="0.3">
      <c r="D223" t="s">
        <v>120</v>
      </c>
      <c r="E223">
        <v>0</v>
      </c>
      <c r="K223">
        <v>5</v>
      </c>
      <c r="T223" t="s">
        <v>249</v>
      </c>
    </row>
    <row r="224" spans="2:24" x14ac:dyDescent="0.3">
      <c r="D224" t="s">
        <v>120</v>
      </c>
      <c r="E224">
        <v>0</v>
      </c>
      <c r="L224">
        <v>5</v>
      </c>
      <c r="T224" t="s">
        <v>250</v>
      </c>
    </row>
    <row r="225" spans="4:22" x14ac:dyDescent="0.3">
      <c r="D225" t="s">
        <v>120</v>
      </c>
      <c r="E225">
        <v>0</v>
      </c>
      <c r="L225">
        <v>5</v>
      </c>
      <c r="T225" t="s">
        <v>251</v>
      </c>
    </row>
    <row r="226" spans="4:22" x14ac:dyDescent="0.3">
      <c r="D226" t="s">
        <v>120</v>
      </c>
      <c r="E226">
        <v>0</v>
      </c>
      <c r="L226">
        <v>5</v>
      </c>
      <c r="T226" t="s">
        <v>252</v>
      </c>
    </row>
    <row r="227" spans="4:22" x14ac:dyDescent="0.3">
      <c r="D227" t="s">
        <v>120</v>
      </c>
      <c r="E227">
        <v>0</v>
      </c>
      <c r="L227">
        <v>5</v>
      </c>
      <c r="T227" t="s">
        <v>253</v>
      </c>
    </row>
    <row r="228" spans="4:22" x14ac:dyDescent="0.3">
      <c r="D228" t="s">
        <v>120</v>
      </c>
      <c r="E228">
        <v>0</v>
      </c>
      <c r="L228">
        <v>5</v>
      </c>
      <c r="T228" t="s">
        <v>254</v>
      </c>
    </row>
    <row r="229" spans="4:22" x14ac:dyDescent="0.3">
      <c r="D229" t="s">
        <v>120</v>
      </c>
      <c r="E229">
        <v>0</v>
      </c>
      <c r="M229">
        <v>5</v>
      </c>
      <c r="T229" t="s">
        <v>255</v>
      </c>
    </row>
    <row r="230" spans="4:22" x14ac:dyDescent="0.3">
      <c r="D230" t="s">
        <v>120</v>
      </c>
      <c r="E230">
        <v>0</v>
      </c>
      <c r="M230">
        <v>5</v>
      </c>
      <c r="T230" t="s">
        <v>256</v>
      </c>
    </row>
    <row r="231" spans="4:22" x14ac:dyDescent="0.3">
      <c r="D231" t="s">
        <v>120</v>
      </c>
      <c r="E231">
        <v>0</v>
      </c>
      <c r="M231">
        <v>5</v>
      </c>
      <c r="T231" t="s">
        <v>257</v>
      </c>
    </row>
    <row r="232" spans="4:22" x14ac:dyDescent="0.3">
      <c r="D232" t="s">
        <v>120</v>
      </c>
      <c r="E232">
        <v>0</v>
      </c>
      <c r="M232">
        <v>5</v>
      </c>
      <c r="T232" t="s">
        <v>258</v>
      </c>
    </row>
    <row r="233" spans="4:22" x14ac:dyDescent="0.3">
      <c r="D233" t="s">
        <v>120</v>
      </c>
      <c r="E233">
        <v>0</v>
      </c>
      <c r="N233">
        <v>5</v>
      </c>
      <c r="T233" t="s">
        <v>259</v>
      </c>
    </row>
    <row r="234" spans="4:22" x14ac:dyDescent="0.3">
      <c r="D234" t="s">
        <v>120</v>
      </c>
      <c r="E234">
        <v>0</v>
      </c>
      <c r="N234">
        <v>5</v>
      </c>
      <c r="T234" t="s">
        <v>260</v>
      </c>
    </row>
    <row r="235" spans="4:22" x14ac:dyDescent="0.3">
      <c r="D235" t="s">
        <v>120</v>
      </c>
      <c r="E235">
        <v>0</v>
      </c>
      <c r="N235">
        <v>5</v>
      </c>
      <c r="T235" t="s">
        <v>261</v>
      </c>
    </row>
    <row r="236" spans="4:22" x14ac:dyDescent="0.3">
      <c r="D236" t="s">
        <v>120</v>
      </c>
      <c r="E236">
        <v>0</v>
      </c>
      <c r="O236">
        <v>5</v>
      </c>
      <c r="T236" t="s">
        <v>262</v>
      </c>
    </row>
    <row r="237" spans="4:22" x14ac:dyDescent="0.3">
      <c r="D237" t="s">
        <v>120</v>
      </c>
      <c r="E237">
        <v>0</v>
      </c>
      <c r="O237">
        <v>5</v>
      </c>
      <c r="T237" t="s">
        <v>263</v>
      </c>
      <c r="V237" s="15"/>
    </row>
    <row r="238" spans="4:22" x14ac:dyDescent="0.3">
      <c r="D238" t="s">
        <v>120</v>
      </c>
      <c r="E238">
        <v>0</v>
      </c>
      <c r="O238">
        <v>5</v>
      </c>
      <c r="T238" t="s">
        <v>264</v>
      </c>
      <c r="V238" s="15"/>
    </row>
    <row r="239" spans="4:22" x14ac:dyDescent="0.3">
      <c r="D239" t="s">
        <v>120</v>
      </c>
      <c r="E239">
        <v>0</v>
      </c>
      <c r="O239">
        <v>5</v>
      </c>
      <c r="T239" t="s">
        <v>265</v>
      </c>
      <c r="V239" s="15"/>
    </row>
    <row r="240" spans="4:22" x14ac:dyDescent="0.3">
      <c r="D240" t="s">
        <v>120</v>
      </c>
      <c r="E240">
        <v>0</v>
      </c>
      <c r="P240">
        <v>5</v>
      </c>
      <c r="T240" t="s">
        <v>266</v>
      </c>
      <c r="V240" s="15"/>
    </row>
    <row r="241" spans="2:24" x14ac:dyDescent="0.3">
      <c r="D241" t="s">
        <v>120</v>
      </c>
      <c r="E241">
        <v>0</v>
      </c>
      <c r="P241">
        <v>5</v>
      </c>
      <c r="T241" t="s">
        <v>267</v>
      </c>
      <c r="V241" s="15"/>
    </row>
    <row r="242" spans="2:24" x14ac:dyDescent="0.3">
      <c r="D242" t="s">
        <v>120</v>
      </c>
      <c r="E242">
        <v>0</v>
      </c>
      <c r="P242">
        <v>5</v>
      </c>
      <c r="T242" t="s">
        <v>268</v>
      </c>
      <c r="V242" s="15"/>
    </row>
    <row r="243" spans="2:24" x14ac:dyDescent="0.3">
      <c r="D243" t="s">
        <v>120</v>
      </c>
      <c r="E243">
        <v>0</v>
      </c>
      <c r="P243">
        <v>5</v>
      </c>
      <c r="T243" t="s">
        <v>269</v>
      </c>
      <c r="V243" s="35"/>
    </row>
    <row r="244" spans="2:24" x14ac:dyDescent="0.3">
      <c r="D244" t="s">
        <v>120</v>
      </c>
      <c r="E244">
        <v>0</v>
      </c>
      <c r="Q244">
        <v>5</v>
      </c>
      <c r="T244" t="s">
        <v>270</v>
      </c>
      <c r="V244" s="35"/>
    </row>
    <row r="245" spans="2:24" x14ac:dyDescent="0.3">
      <c r="D245" t="s">
        <v>120</v>
      </c>
      <c r="E245">
        <v>0</v>
      </c>
      <c r="Q245">
        <v>5</v>
      </c>
      <c r="T245" t="s">
        <v>271</v>
      </c>
      <c r="V245" s="15"/>
    </row>
    <row r="246" spans="2:24" x14ac:dyDescent="0.3">
      <c r="D246" t="s">
        <v>120</v>
      </c>
      <c r="E246">
        <v>0</v>
      </c>
      <c r="Q246">
        <v>5</v>
      </c>
      <c r="T246" t="s">
        <v>272</v>
      </c>
    </row>
    <row r="247" spans="2:24" x14ac:dyDescent="0.3">
      <c r="D247" t="s">
        <v>120</v>
      </c>
      <c r="E247">
        <v>0</v>
      </c>
      <c r="R247">
        <v>5</v>
      </c>
      <c r="T247" t="s">
        <v>273</v>
      </c>
    </row>
    <row r="248" spans="2:24" x14ac:dyDescent="0.3">
      <c r="D248" t="s">
        <v>120</v>
      </c>
      <c r="E248">
        <v>0</v>
      </c>
      <c r="I248">
        <v>5</v>
      </c>
      <c r="T248" t="s">
        <v>302</v>
      </c>
    </row>
    <row r="249" spans="2:24" x14ac:dyDescent="0.3">
      <c r="D249" t="s">
        <v>120</v>
      </c>
      <c r="E249">
        <v>0</v>
      </c>
      <c r="I249">
        <v>5</v>
      </c>
      <c r="T249" t="s">
        <v>303</v>
      </c>
    </row>
    <row r="250" spans="2:24" s="34" customFormat="1" x14ac:dyDescent="0.3">
      <c r="B250"/>
      <c r="C250"/>
      <c r="D250" t="s">
        <v>120</v>
      </c>
      <c r="E250">
        <v>0</v>
      </c>
      <c r="F250"/>
      <c r="G250"/>
      <c r="H250"/>
      <c r="I250">
        <v>5</v>
      </c>
      <c r="J250"/>
      <c r="K250"/>
      <c r="L250"/>
      <c r="M250"/>
      <c r="N250"/>
      <c r="O250"/>
      <c r="P250"/>
      <c r="Q250"/>
      <c r="R250"/>
      <c r="S250"/>
      <c r="T250" t="s">
        <v>304</v>
      </c>
      <c r="V250"/>
      <c r="X250"/>
    </row>
    <row r="251" spans="2:24" s="34" customFormat="1" x14ac:dyDescent="0.3">
      <c r="B251"/>
      <c r="C251"/>
      <c r="D251" t="s">
        <v>120</v>
      </c>
      <c r="E251">
        <v>0</v>
      </c>
      <c r="F251"/>
      <c r="G251"/>
      <c r="H251"/>
      <c r="I251">
        <v>5</v>
      </c>
      <c r="J251"/>
      <c r="K251"/>
      <c r="L251"/>
      <c r="M251"/>
      <c r="N251"/>
      <c r="O251"/>
      <c r="P251"/>
      <c r="Q251"/>
      <c r="R251"/>
      <c r="S251"/>
      <c r="T251" t="s">
        <v>305</v>
      </c>
      <c r="V251"/>
    </row>
    <row r="252" spans="2:24" x14ac:dyDescent="0.3">
      <c r="D252" t="s">
        <v>120</v>
      </c>
      <c r="E252">
        <v>0</v>
      </c>
      <c r="I252">
        <v>5</v>
      </c>
      <c r="T252" t="s">
        <v>306</v>
      </c>
      <c r="X252" s="34"/>
    </row>
    <row r="253" spans="2:24" x14ac:dyDescent="0.3">
      <c r="D253" t="s">
        <v>120</v>
      </c>
      <c r="E253">
        <v>0</v>
      </c>
      <c r="I253">
        <v>5</v>
      </c>
      <c r="T253" t="s">
        <v>307</v>
      </c>
    </row>
    <row r="254" spans="2:24" x14ac:dyDescent="0.3">
      <c r="B254" s="34"/>
      <c r="C254" s="34"/>
      <c r="D254" s="34" t="s">
        <v>120</v>
      </c>
      <c r="E254" s="34">
        <v>0</v>
      </c>
      <c r="F254" s="34"/>
      <c r="G254" s="34"/>
      <c r="H254" s="34"/>
      <c r="I254" s="34">
        <v>5</v>
      </c>
      <c r="J254" s="34"/>
      <c r="K254" s="34"/>
      <c r="L254" s="34"/>
      <c r="M254" s="34"/>
      <c r="N254" s="34"/>
      <c r="O254" s="34"/>
      <c r="P254" s="34"/>
      <c r="Q254" s="34"/>
      <c r="R254" s="34"/>
      <c r="S254" s="34"/>
      <c r="T254" s="34" t="s">
        <v>308</v>
      </c>
    </row>
    <row r="255" spans="2:24" x14ac:dyDescent="0.3">
      <c r="B255" s="34"/>
      <c r="C255" s="34"/>
      <c r="D255" s="34" t="s">
        <v>120</v>
      </c>
      <c r="E255" s="34">
        <v>0</v>
      </c>
      <c r="F255" s="34"/>
      <c r="G255" s="34"/>
      <c r="H255" s="34"/>
      <c r="I255" s="34">
        <v>5</v>
      </c>
      <c r="J255" s="34"/>
      <c r="K255" s="34"/>
      <c r="L255" s="34"/>
      <c r="M255" s="34"/>
      <c r="N255" s="34"/>
      <c r="O255" s="34"/>
      <c r="P255" s="34"/>
      <c r="Q255" s="34"/>
      <c r="R255" s="34"/>
      <c r="S255" s="34"/>
      <c r="T255" s="34" t="s">
        <v>309</v>
      </c>
    </row>
    <row r="256" spans="2:24" x14ac:dyDescent="0.3">
      <c r="D256" t="s">
        <v>120</v>
      </c>
      <c r="E256">
        <v>0</v>
      </c>
      <c r="I256">
        <v>5</v>
      </c>
      <c r="T256" t="s">
        <v>310</v>
      </c>
    </row>
    <row r="257" spans="4:20" x14ac:dyDescent="0.3">
      <c r="D257" t="s">
        <v>119</v>
      </c>
      <c r="E257">
        <v>2010</v>
      </c>
      <c r="J257">
        <v>0</v>
      </c>
      <c r="T257" t="s">
        <v>246</v>
      </c>
    </row>
    <row r="258" spans="4:20" x14ac:dyDescent="0.3">
      <c r="D258" t="s">
        <v>119</v>
      </c>
      <c r="E258">
        <v>2010</v>
      </c>
      <c r="K258">
        <v>0</v>
      </c>
      <c r="T258" t="s">
        <v>247</v>
      </c>
    </row>
    <row r="259" spans="4:20" x14ac:dyDescent="0.3">
      <c r="D259" t="s">
        <v>119</v>
      </c>
      <c r="E259">
        <v>2010</v>
      </c>
      <c r="K259">
        <v>0</v>
      </c>
      <c r="T259" t="s">
        <v>248</v>
      </c>
    </row>
    <row r="260" spans="4:20" x14ac:dyDescent="0.3">
      <c r="D260" t="s">
        <v>119</v>
      </c>
      <c r="E260">
        <v>2010</v>
      </c>
      <c r="K260">
        <v>0</v>
      </c>
      <c r="T260" t="s">
        <v>249</v>
      </c>
    </row>
    <row r="261" spans="4:20" x14ac:dyDescent="0.3">
      <c r="D261" t="s">
        <v>119</v>
      </c>
      <c r="E261">
        <v>2010</v>
      </c>
      <c r="L261">
        <v>0</v>
      </c>
      <c r="T261" t="s">
        <v>250</v>
      </c>
    </row>
    <row r="262" spans="4:20" x14ac:dyDescent="0.3">
      <c r="D262" t="s">
        <v>119</v>
      </c>
      <c r="E262">
        <v>2010</v>
      </c>
      <c r="L262">
        <v>0</v>
      </c>
      <c r="T262" t="s">
        <v>251</v>
      </c>
    </row>
    <row r="263" spans="4:20" x14ac:dyDescent="0.3">
      <c r="D263" t="s">
        <v>119</v>
      </c>
      <c r="E263">
        <v>2010</v>
      </c>
      <c r="L263">
        <v>0</v>
      </c>
      <c r="T263" t="s">
        <v>252</v>
      </c>
    </row>
    <row r="264" spans="4:20" x14ac:dyDescent="0.3">
      <c r="D264" t="s">
        <v>119</v>
      </c>
      <c r="E264">
        <v>2010</v>
      </c>
      <c r="L264">
        <v>0</v>
      </c>
      <c r="T264" t="s">
        <v>253</v>
      </c>
    </row>
    <row r="265" spans="4:20" x14ac:dyDescent="0.3">
      <c r="D265" t="s">
        <v>119</v>
      </c>
      <c r="E265">
        <v>2010</v>
      </c>
      <c r="L265">
        <v>0</v>
      </c>
      <c r="T265" t="s">
        <v>254</v>
      </c>
    </row>
    <row r="266" spans="4:20" x14ac:dyDescent="0.3">
      <c r="D266" t="s">
        <v>119</v>
      </c>
      <c r="E266">
        <v>2010</v>
      </c>
      <c r="M266">
        <v>0</v>
      </c>
      <c r="T266" t="s">
        <v>255</v>
      </c>
    </row>
    <row r="267" spans="4:20" x14ac:dyDescent="0.3">
      <c r="D267" t="s">
        <v>119</v>
      </c>
      <c r="E267">
        <v>2010</v>
      </c>
      <c r="M267">
        <v>0</v>
      </c>
      <c r="T267" t="s">
        <v>256</v>
      </c>
    </row>
    <row r="268" spans="4:20" x14ac:dyDescent="0.3">
      <c r="D268" t="s">
        <v>119</v>
      </c>
      <c r="E268">
        <v>2010</v>
      </c>
      <c r="M268">
        <v>0</v>
      </c>
      <c r="T268" t="s">
        <v>257</v>
      </c>
    </row>
    <row r="269" spans="4:20" x14ac:dyDescent="0.3">
      <c r="D269" t="s">
        <v>119</v>
      </c>
      <c r="E269">
        <v>2010</v>
      </c>
      <c r="M269">
        <v>0</v>
      </c>
      <c r="T269" t="s">
        <v>258</v>
      </c>
    </row>
    <row r="270" spans="4:20" x14ac:dyDescent="0.3">
      <c r="D270" t="s">
        <v>119</v>
      </c>
      <c r="E270">
        <v>2010</v>
      </c>
      <c r="N270">
        <v>0</v>
      </c>
      <c r="T270" t="s">
        <v>259</v>
      </c>
    </row>
    <row r="271" spans="4:20" x14ac:dyDescent="0.3">
      <c r="D271" t="s">
        <v>119</v>
      </c>
      <c r="E271">
        <v>2010</v>
      </c>
      <c r="N271">
        <v>0</v>
      </c>
      <c r="T271" t="s">
        <v>260</v>
      </c>
    </row>
    <row r="272" spans="4:20" x14ac:dyDescent="0.3">
      <c r="D272" t="s">
        <v>119</v>
      </c>
      <c r="E272">
        <v>2010</v>
      </c>
      <c r="N272">
        <v>0</v>
      </c>
      <c r="T272" t="s">
        <v>261</v>
      </c>
    </row>
    <row r="273" spans="4:22" x14ac:dyDescent="0.3">
      <c r="D273" t="s">
        <v>119</v>
      </c>
      <c r="E273">
        <v>2010</v>
      </c>
      <c r="O273">
        <v>0</v>
      </c>
      <c r="T273" t="s">
        <v>262</v>
      </c>
    </row>
    <row r="274" spans="4:22" x14ac:dyDescent="0.3">
      <c r="D274" t="s">
        <v>119</v>
      </c>
      <c r="E274">
        <v>2010</v>
      </c>
      <c r="O274">
        <v>0</v>
      </c>
      <c r="T274" t="s">
        <v>263</v>
      </c>
      <c r="V274" s="15"/>
    </row>
    <row r="275" spans="4:22" x14ac:dyDescent="0.3">
      <c r="D275" t="s">
        <v>119</v>
      </c>
      <c r="E275">
        <v>2010</v>
      </c>
      <c r="O275">
        <v>0</v>
      </c>
      <c r="T275" t="s">
        <v>264</v>
      </c>
      <c r="V275" s="15"/>
    </row>
    <row r="276" spans="4:22" x14ac:dyDescent="0.3">
      <c r="D276" t="s">
        <v>119</v>
      </c>
      <c r="E276">
        <v>2010</v>
      </c>
      <c r="O276">
        <v>0</v>
      </c>
      <c r="T276" t="s">
        <v>265</v>
      </c>
      <c r="V276" s="15"/>
    </row>
    <row r="277" spans="4:22" x14ac:dyDescent="0.3">
      <c r="D277" t="s">
        <v>119</v>
      </c>
      <c r="E277">
        <v>2010</v>
      </c>
      <c r="P277">
        <v>0</v>
      </c>
      <c r="T277" t="s">
        <v>266</v>
      </c>
      <c r="V277" s="15"/>
    </row>
    <row r="278" spans="4:22" x14ac:dyDescent="0.3">
      <c r="D278" t="s">
        <v>119</v>
      </c>
      <c r="E278">
        <v>2010</v>
      </c>
      <c r="P278">
        <v>0</v>
      </c>
      <c r="T278" t="s">
        <v>267</v>
      </c>
      <c r="V278" s="15"/>
    </row>
    <row r="279" spans="4:22" x14ac:dyDescent="0.3">
      <c r="D279" t="s">
        <v>119</v>
      </c>
      <c r="E279">
        <v>2010</v>
      </c>
      <c r="P279">
        <v>0</v>
      </c>
      <c r="T279" t="s">
        <v>268</v>
      </c>
      <c r="V279" s="15"/>
    </row>
    <row r="280" spans="4:22" x14ac:dyDescent="0.3">
      <c r="D280" t="s">
        <v>119</v>
      </c>
      <c r="E280">
        <v>2010</v>
      </c>
      <c r="P280">
        <v>0</v>
      </c>
      <c r="T280" t="s">
        <v>269</v>
      </c>
      <c r="V280" s="15"/>
    </row>
    <row r="281" spans="4:22" x14ac:dyDescent="0.3">
      <c r="D281" t="s">
        <v>119</v>
      </c>
      <c r="E281">
        <v>2010</v>
      </c>
      <c r="Q281">
        <v>0</v>
      </c>
      <c r="T281" t="s">
        <v>270</v>
      </c>
      <c r="V281" s="15"/>
    </row>
    <row r="282" spans="4:22" x14ac:dyDescent="0.3">
      <c r="D282" t="s">
        <v>119</v>
      </c>
      <c r="E282">
        <v>2010</v>
      </c>
      <c r="Q282">
        <v>0</v>
      </c>
      <c r="T282" t="s">
        <v>271</v>
      </c>
      <c r="V282" s="15"/>
    </row>
    <row r="283" spans="4:22" x14ac:dyDescent="0.3">
      <c r="D283" t="s">
        <v>119</v>
      </c>
      <c r="E283">
        <v>2010</v>
      </c>
      <c r="Q283">
        <v>0</v>
      </c>
      <c r="T283" t="s">
        <v>272</v>
      </c>
    </row>
    <row r="284" spans="4:22" x14ac:dyDescent="0.3">
      <c r="D284" t="s">
        <v>119</v>
      </c>
      <c r="E284">
        <v>2010</v>
      </c>
      <c r="R284">
        <v>0</v>
      </c>
      <c r="T284" t="s">
        <v>273</v>
      </c>
    </row>
    <row r="285" spans="4:22" x14ac:dyDescent="0.3">
      <c r="D285" t="s">
        <v>119</v>
      </c>
      <c r="E285">
        <v>2010</v>
      </c>
      <c r="I285">
        <v>0</v>
      </c>
      <c r="T285" t="s">
        <v>302</v>
      </c>
    </row>
    <row r="286" spans="4:22" x14ac:dyDescent="0.3">
      <c r="D286" t="s">
        <v>119</v>
      </c>
      <c r="E286">
        <v>2010</v>
      </c>
      <c r="I286">
        <v>0</v>
      </c>
      <c r="T286" t="s">
        <v>303</v>
      </c>
    </row>
    <row r="287" spans="4:22" x14ac:dyDescent="0.3">
      <c r="D287" t="s">
        <v>119</v>
      </c>
      <c r="E287">
        <v>2010</v>
      </c>
      <c r="I287">
        <v>0</v>
      </c>
      <c r="T287" t="s">
        <v>304</v>
      </c>
    </row>
    <row r="288" spans="4:22" x14ac:dyDescent="0.3">
      <c r="D288" t="s">
        <v>119</v>
      </c>
      <c r="E288">
        <v>2010</v>
      </c>
      <c r="I288">
        <v>0</v>
      </c>
      <c r="T288" t="s">
        <v>305</v>
      </c>
    </row>
    <row r="289" spans="4:20" x14ac:dyDescent="0.3">
      <c r="D289" t="s">
        <v>119</v>
      </c>
      <c r="E289">
        <v>2010</v>
      </c>
      <c r="I289">
        <v>0</v>
      </c>
      <c r="T289" t="s">
        <v>306</v>
      </c>
    </row>
    <row r="290" spans="4:20" x14ac:dyDescent="0.3">
      <c r="D290" t="s">
        <v>119</v>
      </c>
      <c r="E290">
        <v>2010</v>
      </c>
      <c r="I290">
        <v>0</v>
      </c>
      <c r="T290" t="s">
        <v>307</v>
      </c>
    </row>
    <row r="291" spans="4:20" x14ac:dyDescent="0.3">
      <c r="D291" t="s">
        <v>119</v>
      </c>
      <c r="E291">
        <v>2010</v>
      </c>
      <c r="I291">
        <v>0</v>
      </c>
      <c r="T291" t="s">
        <v>308</v>
      </c>
    </row>
    <row r="292" spans="4:20" x14ac:dyDescent="0.3">
      <c r="D292" t="s">
        <v>119</v>
      </c>
      <c r="E292">
        <v>2010</v>
      </c>
      <c r="I292">
        <v>0</v>
      </c>
      <c r="T292" t="s">
        <v>309</v>
      </c>
    </row>
    <row r="293" spans="4:20" x14ac:dyDescent="0.3">
      <c r="D293" t="s">
        <v>119</v>
      </c>
      <c r="E293">
        <v>2010</v>
      </c>
      <c r="I293">
        <v>0</v>
      </c>
      <c r="T293" t="s">
        <v>310</v>
      </c>
    </row>
    <row r="294" spans="4:20" x14ac:dyDescent="0.3">
      <c r="D294" t="s">
        <v>119</v>
      </c>
      <c r="E294">
        <v>0</v>
      </c>
      <c r="J294">
        <v>5</v>
      </c>
      <c r="T294" t="s">
        <v>246</v>
      </c>
    </row>
    <row r="295" spans="4:20" x14ac:dyDescent="0.3">
      <c r="D295" t="s">
        <v>119</v>
      </c>
      <c r="E295">
        <v>0</v>
      </c>
      <c r="K295">
        <v>5</v>
      </c>
      <c r="T295" t="s">
        <v>247</v>
      </c>
    </row>
    <row r="296" spans="4:20" x14ac:dyDescent="0.3">
      <c r="D296" t="s">
        <v>119</v>
      </c>
      <c r="E296">
        <v>0</v>
      </c>
      <c r="K296">
        <v>5</v>
      </c>
      <c r="T296" t="s">
        <v>248</v>
      </c>
    </row>
    <row r="297" spans="4:20" x14ac:dyDescent="0.3">
      <c r="D297" t="s">
        <v>119</v>
      </c>
      <c r="E297">
        <v>0</v>
      </c>
      <c r="K297">
        <v>5</v>
      </c>
      <c r="T297" t="s">
        <v>249</v>
      </c>
    </row>
    <row r="298" spans="4:20" x14ac:dyDescent="0.3">
      <c r="D298" t="s">
        <v>119</v>
      </c>
      <c r="E298">
        <v>0</v>
      </c>
      <c r="L298">
        <v>5</v>
      </c>
      <c r="T298" t="s">
        <v>250</v>
      </c>
    </row>
    <row r="299" spans="4:20" x14ac:dyDescent="0.3">
      <c r="D299" t="s">
        <v>119</v>
      </c>
      <c r="E299">
        <v>0</v>
      </c>
      <c r="L299">
        <v>5</v>
      </c>
      <c r="T299" t="s">
        <v>251</v>
      </c>
    </row>
    <row r="300" spans="4:20" x14ac:dyDescent="0.3">
      <c r="D300" t="s">
        <v>119</v>
      </c>
      <c r="E300">
        <v>0</v>
      </c>
      <c r="L300">
        <v>5</v>
      </c>
      <c r="T300" t="s">
        <v>252</v>
      </c>
    </row>
    <row r="301" spans="4:20" x14ac:dyDescent="0.3">
      <c r="D301" t="s">
        <v>119</v>
      </c>
      <c r="E301">
        <v>0</v>
      </c>
      <c r="L301">
        <v>5</v>
      </c>
      <c r="T301" t="s">
        <v>253</v>
      </c>
    </row>
    <row r="302" spans="4:20" x14ac:dyDescent="0.3">
      <c r="D302" t="s">
        <v>119</v>
      </c>
      <c r="E302">
        <v>0</v>
      </c>
      <c r="L302">
        <v>5</v>
      </c>
      <c r="T302" t="s">
        <v>254</v>
      </c>
    </row>
    <row r="303" spans="4:20" x14ac:dyDescent="0.3">
      <c r="D303" t="s">
        <v>119</v>
      </c>
      <c r="E303">
        <v>0</v>
      </c>
      <c r="M303">
        <v>5</v>
      </c>
      <c r="T303" t="s">
        <v>255</v>
      </c>
    </row>
    <row r="304" spans="4:20" x14ac:dyDescent="0.3">
      <c r="D304" t="s">
        <v>119</v>
      </c>
      <c r="E304">
        <v>0</v>
      </c>
      <c r="M304">
        <v>5</v>
      </c>
      <c r="T304" t="s">
        <v>256</v>
      </c>
    </row>
    <row r="305" spans="4:22" x14ac:dyDescent="0.3">
      <c r="D305" t="s">
        <v>119</v>
      </c>
      <c r="E305">
        <v>0</v>
      </c>
      <c r="M305">
        <v>5</v>
      </c>
      <c r="T305" t="s">
        <v>257</v>
      </c>
    </row>
    <row r="306" spans="4:22" x14ac:dyDescent="0.3">
      <c r="D306" t="s">
        <v>119</v>
      </c>
      <c r="E306">
        <v>0</v>
      </c>
      <c r="M306">
        <v>5</v>
      </c>
      <c r="T306" t="s">
        <v>258</v>
      </c>
    </row>
    <row r="307" spans="4:22" x14ac:dyDescent="0.3">
      <c r="D307" t="s">
        <v>119</v>
      </c>
      <c r="E307">
        <v>0</v>
      </c>
      <c r="N307">
        <v>5</v>
      </c>
      <c r="T307" t="s">
        <v>259</v>
      </c>
    </row>
    <row r="308" spans="4:22" x14ac:dyDescent="0.3">
      <c r="D308" t="s">
        <v>119</v>
      </c>
      <c r="E308">
        <v>0</v>
      </c>
      <c r="N308">
        <v>5</v>
      </c>
      <c r="T308" t="s">
        <v>260</v>
      </c>
    </row>
    <row r="309" spans="4:22" x14ac:dyDescent="0.3">
      <c r="D309" t="s">
        <v>119</v>
      </c>
      <c r="E309">
        <v>0</v>
      </c>
      <c r="N309">
        <v>5</v>
      </c>
      <c r="T309" t="s">
        <v>261</v>
      </c>
    </row>
    <row r="310" spans="4:22" x14ac:dyDescent="0.3">
      <c r="D310" t="s">
        <v>119</v>
      </c>
      <c r="E310">
        <v>0</v>
      </c>
      <c r="O310">
        <v>5</v>
      </c>
      <c r="T310" t="s">
        <v>262</v>
      </c>
    </row>
    <row r="311" spans="4:22" x14ac:dyDescent="0.3">
      <c r="D311" t="s">
        <v>119</v>
      </c>
      <c r="E311">
        <v>0</v>
      </c>
      <c r="O311">
        <v>5</v>
      </c>
      <c r="T311" t="s">
        <v>263</v>
      </c>
      <c r="V311" s="15"/>
    </row>
    <row r="312" spans="4:22" x14ac:dyDescent="0.3">
      <c r="D312" t="s">
        <v>119</v>
      </c>
      <c r="E312">
        <v>0</v>
      </c>
      <c r="O312">
        <v>5</v>
      </c>
      <c r="T312" t="s">
        <v>264</v>
      </c>
      <c r="V312" s="15"/>
    </row>
    <row r="313" spans="4:22" x14ac:dyDescent="0.3">
      <c r="D313" t="s">
        <v>119</v>
      </c>
      <c r="E313">
        <v>0</v>
      </c>
      <c r="O313">
        <v>5</v>
      </c>
      <c r="T313" t="s">
        <v>265</v>
      </c>
      <c r="V313" s="15"/>
    </row>
    <row r="314" spans="4:22" x14ac:dyDescent="0.3">
      <c r="D314" t="s">
        <v>119</v>
      </c>
      <c r="E314">
        <v>0</v>
      </c>
      <c r="P314">
        <v>5</v>
      </c>
      <c r="T314" t="s">
        <v>266</v>
      </c>
      <c r="V314" s="15"/>
    </row>
    <row r="315" spans="4:22" x14ac:dyDescent="0.3">
      <c r="D315" t="s">
        <v>119</v>
      </c>
      <c r="E315">
        <v>0</v>
      </c>
      <c r="P315">
        <v>5</v>
      </c>
      <c r="T315" t="s">
        <v>267</v>
      </c>
      <c r="V315" s="15"/>
    </row>
    <row r="316" spans="4:22" x14ac:dyDescent="0.3">
      <c r="D316" t="s">
        <v>119</v>
      </c>
      <c r="E316">
        <v>0</v>
      </c>
      <c r="P316">
        <v>5</v>
      </c>
      <c r="T316" t="s">
        <v>268</v>
      </c>
      <c r="V316" s="15"/>
    </row>
    <row r="317" spans="4:22" x14ac:dyDescent="0.3">
      <c r="D317" t="s">
        <v>119</v>
      </c>
      <c r="E317">
        <v>0</v>
      </c>
      <c r="P317">
        <v>5</v>
      </c>
      <c r="T317" t="s">
        <v>269</v>
      </c>
      <c r="V317" s="15"/>
    </row>
    <row r="318" spans="4:22" x14ac:dyDescent="0.3">
      <c r="D318" t="s">
        <v>119</v>
      </c>
      <c r="E318">
        <v>0</v>
      </c>
      <c r="Q318">
        <v>5</v>
      </c>
      <c r="T318" t="s">
        <v>270</v>
      </c>
      <c r="V318" s="15"/>
    </row>
    <row r="319" spans="4:22" x14ac:dyDescent="0.3">
      <c r="D319" t="s">
        <v>119</v>
      </c>
      <c r="E319">
        <v>0</v>
      </c>
      <c r="Q319">
        <v>5</v>
      </c>
      <c r="T319" t="s">
        <v>271</v>
      </c>
      <c r="V319" s="15"/>
    </row>
    <row r="320" spans="4:22" x14ac:dyDescent="0.3">
      <c r="D320" t="s">
        <v>119</v>
      </c>
      <c r="E320">
        <v>0</v>
      </c>
      <c r="Q320">
        <v>5</v>
      </c>
      <c r="T320" t="s">
        <v>272</v>
      </c>
    </row>
    <row r="321" spans="4:20" x14ac:dyDescent="0.3">
      <c r="D321" t="s">
        <v>119</v>
      </c>
      <c r="E321">
        <v>0</v>
      </c>
      <c r="R321">
        <v>5</v>
      </c>
      <c r="T321" t="s">
        <v>273</v>
      </c>
    </row>
    <row r="322" spans="4:20" x14ac:dyDescent="0.3">
      <c r="D322" t="s">
        <v>119</v>
      </c>
      <c r="E322">
        <v>0</v>
      </c>
      <c r="I322">
        <v>5</v>
      </c>
      <c r="T322" t="s">
        <v>302</v>
      </c>
    </row>
    <row r="323" spans="4:20" x14ac:dyDescent="0.3">
      <c r="D323" t="s">
        <v>119</v>
      </c>
      <c r="E323">
        <v>0</v>
      </c>
      <c r="I323">
        <v>5</v>
      </c>
      <c r="T323" t="s">
        <v>303</v>
      </c>
    </row>
    <row r="324" spans="4:20" x14ac:dyDescent="0.3">
      <c r="D324" t="s">
        <v>119</v>
      </c>
      <c r="E324">
        <v>0</v>
      </c>
      <c r="I324">
        <v>5</v>
      </c>
      <c r="T324" t="s">
        <v>304</v>
      </c>
    </row>
    <row r="325" spans="4:20" x14ac:dyDescent="0.3">
      <c r="D325" t="s">
        <v>119</v>
      </c>
      <c r="E325">
        <v>0</v>
      </c>
      <c r="I325">
        <v>5</v>
      </c>
      <c r="T325" t="s">
        <v>305</v>
      </c>
    </row>
    <row r="326" spans="4:20" x14ac:dyDescent="0.3">
      <c r="D326" t="s">
        <v>119</v>
      </c>
      <c r="E326">
        <v>0</v>
      </c>
      <c r="I326">
        <v>5</v>
      </c>
      <c r="T326" t="s">
        <v>306</v>
      </c>
    </row>
    <row r="327" spans="4:20" x14ac:dyDescent="0.3">
      <c r="D327" t="s">
        <v>119</v>
      </c>
      <c r="E327">
        <v>0</v>
      </c>
      <c r="I327">
        <v>5</v>
      </c>
      <c r="T327" t="s">
        <v>307</v>
      </c>
    </row>
    <row r="328" spans="4:20" x14ac:dyDescent="0.3">
      <c r="D328" t="s">
        <v>119</v>
      </c>
      <c r="E328">
        <v>0</v>
      </c>
      <c r="I328">
        <v>5</v>
      </c>
      <c r="T328" t="s">
        <v>308</v>
      </c>
    </row>
    <row r="329" spans="4:20" x14ac:dyDescent="0.3">
      <c r="D329" t="s">
        <v>119</v>
      </c>
      <c r="E329">
        <v>0</v>
      </c>
      <c r="I329">
        <v>5</v>
      </c>
      <c r="T329" t="s">
        <v>309</v>
      </c>
    </row>
    <row r="330" spans="4:20" x14ac:dyDescent="0.3">
      <c r="D330" t="s">
        <v>119</v>
      </c>
      <c r="E330">
        <v>0</v>
      </c>
      <c r="I330">
        <v>5</v>
      </c>
      <c r="T330" t="s">
        <v>310</v>
      </c>
    </row>
    <row r="331" spans="4:20" x14ac:dyDescent="0.3">
      <c r="D331" t="s">
        <v>81</v>
      </c>
      <c r="E331">
        <v>2010</v>
      </c>
      <c r="J331">
        <v>1</v>
      </c>
      <c r="T331" t="s">
        <v>246</v>
      </c>
    </row>
    <row r="332" spans="4:20" x14ac:dyDescent="0.3">
      <c r="D332" t="s">
        <v>81</v>
      </c>
      <c r="E332">
        <v>2010</v>
      </c>
      <c r="K332">
        <v>1</v>
      </c>
      <c r="T332" t="s">
        <v>247</v>
      </c>
    </row>
    <row r="333" spans="4:20" x14ac:dyDescent="0.3">
      <c r="D333" t="s">
        <v>81</v>
      </c>
      <c r="E333">
        <v>2010</v>
      </c>
      <c r="K333">
        <v>1</v>
      </c>
      <c r="T333" t="s">
        <v>248</v>
      </c>
    </row>
    <row r="334" spans="4:20" x14ac:dyDescent="0.3">
      <c r="D334" t="s">
        <v>81</v>
      </c>
      <c r="E334">
        <v>2010</v>
      </c>
      <c r="K334">
        <v>1</v>
      </c>
      <c r="T334" t="s">
        <v>249</v>
      </c>
    </row>
    <row r="335" spans="4:20" x14ac:dyDescent="0.3">
      <c r="D335" t="s">
        <v>81</v>
      </c>
      <c r="E335">
        <v>2010</v>
      </c>
      <c r="L335">
        <v>1</v>
      </c>
      <c r="T335" t="s">
        <v>250</v>
      </c>
    </row>
    <row r="336" spans="4:20" x14ac:dyDescent="0.3">
      <c r="D336" t="s">
        <v>81</v>
      </c>
      <c r="E336">
        <v>2010</v>
      </c>
      <c r="L336">
        <v>1</v>
      </c>
      <c r="T336" t="s">
        <v>251</v>
      </c>
    </row>
    <row r="337" spans="4:22" x14ac:dyDescent="0.3">
      <c r="D337" t="s">
        <v>81</v>
      </c>
      <c r="E337">
        <v>2010</v>
      </c>
      <c r="L337">
        <v>1</v>
      </c>
      <c r="T337" t="s">
        <v>252</v>
      </c>
    </row>
    <row r="338" spans="4:22" x14ac:dyDescent="0.3">
      <c r="D338" t="s">
        <v>81</v>
      </c>
      <c r="E338">
        <v>2010</v>
      </c>
      <c r="L338">
        <v>1</v>
      </c>
      <c r="T338" t="s">
        <v>253</v>
      </c>
    </row>
    <row r="339" spans="4:22" x14ac:dyDescent="0.3">
      <c r="D339" t="s">
        <v>81</v>
      </c>
      <c r="E339">
        <v>2010</v>
      </c>
      <c r="L339">
        <v>1</v>
      </c>
      <c r="T339" t="s">
        <v>254</v>
      </c>
    </row>
    <row r="340" spans="4:22" x14ac:dyDescent="0.3">
      <c r="D340" t="s">
        <v>81</v>
      </c>
      <c r="E340">
        <v>2010</v>
      </c>
      <c r="M340">
        <v>1</v>
      </c>
      <c r="T340" t="s">
        <v>255</v>
      </c>
    </row>
    <row r="341" spans="4:22" x14ac:dyDescent="0.3">
      <c r="D341" t="s">
        <v>81</v>
      </c>
      <c r="E341">
        <v>2010</v>
      </c>
      <c r="M341">
        <v>1</v>
      </c>
      <c r="T341" t="s">
        <v>256</v>
      </c>
    </row>
    <row r="342" spans="4:22" x14ac:dyDescent="0.3">
      <c r="D342" t="s">
        <v>81</v>
      </c>
      <c r="E342">
        <v>2010</v>
      </c>
      <c r="M342">
        <v>1</v>
      </c>
      <c r="T342" t="s">
        <v>257</v>
      </c>
    </row>
    <row r="343" spans="4:22" x14ac:dyDescent="0.3">
      <c r="D343" t="s">
        <v>81</v>
      </c>
      <c r="E343">
        <v>2010</v>
      </c>
      <c r="M343">
        <v>1</v>
      </c>
      <c r="T343" t="s">
        <v>258</v>
      </c>
    </row>
    <row r="344" spans="4:22" x14ac:dyDescent="0.3">
      <c r="D344" t="s">
        <v>81</v>
      </c>
      <c r="E344">
        <v>2010</v>
      </c>
      <c r="N344">
        <v>1</v>
      </c>
      <c r="T344" t="s">
        <v>259</v>
      </c>
    </row>
    <row r="345" spans="4:22" x14ac:dyDescent="0.3">
      <c r="D345" t="s">
        <v>81</v>
      </c>
      <c r="E345">
        <v>2010</v>
      </c>
      <c r="N345">
        <v>1</v>
      </c>
      <c r="T345" t="s">
        <v>260</v>
      </c>
    </row>
    <row r="346" spans="4:22" x14ac:dyDescent="0.3">
      <c r="D346" t="s">
        <v>81</v>
      </c>
      <c r="E346">
        <v>2010</v>
      </c>
      <c r="N346">
        <v>1</v>
      </c>
      <c r="T346" t="s">
        <v>261</v>
      </c>
    </row>
    <row r="347" spans="4:22" x14ac:dyDescent="0.3">
      <c r="D347" t="s">
        <v>81</v>
      </c>
      <c r="E347">
        <v>2010</v>
      </c>
      <c r="O347">
        <v>1</v>
      </c>
      <c r="T347" t="s">
        <v>262</v>
      </c>
    </row>
    <row r="348" spans="4:22" x14ac:dyDescent="0.3">
      <c r="D348" t="s">
        <v>81</v>
      </c>
      <c r="E348">
        <v>2010</v>
      </c>
      <c r="O348">
        <v>1</v>
      </c>
      <c r="T348" t="s">
        <v>263</v>
      </c>
      <c r="V348" s="35"/>
    </row>
    <row r="349" spans="4:22" x14ac:dyDescent="0.3">
      <c r="D349" t="s">
        <v>81</v>
      </c>
      <c r="E349">
        <v>2010</v>
      </c>
      <c r="O349">
        <v>1</v>
      </c>
      <c r="T349" t="s">
        <v>264</v>
      </c>
      <c r="V349" s="15"/>
    </row>
    <row r="350" spans="4:22" x14ac:dyDescent="0.3">
      <c r="D350" t="s">
        <v>81</v>
      </c>
      <c r="E350">
        <v>2010</v>
      </c>
      <c r="O350">
        <v>1</v>
      </c>
      <c r="T350" t="s">
        <v>265</v>
      </c>
      <c r="V350" s="35"/>
    </row>
    <row r="351" spans="4:22" x14ac:dyDescent="0.3">
      <c r="D351" t="s">
        <v>81</v>
      </c>
      <c r="E351">
        <v>2010</v>
      </c>
      <c r="P351">
        <v>1</v>
      </c>
      <c r="T351" t="s">
        <v>266</v>
      </c>
      <c r="V351" s="35"/>
    </row>
    <row r="352" spans="4:22" x14ac:dyDescent="0.3">
      <c r="D352" t="s">
        <v>81</v>
      </c>
      <c r="E352">
        <v>2010</v>
      </c>
      <c r="P352">
        <v>1</v>
      </c>
      <c r="T352" t="s">
        <v>267</v>
      </c>
      <c r="V352" s="35"/>
    </row>
    <row r="353" spans="2:24" x14ac:dyDescent="0.3">
      <c r="D353" t="s">
        <v>81</v>
      </c>
      <c r="E353">
        <v>2010</v>
      </c>
      <c r="P353">
        <v>1</v>
      </c>
      <c r="T353" t="s">
        <v>268</v>
      </c>
      <c r="V353" s="35"/>
    </row>
    <row r="354" spans="2:24" x14ac:dyDescent="0.3">
      <c r="D354" t="s">
        <v>81</v>
      </c>
      <c r="E354">
        <v>2010</v>
      </c>
      <c r="P354">
        <v>1</v>
      </c>
      <c r="T354" t="s">
        <v>269</v>
      </c>
      <c r="V354" s="35"/>
    </row>
    <row r="355" spans="2:24" s="34" customFormat="1" x14ac:dyDescent="0.3">
      <c r="B355"/>
      <c r="C355"/>
      <c r="D355" t="s">
        <v>81</v>
      </c>
      <c r="E355">
        <v>2010</v>
      </c>
      <c r="F355"/>
      <c r="G355"/>
      <c r="H355"/>
      <c r="I355"/>
      <c r="J355"/>
      <c r="K355"/>
      <c r="L355"/>
      <c r="M355"/>
      <c r="N355"/>
      <c r="O355"/>
      <c r="P355"/>
      <c r="Q355">
        <v>1</v>
      </c>
      <c r="R355"/>
      <c r="S355"/>
      <c r="T355" t="s">
        <v>270</v>
      </c>
      <c r="V355" s="35"/>
      <c r="X355"/>
    </row>
    <row r="356" spans="2:24" x14ac:dyDescent="0.3">
      <c r="D356" t="s">
        <v>81</v>
      </c>
      <c r="E356">
        <v>2010</v>
      </c>
      <c r="Q356">
        <v>1</v>
      </c>
      <c r="T356" t="s">
        <v>271</v>
      </c>
      <c r="V356" s="35"/>
      <c r="X356" s="34"/>
    </row>
    <row r="357" spans="2:24" s="34" customFormat="1" x14ac:dyDescent="0.3">
      <c r="B357"/>
      <c r="C357"/>
      <c r="D357" t="s">
        <v>81</v>
      </c>
      <c r="E357">
        <v>2010</v>
      </c>
      <c r="F357"/>
      <c r="G357"/>
      <c r="H357"/>
      <c r="I357"/>
      <c r="J357"/>
      <c r="K357"/>
      <c r="L357"/>
      <c r="M357"/>
      <c r="N357"/>
      <c r="O357"/>
      <c r="P357"/>
      <c r="Q357">
        <v>1</v>
      </c>
      <c r="R357"/>
      <c r="S357"/>
      <c r="T357" t="s">
        <v>272</v>
      </c>
      <c r="V357"/>
      <c r="X357"/>
    </row>
    <row r="358" spans="2:24" s="34" customFormat="1" x14ac:dyDescent="0.3">
      <c r="B358"/>
      <c r="C358"/>
      <c r="D358" t="s">
        <v>81</v>
      </c>
      <c r="E358">
        <v>2010</v>
      </c>
      <c r="F358"/>
      <c r="G358"/>
      <c r="H358"/>
      <c r="I358"/>
      <c r="J358"/>
      <c r="K358"/>
      <c r="L358"/>
      <c r="M358"/>
      <c r="N358"/>
      <c r="O358"/>
      <c r="P358"/>
      <c r="Q358"/>
      <c r="R358">
        <v>1</v>
      </c>
      <c r="S358"/>
      <c r="T358" t="s">
        <v>273</v>
      </c>
      <c r="V358"/>
    </row>
    <row r="359" spans="2:24" s="34" customFormat="1" x14ac:dyDescent="0.3">
      <c r="D359" s="34" t="s">
        <v>81</v>
      </c>
      <c r="E359" s="34">
        <v>2010</v>
      </c>
      <c r="I359" s="34">
        <v>1</v>
      </c>
      <c r="T359" s="34" t="s">
        <v>302</v>
      </c>
      <c r="V359"/>
    </row>
    <row r="360" spans="2:24" s="34" customFormat="1" x14ac:dyDescent="0.3">
      <c r="B360"/>
      <c r="C360"/>
      <c r="D360" t="s">
        <v>81</v>
      </c>
      <c r="E360">
        <v>2010</v>
      </c>
      <c r="F360"/>
      <c r="G360"/>
      <c r="H360"/>
      <c r="I360">
        <v>1</v>
      </c>
      <c r="J360"/>
      <c r="K360"/>
      <c r="L360"/>
      <c r="M360"/>
      <c r="N360"/>
      <c r="O360"/>
      <c r="P360"/>
      <c r="Q360"/>
      <c r="R360"/>
      <c r="S360"/>
      <c r="T360" t="s">
        <v>303</v>
      </c>
      <c r="V360"/>
    </row>
    <row r="361" spans="2:24" s="34" customFormat="1" x14ac:dyDescent="0.3">
      <c r="D361" s="34" t="s">
        <v>81</v>
      </c>
      <c r="E361" s="34">
        <v>2010</v>
      </c>
      <c r="I361" s="34">
        <v>1</v>
      </c>
      <c r="T361" s="34" t="s">
        <v>304</v>
      </c>
      <c r="V361"/>
    </row>
    <row r="362" spans="2:24" s="34" customFormat="1" x14ac:dyDescent="0.3">
      <c r="D362" s="34" t="s">
        <v>81</v>
      </c>
      <c r="E362" s="34">
        <v>2010</v>
      </c>
      <c r="I362" s="34">
        <v>1</v>
      </c>
      <c r="T362" s="34" t="s">
        <v>305</v>
      </c>
      <c r="V362"/>
    </row>
    <row r="363" spans="2:24" s="34" customFormat="1" x14ac:dyDescent="0.3">
      <c r="D363" s="34" t="s">
        <v>81</v>
      </c>
      <c r="E363" s="34">
        <v>2010</v>
      </c>
      <c r="I363" s="34">
        <v>1</v>
      </c>
      <c r="T363" s="34" t="s">
        <v>306</v>
      </c>
      <c r="V363"/>
    </row>
    <row r="364" spans="2:24" x14ac:dyDescent="0.3">
      <c r="B364" s="34"/>
      <c r="C364" s="34"/>
      <c r="D364" s="34" t="s">
        <v>81</v>
      </c>
      <c r="E364" s="34">
        <v>2010</v>
      </c>
      <c r="F364" s="34"/>
      <c r="G364" s="34"/>
      <c r="H364" s="34"/>
      <c r="I364" s="34">
        <v>1</v>
      </c>
      <c r="J364" s="34"/>
      <c r="K364" s="34"/>
      <c r="L364" s="34"/>
      <c r="M364" s="34"/>
      <c r="N364" s="34"/>
      <c r="O364" s="34"/>
      <c r="P364" s="34"/>
      <c r="Q364" s="34"/>
      <c r="R364" s="34"/>
      <c r="S364" s="34"/>
      <c r="T364" s="34" t="s">
        <v>307</v>
      </c>
      <c r="X364" s="34"/>
    </row>
    <row r="365" spans="2:24" x14ac:dyDescent="0.3">
      <c r="B365" s="34"/>
      <c r="C365" s="34"/>
      <c r="D365" s="34" t="s">
        <v>81</v>
      </c>
      <c r="E365" s="34">
        <v>2010</v>
      </c>
      <c r="F365" s="34"/>
      <c r="G365" s="34"/>
      <c r="H365" s="34"/>
      <c r="I365" s="34">
        <v>1</v>
      </c>
      <c r="J365" s="34"/>
      <c r="K365" s="34"/>
      <c r="L365" s="34"/>
      <c r="M365" s="34"/>
      <c r="N365" s="34"/>
      <c r="O365" s="34"/>
      <c r="P365" s="34"/>
      <c r="Q365" s="34"/>
      <c r="R365" s="34"/>
      <c r="S365" s="34"/>
      <c r="T365" s="34" t="s">
        <v>308</v>
      </c>
    </row>
    <row r="366" spans="2:24" x14ac:dyDescent="0.3">
      <c r="B366" s="34"/>
      <c r="C366" s="34"/>
      <c r="D366" s="34" t="s">
        <v>81</v>
      </c>
      <c r="E366" s="34">
        <v>2010</v>
      </c>
      <c r="F366" s="34"/>
      <c r="G366" s="34"/>
      <c r="H366" s="34"/>
      <c r="I366" s="34">
        <v>1</v>
      </c>
      <c r="J366" s="34"/>
      <c r="K366" s="34"/>
      <c r="L366" s="34"/>
      <c r="M366" s="34"/>
      <c r="N366" s="34"/>
      <c r="O366" s="34"/>
      <c r="P366" s="34"/>
      <c r="Q366" s="34"/>
      <c r="R366" s="34"/>
      <c r="S366" s="34"/>
      <c r="T366" s="34" t="s">
        <v>309</v>
      </c>
    </row>
    <row r="367" spans="2:24" x14ac:dyDescent="0.3">
      <c r="B367" s="34"/>
      <c r="C367" s="34"/>
      <c r="D367" s="34" t="s">
        <v>81</v>
      </c>
      <c r="E367" s="34">
        <v>2010</v>
      </c>
      <c r="F367" s="34"/>
      <c r="G367" s="34"/>
      <c r="H367" s="34"/>
      <c r="I367" s="34">
        <v>1</v>
      </c>
      <c r="J367" s="34"/>
      <c r="K367" s="34"/>
      <c r="L367" s="34"/>
      <c r="M367" s="34"/>
      <c r="N367" s="34"/>
      <c r="O367" s="34"/>
      <c r="P367" s="34"/>
      <c r="Q367" s="34"/>
      <c r="R367" s="34"/>
      <c r="S367" s="34"/>
      <c r="T367" s="34" t="s">
        <v>310</v>
      </c>
    </row>
    <row r="368" spans="2:24" x14ac:dyDescent="0.3">
      <c r="D368" t="s">
        <v>81</v>
      </c>
      <c r="E368">
        <v>0</v>
      </c>
      <c r="J368">
        <v>5</v>
      </c>
      <c r="T368" t="s">
        <v>246</v>
      </c>
    </row>
    <row r="369" spans="4:20" x14ac:dyDescent="0.3">
      <c r="D369" t="s">
        <v>81</v>
      </c>
      <c r="E369">
        <v>0</v>
      </c>
      <c r="K369">
        <v>5</v>
      </c>
      <c r="T369" t="s">
        <v>247</v>
      </c>
    </row>
    <row r="370" spans="4:20" x14ac:dyDescent="0.3">
      <c r="D370" t="s">
        <v>81</v>
      </c>
      <c r="E370">
        <v>0</v>
      </c>
      <c r="K370">
        <v>5</v>
      </c>
      <c r="T370" t="s">
        <v>248</v>
      </c>
    </row>
    <row r="371" spans="4:20" x14ac:dyDescent="0.3">
      <c r="D371" t="s">
        <v>81</v>
      </c>
      <c r="E371">
        <v>0</v>
      </c>
      <c r="K371">
        <v>5</v>
      </c>
      <c r="T371" t="s">
        <v>249</v>
      </c>
    </row>
    <row r="372" spans="4:20" x14ac:dyDescent="0.3">
      <c r="D372" t="s">
        <v>81</v>
      </c>
      <c r="E372">
        <v>0</v>
      </c>
      <c r="L372">
        <v>5</v>
      </c>
      <c r="T372" t="s">
        <v>250</v>
      </c>
    </row>
    <row r="373" spans="4:20" x14ac:dyDescent="0.3">
      <c r="D373" t="s">
        <v>81</v>
      </c>
      <c r="E373">
        <v>0</v>
      </c>
      <c r="L373">
        <v>5</v>
      </c>
      <c r="T373" t="s">
        <v>251</v>
      </c>
    </row>
    <row r="374" spans="4:20" x14ac:dyDescent="0.3">
      <c r="D374" t="s">
        <v>81</v>
      </c>
      <c r="E374">
        <v>0</v>
      </c>
      <c r="L374">
        <v>5</v>
      </c>
      <c r="T374" t="s">
        <v>252</v>
      </c>
    </row>
    <row r="375" spans="4:20" x14ac:dyDescent="0.3">
      <c r="D375" t="s">
        <v>81</v>
      </c>
      <c r="E375">
        <v>0</v>
      </c>
      <c r="L375">
        <v>5</v>
      </c>
      <c r="T375" t="s">
        <v>253</v>
      </c>
    </row>
    <row r="376" spans="4:20" x14ac:dyDescent="0.3">
      <c r="D376" t="s">
        <v>81</v>
      </c>
      <c r="E376">
        <v>0</v>
      </c>
      <c r="L376">
        <v>5</v>
      </c>
      <c r="T376" t="s">
        <v>254</v>
      </c>
    </row>
    <row r="377" spans="4:20" x14ac:dyDescent="0.3">
      <c r="D377" t="s">
        <v>81</v>
      </c>
      <c r="E377">
        <v>0</v>
      </c>
      <c r="M377">
        <v>5</v>
      </c>
      <c r="T377" t="s">
        <v>255</v>
      </c>
    </row>
    <row r="378" spans="4:20" x14ac:dyDescent="0.3">
      <c r="D378" t="s">
        <v>81</v>
      </c>
      <c r="E378">
        <v>0</v>
      </c>
      <c r="M378">
        <v>5</v>
      </c>
      <c r="T378" t="s">
        <v>256</v>
      </c>
    </row>
    <row r="379" spans="4:20" x14ac:dyDescent="0.3">
      <c r="D379" t="s">
        <v>81</v>
      </c>
      <c r="E379">
        <v>0</v>
      </c>
      <c r="M379">
        <v>5</v>
      </c>
      <c r="T379" t="s">
        <v>257</v>
      </c>
    </row>
    <row r="380" spans="4:20" x14ac:dyDescent="0.3">
      <c r="D380" t="s">
        <v>81</v>
      </c>
      <c r="E380">
        <v>0</v>
      </c>
      <c r="M380">
        <v>5</v>
      </c>
      <c r="T380" t="s">
        <v>258</v>
      </c>
    </row>
    <row r="381" spans="4:20" x14ac:dyDescent="0.3">
      <c r="D381" t="s">
        <v>81</v>
      </c>
      <c r="E381">
        <v>0</v>
      </c>
      <c r="N381">
        <v>5</v>
      </c>
      <c r="T381" t="s">
        <v>259</v>
      </c>
    </row>
    <row r="382" spans="4:20" x14ac:dyDescent="0.3">
      <c r="D382" t="s">
        <v>81</v>
      </c>
      <c r="E382">
        <v>0</v>
      </c>
      <c r="N382">
        <v>5</v>
      </c>
      <c r="T382" t="s">
        <v>260</v>
      </c>
    </row>
    <row r="383" spans="4:20" x14ac:dyDescent="0.3">
      <c r="D383" t="s">
        <v>81</v>
      </c>
      <c r="E383">
        <v>0</v>
      </c>
      <c r="N383">
        <v>5</v>
      </c>
      <c r="T383" t="s">
        <v>261</v>
      </c>
    </row>
    <row r="384" spans="4:20" x14ac:dyDescent="0.3">
      <c r="D384" t="s">
        <v>81</v>
      </c>
      <c r="E384">
        <v>0</v>
      </c>
      <c r="O384">
        <v>5</v>
      </c>
      <c r="T384" t="s">
        <v>262</v>
      </c>
    </row>
    <row r="385" spans="2:24" x14ac:dyDescent="0.3">
      <c r="D385" t="s">
        <v>81</v>
      </c>
      <c r="E385">
        <v>0</v>
      </c>
      <c r="O385">
        <v>5</v>
      </c>
      <c r="T385" t="s">
        <v>263</v>
      </c>
      <c r="V385" s="35"/>
    </row>
    <row r="386" spans="2:24" x14ac:dyDescent="0.3">
      <c r="D386" t="s">
        <v>81</v>
      </c>
      <c r="E386">
        <v>0</v>
      </c>
      <c r="O386">
        <v>5</v>
      </c>
      <c r="T386" t="s">
        <v>264</v>
      </c>
      <c r="V386" s="15"/>
    </row>
    <row r="387" spans="2:24" x14ac:dyDescent="0.3">
      <c r="D387" t="s">
        <v>81</v>
      </c>
      <c r="E387">
        <v>0</v>
      </c>
      <c r="O387">
        <v>5</v>
      </c>
      <c r="T387" t="s">
        <v>265</v>
      </c>
      <c r="V387" s="35"/>
    </row>
    <row r="388" spans="2:24" x14ac:dyDescent="0.3">
      <c r="D388" t="s">
        <v>81</v>
      </c>
      <c r="E388">
        <v>0</v>
      </c>
      <c r="P388">
        <v>5</v>
      </c>
      <c r="T388" t="s">
        <v>266</v>
      </c>
      <c r="V388" s="35"/>
    </row>
    <row r="389" spans="2:24" x14ac:dyDescent="0.3">
      <c r="D389" t="s">
        <v>81</v>
      </c>
      <c r="E389">
        <v>0</v>
      </c>
      <c r="P389">
        <v>5</v>
      </c>
      <c r="T389" t="s">
        <v>267</v>
      </c>
      <c r="V389" s="35"/>
    </row>
    <row r="390" spans="2:24" x14ac:dyDescent="0.3">
      <c r="D390" t="s">
        <v>81</v>
      </c>
      <c r="E390">
        <v>0</v>
      </c>
      <c r="P390">
        <v>5</v>
      </c>
      <c r="T390" t="s">
        <v>268</v>
      </c>
      <c r="V390" s="35"/>
    </row>
    <row r="391" spans="2:24" x14ac:dyDescent="0.3">
      <c r="D391" t="s">
        <v>81</v>
      </c>
      <c r="E391">
        <v>0</v>
      </c>
      <c r="P391">
        <v>5</v>
      </c>
      <c r="T391" t="s">
        <v>269</v>
      </c>
      <c r="V391" s="35"/>
    </row>
    <row r="392" spans="2:24" s="34" customFormat="1" x14ac:dyDescent="0.3">
      <c r="B392"/>
      <c r="C392"/>
      <c r="D392" t="s">
        <v>81</v>
      </c>
      <c r="E392">
        <v>0</v>
      </c>
      <c r="F392"/>
      <c r="G392"/>
      <c r="H392"/>
      <c r="I392"/>
      <c r="J392"/>
      <c r="K392"/>
      <c r="L392"/>
      <c r="M392"/>
      <c r="N392"/>
      <c r="O392"/>
      <c r="P392"/>
      <c r="Q392">
        <v>5</v>
      </c>
      <c r="R392"/>
      <c r="S392"/>
      <c r="T392" t="s">
        <v>270</v>
      </c>
      <c r="V392" s="35"/>
      <c r="X392"/>
    </row>
    <row r="393" spans="2:24" x14ac:dyDescent="0.3">
      <c r="D393" t="s">
        <v>81</v>
      </c>
      <c r="E393">
        <v>0</v>
      </c>
      <c r="Q393">
        <v>5</v>
      </c>
      <c r="T393" t="s">
        <v>271</v>
      </c>
      <c r="V393" s="35"/>
      <c r="X393" s="34"/>
    </row>
    <row r="394" spans="2:24" s="34" customFormat="1" x14ac:dyDescent="0.3">
      <c r="B394"/>
      <c r="C394"/>
      <c r="D394" t="s">
        <v>81</v>
      </c>
      <c r="E394">
        <v>0</v>
      </c>
      <c r="F394"/>
      <c r="G394"/>
      <c r="H394"/>
      <c r="I394"/>
      <c r="J394"/>
      <c r="K394"/>
      <c r="L394"/>
      <c r="M394"/>
      <c r="N394"/>
      <c r="O394"/>
      <c r="P394"/>
      <c r="Q394">
        <v>5</v>
      </c>
      <c r="R394"/>
      <c r="S394"/>
      <c r="T394" t="s">
        <v>272</v>
      </c>
      <c r="V394"/>
      <c r="X394"/>
    </row>
    <row r="395" spans="2:24" s="34" customFormat="1" x14ac:dyDescent="0.3">
      <c r="B395"/>
      <c r="C395"/>
      <c r="D395" t="s">
        <v>81</v>
      </c>
      <c r="E395">
        <v>0</v>
      </c>
      <c r="F395"/>
      <c r="G395"/>
      <c r="H395"/>
      <c r="I395"/>
      <c r="J395"/>
      <c r="K395"/>
      <c r="L395"/>
      <c r="M395"/>
      <c r="N395"/>
      <c r="O395"/>
      <c r="P395"/>
      <c r="Q395"/>
      <c r="R395">
        <v>5</v>
      </c>
      <c r="S395"/>
      <c r="T395" t="s">
        <v>273</v>
      </c>
      <c r="V395"/>
    </row>
    <row r="396" spans="2:24" s="34" customFormat="1" x14ac:dyDescent="0.3">
      <c r="D396" s="34" t="s">
        <v>81</v>
      </c>
      <c r="E396" s="34">
        <v>0</v>
      </c>
      <c r="I396" s="34">
        <v>5</v>
      </c>
      <c r="T396" s="34" t="s">
        <v>302</v>
      </c>
      <c r="V396"/>
    </row>
    <row r="397" spans="2:24" s="34" customFormat="1" x14ac:dyDescent="0.3">
      <c r="B397"/>
      <c r="C397"/>
      <c r="D397" t="s">
        <v>81</v>
      </c>
      <c r="E397">
        <v>0</v>
      </c>
      <c r="F397"/>
      <c r="G397"/>
      <c r="H397"/>
      <c r="I397">
        <v>5</v>
      </c>
      <c r="J397"/>
      <c r="K397"/>
      <c r="L397"/>
      <c r="M397"/>
      <c r="N397"/>
      <c r="O397"/>
      <c r="P397"/>
      <c r="Q397"/>
      <c r="R397"/>
      <c r="S397"/>
      <c r="T397" t="s">
        <v>303</v>
      </c>
      <c r="V397"/>
    </row>
    <row r="398" spans="2:24" s="34" customFormat="1" x14ac:dyDescent="0.3">
      <c r="D398" s="34" t="s">
        <v>81</v>
      </c>
      <c r="E398" s="34">
        <v>0</v>
      </c>
      <c r="I398" s="34">
        <v>5</v>
      </c>
      <c r="T398" s="34" t="s">
        <v>304</v>
      </c>
      <c r="V398"/>
    </row>
    <row r="399" spans="2:24" s="34" customFormat="1" x14ac:dyDescent="0.3">
      <c r="D399" s="34" t="s">
        <v>81</v>
      </c>
      <c r="E399" s="34">
        <v>0</v>
      </c>
      <c r="I399" s="34">
        <v>5</v>
      </c>
      <c r="T399" s="34" t="s">
        <v>305</v>
      </c>
      <c r="V399"/>
    </row>
    <row r="400" spans="2:24" s="34" customFormat="1" x14ac:dyDescent="0.3">
      <c r="D400" s="34" t="s">
        <v>81</v>
      </c>
      <c r="E400" s="34">
        <v>0</v>
      </c>
      <c r="I400" s="34">
        <v>5</v>
      </c>
      <c r="T400" s="34" t="s">
        <v>306</v>
      </c>
      <c r="V400"/>
    </row>
    <row r="401" spans="2:24" x14ac:dyDescent="0.3">
      <c r="B401" s="34"/>
      <c r="C401" s="34"/>
      <c r="D401" s="34" t="s">
        <v>81</v>
      </c>
      <c r="E401" s="34">
        <v>0</v>
      </c>
      <c r="F401" s="34"/>
      <c r="G401" s="34"/>
      <c r="H401" s="34"/>
      <c r="I401" s="34">
        <v>5</v>
      </c>
      <c r="J401" s="34"/>
      <c r="K401" s="34"/>
      <c r="L401" s="34"/>
      <c r="M401" s="34"/>
      <c r="N401" s="34"/>
      <c r="O401" s="34"/>
      <c r="P401" s="34"/>
      <c r="Q401" s="34"/>
      <c r="R401" s="34"/>
      <c r="S401" s="34"/>
      <c r="T401" s="34" t="s">
        <v>307</v>
      </c>
      <c r="X401" s="34"/>
    </row>
    <row r="402" spans="2:24" x14ac:dyDescent="0.3">
      <c r="B402" s="34"/>
      <c r="C402" s="34"/>
      <c r="D402" s="34" t="s">
        <v>81</v>
      </c>
      <c r="E402" s="34">
        <v>0</v>
      </c>
      <c r="F402" s="34"/>
      <c r="G402" s="34"/>
      <c r="H402" s="34"/>
      <c r="I402" s="34">
        <v>5</v>
      </c>
      <c r="J402" s="34"/>
      <c r="K402" s="34"/>
      <c r="L402" s="34"/>
      <c r="M402" s="34"/>
      <c r="N402" s="34"/>
      <c r="O402" s="34"/>
      <c r="P402" s="34"/>
      <c r="Q402" s="34"/>
      <c r="R402" s="34"/>
      <c r="S402" s="34"/>
      <c r="T402" s="34" t="s">
        <v>308</v>
      </c>
    </row>
    <row r="403" spans="2:24" x14ac:dyDescent="0.3">
      <c r="B403" s="34"/>
      <c r="C403" s="34"/>
      <c r="D403" s="34" t="s">
        <v>81</v>
      </c>
      <c r="E403" s="34">
        <v>0</v>
      </c>
      <c r="F403" s="34"/>
      <c r="G403" s="34"/>
      <c r="H403" s="34"/>
      <c r="I403" s="34">
        <v>5</v>
      </c>
      <c r="J403" s="34"/>
      <c r="K403" s="34"/>
      <c r="L403" s="34"/>
      <c r="M403" s="34"/>
      <c r="N403" s="34"/>
      <c r="O403" s="34"/>
      <c r="P403" s="34"/>
      <c r="Q403" s="34"/>
      <c r="R403" s="34"/>
      <c r="S403" s="34"/>
      <c r="T403" s="34" t="s">
        <v>309</v>
      </c>
    </row>
    <row r="404" spans="2:24" x14ac:dyDescent="0.3">
      <c r="B404" s="34"/>
      <c r="C404" s="34"/>
      <c r="D404" s="34" t="s">
        <v>81</v>
      </c>
      <c r="E404" s="34">
        <v>0</v>
      </c>
      <c r="F404" s="34"/>
      <c r="G404" s="34"/>
      <c r="H404" s="34"/>
      <c r="I404" s="34">
        <v>5</v>
      </c>
      <c r="J404" s="34"/>
      <c r="K404" s="34"/>
      <c r="L404" s="34"/>
      <c r="M404" s="34"/>
      <c r="N404" s="34"/>
      <c r="O404" s="34"/>
      <c r="P404" s="34"/>
      <c r="Q404" s="34"/>
      <c r="R404" s="34"/>
      <c r="S404" s="34"/>
      <c r="T404" s="34" t="s">
        <v>310</v>
      </c>
    </row>
    <row r="405" spans="2:24" x14ac:dyDescent="0.3">
      <c r="D405" t="s">
        <v>320</v>
      </c>
      <c r="E405">
        <v>2010</v>
      </c>
      <c r="J405">
        <f>1/'ELC data'!I5</f>
        <v>0.9009009009009008</v>
      </c>
      <c r="T405" t="s">
        <v>246</v>
      </c>
    </row>
    <row r="406" spans="2:24" x14ac:dyDescent="0.3">
      <c r="D406" t="s">
        <v>320</v>
      </c>
      <c r="E406">
        <v>2010</v>
      </c>
      <c r="K406">
        <f>1/'ELC data'!I6</f>
        <v>0.9009009009009008</v>
      </c>
      <c r="T406" t="s">
        <v>247</v>
      </c>
    </row>
    <row r="407" spans="2:24" x14ac:dyDescent="0.3">
      <c r="D407" t="s">
        <v>320</v>
      </c>
      <c r="E407">
        <v>2010</v>
      </c>
      <c r="K407">
        <f>1/'ELC data'!I7</f>
        <v>0.9009009009009008</v>
      </c>
      <c r="T407" t="s">
        <v>248</v>
      </c>
    </row>
    <row r="408" spans="2:24" x14ac:dyDescent="0.3">
      <c r="D408" t="s">
        <v>320</v>
      </c>
      <c r="E408">
        <v>2010</v>
      </c>
      <c r="K408">
        <f>1/'ELC data'!I8</f>
        <v>1</v>
      </c>
      <c r="T408" t="s">
        <v>249</v>
      </c>
    </row>
    <row r="409" spans="2:24" x14ac:dyDescent="0.3">
      <c r="D409" t="s">
        <v>320</v>
      </c>
      <c r="E409">
        <v>2010</v>
      </c>
      <c r="L409">
        <f>1/'ELC data'!I9</f>
        <v>0.9009009009009008</v>
      </c>
      <c r="T409" t="s">
        <v>250</v>
      </c>
    </row>
    <row r="410" spans="2:24" x14ac:dyDescent="0.3">
      <c r="D410" t="s">
        <v>320</v>
      </c>
      <c r="E410">
        <v>2010</v>
      </c>
      <c r="L410">
        <f>1/'ELC data'!I10</f>
        <v>0.9009009009009008</v>
      </c>
      <c r="T410" t="s">
        <v>251</v>
      </c>
    </row>
    <row r="411" spans="2:24" x14ac:dyDescent="0.3">
      <c r="D411" t="s">
        <v>320</v>
      </c>
      <c r="E411">
        <v>2010</v>
      </c>
      <c r="L411">
        <f>1/'ELC data'!I11</f>
        <v>0.9009009009009008</v>
      </c>
      <c r="T411" t="s">
        <v>252</v>
      </c>
    </row>
    <row r="412" spans="2:24" x14ac:dyDescent="0.3">
      <c r="D412" t="s">
        <v>320</v>
      </c>
      <c r="E412">
        <v>2010</v>
      </c>
      <c r="L412">
        <f>1/'ELC data'!I12</f>
        <v>1</v>
      </c>
      <c r="T412" t="s">
        <v>253</v>
      </c>
    </row>
    <row r="413" spans="2:24" x14ac:dyDescent="0.3">
      <c r="D413" t="s">
        <v>320</v>
      </c>
      <c r="E413">
        <v>2010</v>
      </c>
      <c r="L413">
        <f>1/'ELC data'!I13</f>
        <v>1</v>
      </c>
      <c r="T413" t="s">
        <v>254</v>
      </c>
    </row>
    <row r="414" spans="2:24" x14ac:dyDescent="0.3">
      <c r="D414" t="s">
        <v>320</v>
      </c>
      <c r="E414">
        <v>2010</v>
      </c>
      <c r="M414">
        <f>1/'ELC data'!I14</f>
        <v>0.9009009009009008</v>
      </c>
      <c r="T414" t="s">
        <v>255</v>
      </c>
    </row>
    <row r="415" spans="2:24" x14ac:dyDescent="0.3">
      <c r="D415" t="s">
        <v>320</v>
      </c>
      <c r="E415">
        <v>2010</v>
      </c>
      <c r="M415">
        <f>1/'ELC data'!I15</f>
        <v>0.9009009009009008</v>
      </c>
      <c r="T415" t="s">
        <v>256</v>
      </c>
    </row>
    <row r="416" spans="2:24" x14ac:dyDescent="0.3">
      <c r="D416" t="s">
        <v>320</v>
      </c>
      <c r="E416">
        <v>2010</v>
      </c>
      <c r="M416">
        <f>1/'ELC data'!I16</f>
        <v>0.9009009009009008</v>
      </c>
      <c r="T416" t="s">
        <v>257</v>
      </c>
    </row>
    <row r="417" spans="4:20" x14ac:dyDescent="0.3">
      <c r="D417" t="s">
        <v>320</v>
      </c>
      <c r="E417">
        <v>2010</v>
      </c>
      <c r="M417">
        <f>1/'ELC data'!I17</f>
        <v>1</v>
      </c>
      <c r="T417" t="s">
        <v>258</v>
      </c>
    </row>
    <row r="418" spans="4:20" x14ac:dyDescent="0.3">
      <c r="D418" t="s">
        <v>320</v>
      </c>
      <c r="E418">
        <v>2010</v>
      </c>
      <c r="N418">
        <f>1/'ELC data'!I18</f>
        <v>1</v>
      </c>
      <c r="T418" t="s">
        <v>259</v>
      </c>
    </row>
    <row r="419" spans="4:20" x14ac:dyDescent="0.3">
      <c r="D419" t="s">
        <v>320</v>
      </c>
      <c r="E419">
        <v>2010</v>
      </c>
      <c r="N419">
        <f>1/'ELC data'!I19</f>
        <v>0.9009009009009008</v>
      </c>
      <c r="T419" t="s">
        <v>260</v>
      </c>
    </row>
    <row r="420" spans="4:20" x14ac:dyDescent="0.3">
      <c r="D420" t="s">
        <v>320</v>
      </c>
      <c r="E420">
        <v>2010</v>
      </c>
      <c r="N420">
        <f>1/'ELC data'!I20</f>
        <v>0.9009009009009008</v>
      </c>
      <c r="T420" t="s">
        <v>261</v>
      </c>
    </row>
    <row r="421" spans="4:20" x14ac:dyDescent="0.3">
      <c r="D421" t="s">
        <v>320</v>
      </c>
      <c r="E421">
        <v>2010</v>
      </c>
      <c r="O421">
        <f>1/'ELC data'!I21</f>
        <v>1</v>
      </c>
      <c r="T421" t="s">
        <v>262</v>
      </c>
    </row>
    <row r="422" spans="4:20" x14ac:dyDescent="0.3">
      <c r="D422" t="s">
        <v>320</v>
      </c>
      <c r="E422">
        <v>2010</v>
      </c>
      <c r="O422">
        <f>1/'ELC data'!I22</f>
        <v>0.9009009009009008</v>
      </c>
      <c r="T422" t="s">
        <v>263</v>
      </c>
    </row>
    <row r="423" spans="4:20" x14ac:dyDescent="0.3">
      <c r="D423" t="s">
        <v>320</v>
      </c>
      <c r="E423">
        <v>2010</v>
      </c>
      <c r="O423">
        <f>1/'ELC data'!I23</f>
        <v>0.9009009009009008</v>
      </c>
      <c r="T423" t="s">
        <v>264</v>
      </c>
    </row>
    <row r="424" spans="4:20" x14ac:dyDescent="0.3">
      <c r="D424" t="s">
        <v>320</v>
      </c>
      <c r="E424">
        <v>2010</v>
      </c>
      <c r="O424">
        <f>1/'ELC data'!I24</f>
        <v>0.9009009009009008</v>
      </c>
      <c r="T424" t="s">
        <v>265</v>
      </c>
    </row>
    <row r="425" spans="4:20" x14ac:dyDescent="0.3">
      <c r="D425" t="s">
        <v>320</v>
      </c>
      <c r="E425">
        <v>2010</v>
      </c>
      <c r="P425">
        <f>1/'ELC data'!I25</f>
        <v>1</v>
      </c>
      <c r="T425" t="s">
        <v>266</v>
      </c>
    </row>
    <row r="426" spans="4:20" x14ac:dyDescent="0.3">
      <c r="D426" t="s">
        <v>320</v>
      </c>
      <c r="E426">
        <v>2010</v>
      </c>
      <c r="P426">
        <f>1/'ELC data'!I26</f>
        <v>0.9009009009009008</v>
      </c>
      <c r="T426" t="s">
        <v>267</v>
      </c>
    </row>
    <row r="427" spans="4:20" x14ac:dyDescent="0.3">
      <c r="D427" t="s">
        <v>320</v>
      </c>
      <c r="E427">
        <v>2010</v>
      </c>
      <c r="P427">
        <f>1/'ELC data'!I27</f>
        <v>0.9009009009009008</v>
      </c>
      <c r="T427" t="s">
        <v>268</v>
      </c>
    </row>
    <row r="428" spans="4:20" x14ac:dyDescent="0.3">
      <c r="D428" t="s">
        <v>320</v>
      </c>
      <c r="E428">
        <v>2010</v>
      </c>
      <c r="P428">
        <f>1/'ELC data'!I28</f>
        <v>0.9009009009009008</v>
      </c>
      <c r="T428" t="s">
        <v>269</v>
      </c>
    </row>
    <row r="429" spans="4:20" x14ac:dyDescent="0.3">
      <c r="D429" t="s">
        <v>320</v>
      </c>
      <c r="E429">
        <v>2010</v>
      </c>
      <c r="Q429">
        <f>1/'ELC data'!I29</f>
        <v>1</v>
      </c>
      <c r="T429" t="s">
        <v>270</v>
      </c>
    </row>
    <row r="430" spans="4:20" x14ac:dyDescent="0.3">
      <c r="D430" t="s">
        <v>320</v>
      </c>
      <c r="E430">
        <v>2010</v>
      </c>
      <c r="Q430">
        <f>1/'ELC data'!I30</f>
        <v>0.9009009009009008</v>
      </c>
      <c r="T430" t="s">
        <v>271</v>
      </c>
    </row>
    <row r="431" spans="4:20" x14ac:dyDescent="0.3">
      <c r="D431" t="s">
        <v>320</v>
      </c>
      <c r="E431">
        <v>2010</v>
      </c>
      <c r="Q431">
        <f>1/'ELC data'!I31</f>
        <v>0.9009009009009008</v>
      </c>
      <c r="T431" t="s">
        <v>272</v>
      </c>
    </row>
    <row r="432" spans="4:20" x14ac:dyDescent="0.3">
      <c r="D432" t="s">
        <v>320</v>
      </c>
      <c r="E432">
        <v>2010</v>
      </c>
      <c r="R432">
        <f>1/'ELC data'!I32</f>
        <v>0.9009009009009008</v>
      </c>
      <c r="T432" t="s">
        <v>273</v>
      </c>
    </row>
    <row r="433" spans="4:20" x14ac:dyDescent="0.3">
      <c r="D433" t="s">
        <v>320</v>
      </c>
      <c r="E433">
        <v>0</v>
      </c>
      <c r="J433">
        <v>5</v>
      </c>
      <c r="T433" t="s">
        <v>246</v>
      </c>
    </row>
    <row r="434" spans="4:20" x14ac:dyDescent="0.3">
      <c r="D434" t="s">
        <v>320</v>
      </c>
      <c r="E434">
        <v>0</v>
      </c>
      <c r="K434">
        <v>5</v>
      </c>
      <c r="T434" t="s">
        <v>247</v>
      </c>
    </row>
    <row r="435" spans="4:20" x14ac:dyDescent="0.3">
      <c r="D435" t="s">
        <v>320</v>
      </c>
      <c r="E435">
        <v>0</v>
      </c>
      <c r="K435">
        <v>5</v>
      </c>
      <c r="T435" t="s">
        <v>248</v>
      </c>
    </row>
    <row r="436" spans="4:20" x14ac:dyDescent="0.3">
      <c r="D436" t="s">
        <v>320</v>
      </c>
      <c r="E436">
        <v>0</v>
      </c>
      <c r="K436">
        <v>5</v>
      </c>
      <c r="T436" t="s">
        <v>249</v>
      </c>
    </row>
    <row r="437" spans="4:20" x14ac:dyDescent="0.3">
      <c r="D437" t="s">
        <v>320</v>
      </c>
      <c r="E437">
        <v>0</v>
      </c>
      <c r="L437">
        <v>5</v>
      </c>
      <c r="T437" t="s">
        <v>250</v>
      </c>
    </row>
    <row r="438" spans="4:20" x14ac:dyDescent="0.3">
      <c r="D438" t="s">
        <v>320</v>
      </c>
      <c r="E438">
        <v>0</v>
      </c>
      <c r="L438">
        <v>5</v>
      </c>
      <c r="T438" t="s">
        <v>251</v>
      </c>
    </row>
    <row r="439" spans="4:20" x14ac:dyDescent="0.3">
      <c r="D439" t="s">
        <v>320</v>
      </c>
      <c r="E439">
        <v>0</v>
      </c>
      <c r="L439">
        <v>5</v>
      </c>
      <c r="T439" t="s">
        <v>252</v>
      </c>
    </row>
    <row r="440" spans="4:20" x14ac:dyDescent="0.3">
      <c r="D440" t="s">
        <v>320</v>
      </c>
      <c r="E440">
        <v>0</v>
      </c>
      <c r="L440">
        <v>5</v>
      </c>
      <c r="T440" t="s">
        <v>253</v>
      </c>
    </row>
    <row r="441" spans="4:20" x14ac:dyDescent="0.3">
      <c r="D441" t="s">
        <v>320</v>
      </c>
      <c r="E441">
        <v>0</v>
      </c>
      <c r="L441">
        <v>5</v>
      </c>
      <c r="T441" t="s">
        <v>254</v>
      </c>
    </row>
    <row r="442" spans="4:20" x14ac:dyDescent="0.3">
      <c r="D442" t="s">
        <v>320</v>
      </c>
      <c r="E442">
        <v>0</v>
      </c>
      <c r="M442">
        <v>5</v>
      </c>
      <c r="T442" t="s">
        <v>255</v>
      </c>
    </row>
    <row r="443" spans="4:20" x14ac:dyDescent="0.3">
      <c r="D443" t="s">
        <v>320</v>
      </c>
      <c r="E443">
        <v>0</v>
      </c>
      <c r="M443">
        <v>5</v>
      </c>
      <c r="T443" t="s">
        <v>256</v>
      </c>
    </row>
    <row r="444" spans="4:20" x14ac:dyDescent="0.3">
      <c r="D444" t="s">
        <v>320</v>
      </c>
      <c r="E444">
        <v>0</v>
      </c>
      <c r="M444">
        <v>5</v>
      </c>
      <c r="T444" t="s">
        <v>257</v>
      </c>
    </row>
    <row r="445" spans="4:20" x14ac:dyDescent="0.3">
      <c r="D445" t="s">
        <v>320</v>
      </c>
      <c r="E445">
        <v>0</v>
      </c>
      <c r="M445">
        <v>5</v>
      </c>
      <c r="T445" t="s">
        <v>258</v>
      </c>
    </row>
    <row r="446" spans="4:20" x14ac:dyDescent="0.3">
      <c r="D446" t="s">
        <v>320</v>
      </c>
      <c r="E446">
        <v>0</v>
      </c>
      <c r="N446">
        <v>5</v>
      </c>
      <c r="T446" t="s">
        <v>259</v>
      </c>
    </row>
    <row r="447" spans="4:20" x14ac:dyDescent="0.3">
      <c r="D447" t="s">
        <v>320</v>
      </c>
      <c r="E447">
        <v>0</v>
      </c>
      <c r="N447">
        <v>5</v>
      </c>
      <c r="T447" t="s">
        <v>260</v>
      </c>
    </row>
    <row r="448" spans="4:20" x14ac:dyDescent="0.3">
      <c r="D448" t="s">
        <v>320</v>
      </c>
      <c r="E448">
        <v>0</v>
      </c>
      <c r="N448">
        <v>5</v>
      </c>
      <c r="T448" t="s">
        <v>261</v>
      </c>
    </row>
    <row r="449" spans="4:20" x14ac:dyDescent="0.3">
      <c r="D449" t="s">
        <v>320</v>
      </c>
      <c r="E449">
        <v>0</v>
      </c>
      <c r="O449">
        <v>5</v>
      </c>
      <c r="T449" t="s">
        <v>262</v>
      </c>
    </row>
    <row r="450" spans="4:20" x14ac:dyDescent="0.3">
      <c r="D450" t="s">
        <v>320</v>
      </c>
      <c r="E450">
        <v>0</v>
      </c>
      <c r="O450">
        <v>5</v>
      </c>
      <c r="T450" t="s">
        <v>263</v>
      </c>
    </row>
    <row r="451" spans="4:20" x14ac:dyDescent="0.3">
      <c r="D451" t="s">
        <v>320</v>
      </c>
      <c r="E451">
        <v>0</v>
      </c>
      <c r="O451">
        <v>5</v>
      </c>
      <c r="T451" t="s">
        <v>264</v>
      </c>
    </row>
    <row r="452" spans="4:20" x14ac:dyDescent="0.3">
      <c r="D452" t="s">
        <v>320</v>
      </c>
      <c r="E452">
        <v>0</v>
      </c>
      <c r="O452">
        <v>5</v>
      </c>
      <c r="T452" t="s">
        <v>265</v>
      </c>
    </row>
    <row r="453" spans="4:20" x14ac:dyDescent="0.3">
      <c r="D453" t="s">
        <v>320</v>
      </c>
      <c r="E453">
        <v>0</v>
      </c>
      <c r="P453">
        <v>5</v>
      </c>
      <c r="T453" t="s">
        <v>266</v>
      </c>
    </row>
    <row r="454" spans="4:20" x14ac:dyDescent="0.3">
      <c r="D454" t="s">
        <v>320</v>
      </c>
      <c r="E454">
        <v>0</v>
      </c>
      <c r="P454">
        <v>5</v>
      </c>
      <c r="T454" t="s">
        <v>267</v>
      </c>
    </row>
    <row r="455" spans="4:20" x14ac:dyDescent="0.3">
      <c r="D455" t="s">
        <v>320</v>
      </c>
      <c r="E455">
        <v>0</v>
      </c>
      <c r="P455">
        <v>5</v>
      </c>
      <c r="T455" t="s">
        <v>268</v>
      </c>
    </row>
    <row r="456" spans="4:20" x14ac:dyDescent="0.3">
      <c r="D456" t="s">
        <v>320</v>
      </c>
      <c r="E456">
        <v>0</v>
      </c>
      <c r="P456">
        <v>5</v>
      </c>
      <c r="T456" t="s">
        <v>269</v>
      </c>
    </row>
    <row r="457" spans="4:20" x14ac:dyDescent="0.3">
      <c r="D457" t="s">
        <v>320</v>
      </c>
      <c r="E457">
        <v>0</v>
      </c>
      <c r="Q457">
        <v>5</v>
      </c>
      <c r="T457" t="s">
        <v>270</v>
      </c>
    </row>
    <row r="458" spans="4:20" x14ac:dyDescent="0.3">
      <c r="D458" t="s">
        <v>320</v>
      </c>
      <c r="E458">
        <v>0</v>
      </c>
      <c r="Q458">
        <v>5</v>
      </c>
      <c r="T458" t="s">
        <v>271</v>
      </c>
    </row>
    <row r="459" spans="4:20" x14ac:dyDescent="0.3">
      <c r="D459" t="s">
        <v>320</v>
      </c>
      <c r="E459">
        <v>0</v>
      </c>
      <c r="Q459">
        <v>5</v>
      </c>
      <c r="T459" t="s">
        <v>272</v>
      </c>
    </row>
    <row r="460" spans="4:20" x14ac:dyDescent="0.3">
      <c r="D460" t="s">
        <v>320</v>
      </c>
      <c r="E460">
        <v>0</v>
      </c>
      <c r="R460">
        <v>5</v>
      </c>
      <c r="T460" t="s">
        <v>273</v>
      </c>
    </row>
    <row r="461" spans="4:20" x14ac:dyDescent="0.3">
      <c r="D461" t="s">
        <v>31</v>
      </c>
      <c r="E461">
        <v>2011</v>
      </c>
      <c r="J461">
        <f>'ELC data'!N36</f>
        <v>500</v>
      </c>
      <c r="T461" t="s">
        <v>274</v>
      </c>
    </row>
    <row r="462" spans="4:20" x14ac:dyDescent="0.3">
      <c r="D462" t="s">
        <v>31</v>
      </c>
      <c r="E462">
        <v>2011</v>
      </c>
      <c r="K462">
        <f>'ELC data'!N37</f>
        <v>500</v>
      </c>
      <c r="T462" t="s">
        <v>275</v>
      </c>
    </row>
    <row r="463" spans="4:20" x14ac:dyDescent="0.3">
      <c r="D463" t="s">
        <v>31</v>
      </c>
      <c r="E463">
        <v>2011</v>
      </c>
      <c r="K463">
        <f>'ELC data'!N38</f>
        <v>500</v>
      </c>
      <c r="T463" t="s">
        <v>276</v>
      </c>
    </row>
    <row r="464" spans="4:20" x14ac:dyDescent="0.3">
      <c r="D464" t="s">
        <v>31</v>
      </c>
      <c r="E464">
        <v>2011</v>
      </c>
      <c r="K464">
        <f>'ELC data'!N39</f>
        <v>999</v>
      </c>
      <c r="T464" t="s">
        <v>277</v>
      </c>
    </row>
    <row r="465" spans="4:20" x14ac:dyDescent="0.3">
      <c r="D465" t="s">
        <v>31</v>
      </c>
      <c r="E465">
        <v>2011</v>
      </c>
      <c r="L465">
        <f>'ELC data'!N40</f>
        <v>500</v>
      </c>
      <c r="T465" t="s">
        <v>278</v>
      </c>
    </row>
    <row r="466" spans="4:20" x14ac:dyDescent="0.3">
      <c r="D466" t="s">
        <v>31</v>
      </c>
      <c r="E466">
        <v>2011</v>
      </c>
      <c r="L466">
        <f>'ELC data'!N41</f>
        <v>500</v>
      </c>
      <c r="T466" t="s">
        <v>279</v>
      </c>
    </row>
    <row r="467" spans="4:20" x14ac:dyDescent="0.3">
      <c r="D467" t="s">
        <v>31</v>
      </c>
      <c r="E467">
        <v>2011</v>
      </c>
      <c r="L467">
        <f>'ELC data'!N42</f>
        <v>500</v>
      </c>
      <c r="T467" t="s">
        <v>280</v>
      </c>
    </row>
    <row r="468" spans="4:20" x14ac:dyDescent="0.3">
      <c r="D468" t="s">
        <v>31</v>
      </c>
      <c r="E468">
        <v>2011</v>
      </c>
      <c r="L468">
        <f>'ELC data'!N43</f>
        <v>999</v>
      </c>
      <c r="T468" t="s">
        <v>281</v>
      </c>
    </row>
    <row r="469" spans="4:20" x14ac:dyDescent="0.3">
      <c r="D469" t="s">
        <v>31</v>
      </c>
      <c r="E469">
        <v>2011</v>
      </c>
      <c r="L469">
        <f>'ELC data'!N44</f>
        <v>999</v>
      </c>
      <c r="T469" t="s">
        <v>282</v>
      </c>
    </row>
    <row r="470" spans="4:20" x14ac:dyDescent="0.3">
      <c r="D470" t="s">
        <v>31</v>
      </c>
      <c r="E470">
        <v>2011</v>
      </c>
      <c r="M470">
        <f>'ELC data'!N45</f>
        <v>500</v>
      </c>
      <c r="T470" t="s">
        <v>283</v>
      </c>
    </row>
    <row r="471" spans="4:20" x14ac:dyDescent="0.3">
      <c r="D471" t="s">
        <v>31</v>
      </c>
      <c r="E471">
        <v>2011</v>
      </c>
      <c r="M471">
        <f>'ELC data'!N46</f>
        <v>500</v>
      </c>
      <c r="T471" t="s">
        <v>284</v>
      </c>
    </row>
    <row r="472" spans="4:20" x14ac:dyDescent="0.3">
      <c r="D472" t="s">
        <v>31</v>
      </c>
      <c r="E472">
        <v>2011</v>
      </c>
      <c r="M472">
        <f>'ELC data'!N47</f>
        <v>500</v>
      </c>
      <c r="T472" t="s">
        <v>285</v>
      </c>
    </row>
    <row r="473" spans="4:20" x14ac:dyDescent="0.3">
      <c r="D473" t="s">
        <v>31</v>
      </c>
      <c r="E473">
        <v>2011</v>
      </c>
      <c r="M473">
        <f>'ELC data'!N48</f>
        <v>999</v>
      </c>
      <c r="T473" t="s">
        <v>286</v>
      </c>
    </row>
    <row r="474" spans="4:20" x14ac:dyDescent="0.3">
      <c r="D474" t="s">
        <v>31</v>
      </c>
      <c r="E474">
        <v>2011</v>
      </c>
      <c r="N474">
        <f>'ELC data'!N49</f>
        <v>999</v>
      </c>
      <c r="T474" t="s">
        <v>287</v>
      </c>
    </row>
    <row r="475" spans="4:20" x14ac:dyDescent="0.3">
      <c r="D475" t="s">
        <v>31</v>
      </c>
      <c r="E475">
        <v>2011</v>
      </c>
      <c r="N475">
        <f>'ELC data'!N50</f>
        <v>500</v>
      </c>
      <c r="T475" t="s">
        <v>288</v>
      </c>
    </row>
    <row r="476" spans="4:20" x14ac:dyDescent="0.3">
      <c r="D476" t="s">
        <v>31</v>
      </c>
      <c r="E476">
        <v>2011</v>
      </c>
      <c r="N476">
        <f>'ELC data'!N51</f>
        <v>500</v>
      </c>
      <c r="T476" t="s">
        <v>289</v>
      </c>
    </row>
    <row r="477" spans="4:20" x14ac:dyDescent="0.3">
      <c r="D477" t="s">
        <v>31</v>
      </c>
      <c r="E477">
        <v>2011</v>
      </c>
      <c r="O477">
        <f>'ELC data'!N52</f>
        <v>999</v>
      </c>
      <c r="T477" t="s">
        <v>290</v>
      </c>
    </row>
    <row r="478" spans="4:20" x14ac:dyDescent="0.3">
      <c r="D478" t="s">
        <v>31</v>
      </c>
      <c r="E478">
        <v>2011</v>
      </c>
      <c r="O478">
        <f>'ELC data'!N53</f>
        <v>500</v>
      </c>
      <c r="T478" t="s">
        <v>291</v>
      </c>
    </row>
    <row r="479" spans="4:20" x14ac:dyDescent="0.3">
      <c r="D479" t="s">
        <v>31</v>
      </c>
      <c r="E479">
        <v>2011</v>
      </c>
      <c r="O479">
        <f>'ELC data'!N54</f>
        <v>500</v>
      </c>
      <c r="T479" t="s">
        <v>292</v>
      </c>
    </row>
    <row r="480" spans="4:20" x14ac:dyDescent="0.3">
      <c r="D480" t="s">
        <v>31</v>
      </c>
      <c r="E480">
        <v>2011</v>
      </c>
      <c r="O480">
        <f>'ELC data'!N55</f>
        <v>500</v>
      </c>
      <c r="T480" t="s">
        <v>293</v>
      </c>
    </row>
    <row r="481" spans="4:20" x14ac:dyDescent="0.3">
      <c r="D481" t="s">
        <v>31</v>
      </c>
      <c r="E481">
        <v>2011</v>
      </c>
      <c r="P481">
        <f>'ELC data'!N56</f>
        <v>999</v>
      </c>
      <c r="T481" t="s">
        <v>294</v>
      </c>
    </row>
    <row r="482" spans="4:20" x14ac:dyDescent="0.3">
      <c r="D482" t="s">
        <v>31</v>
      </c>
      <c r="E482">
        <v>2011</v>
      </c>
      <c r="P482">
        <f>'ELC data'!N57</f>
        <v>500</v>
      </c>
      <c r="T482" t="s">
        <v>295</v>
      </c>
    </row>
    <row r="483" spans="4:20" x14ac:dyDescent="0.3">
      <c r="D483" t="s">
        <v>31</v>
      </c>
      <c r="E483">
        <v>2011</v>
      </c>
      <c r="P483">
        <f>'ELC data'!N58</f>
        <v>500</v>
      </c>
      <c r="T483" t="s">
        <v>296</v>
      </c>
    </row>
    <row r="484" spans="4:20" x14ac:dyDescent="0.3">
      <c r="D484" t="s">
        <v>31</v>
      </c>
      <c r="E484">
        <v>2011</v>
      </c>
      <c r="P484">
        <f>'ELC data'!N59</f>
        <v>500</v>
      </c>
      <c r="T484" t="s">
        <v>297</v>
      </c>
    </row>
    <row r="485" spans="4:20" x14ac:dyDescent="0.3">
      <c r="D485" t="s">
        <v>31</v>
      </c>
      <c r="E485">
        <v>2011</v>
      </c>
      <c r="Q485">
        <f>'ELC data'!N60</f>
        <v>999</v>
      </c>
      <c r="T485" t="s">
        <v>298</v>
      </c>
    </row>
    <row r="486" spans="4:20" x14ac:dyDescent="0.3">
      <c r="D486" t="s">
        <v>31</v>
      </c>
      <c r="E486">
        <v>2011</v>
      </c>
      <c r="Q486">
        <f>'ELC data'!N61</f>
        <v>500</v>
      </c>
      <c r="T486" t="s">
        <v>299</v>
      </c>
    </row>
    <row r="487" spans="4:20" x14ac:dyDescent="0.3">
      <c r="D487" t="s">
        <v>31</v>
      </c>
      <c r="E487">
        <v>2011</v>
      </c>
      <c r="Q487">
        <f>'ELC data'!N62</f>
        <v>500</v>
      </c>
      <c r="T487" t="s">
        <v>300</v>
      </c>
    </row>
    <row r="488" spans="4:20" x14ac:dyDescent="0.3">
      <c r="D488" t="s">
        <v>31</v>
      </c>
      <c r="E488">
        <v>2011</v>
      </c>
      <c r="R488">
        <f>'ELC data'!N63</f>
        <v>500</v>
      </c>
      <c r="T488" t="s">
        <v>301</v>
      </c>
    </row>
    <row r="489" spans="4:20" x14ac:dyDescent="0.3">
      <c r="D489" t="s">
        <v>31</v>
      </c>
      <c r="E489">
        <v>2011</v>
      </c>
      <c r="I489">
        <f>'ELC data'!N80</f>
        <v>999</v>
      </c>
      <c r="T489" t="s">
        <v>311</v>
      </c>
    </row>
    <row r="490" spans="4:20" x14ac:dyDescent="0.3">
      <c r="D490" t="s">
        <v>31</v>
      </c>
      <c r="E490">
        <v>2011</v>
      </c>
      <c r="I490">
        <f>'ELC data'!N81</f>
        <v>999</v>
      </c>
      <c r="T490" t="s">
        <v>312</v>
      </c>
    </row>
    <row r="491" spans="4:20" x14ac:dyDescent="0.3">
      <c r="D491" t="s">
        <v>31</v>
      </c>
      <c r="E491">
        <v>2011</v>
      </c>
      <c r="I491">
        <f>'ELC data'!N82</f>
        <v>999</v>
      </c>
      <c r="T491" t="s">
        <v>313</v>
      </c>
    </row>
    <row r="492" spans="4:20" x14ac:dyDescent="0.3">
      <c r="D492" t="s">
        <v>31</v>
      </c>
      <c r="E492">
        <v>2011</v>
      </c>
      <c r="I492">
        <f>'ELC data'!N83</f>
        <v>999</v>
      </c>
      <c r="T492" t="s">
        <v>314</v>
      </c>
    </row>
    <row r="493" spans="4:20" x14ac:dyDescent="0.3">
      <c r="D493" t="s">
        <v>31</v>
      </c>
      <c r="E493">
        <v>2011</v>
      </c>
      <c r="I493">
        <f>'ELC data'!N84</f>
        <v>999</v>
      </c>
      <c r="T493" t="s">
        <v>315</v>
      </c>
    </row>
    <row r="494" spans="4:20" x14ac:dyDescent="0.3">
      <c r="D494" t="s">
        <v>31</v>
      </c>
      <c r="E494">
        <v>2011</v>
      </c>
      <c r="I494">
        <f>'ELC data'!N85</f>
        <v>999</v>
      </c>
      <c r="T494" t="s">
        <v>316</v>
      </c>
    </row>
    <row r="495" spans="4:20" x14ac:dyDescent="0.3">
      <c r="D495" t="s">
        <v>31</v>
      </c>
      <c r="E495">
        <v>2011</v>
      </c>
      <c r="I495">
        <f>'ELC data'!N86</f>
        <v>999</v>
      </c>
      <c r="T495" t="s">
        <v>317</v>
      </c>
    </row>
    <row r="496" spans="4:20" x14ac:dyDescent="0.3">
      <c r="D496" t="s">
        <v>31</v>
      </c>
      <c r="E496">
        <v>2011</v>
      </c>
      <c r="I496">
        <f>'ELC data'!N87</f>
        <v>999</v>
      </c>
      <c r="T496" t="s">
        <v>318</v>
      </c>
    </row>
    <row r="497" spans="4:20" x14ac:dyDescent="0.3">
      <c r="D497" t="s">
        <v>31</v>
      </c>
      <c r="E497">
        <v>2011</v>
      </c>
      <c r="I497">
        <f>'ELC data'!N88</f>
        <v>999</v>
      </c>
      <c r="T497" t="s">
        <v>319</v>
      </c>
    </row>
    <row r="498" spans="4:20" x14ac:dyDescent="0.3">
      <c r="D498" t="s">
        <v>31</v>
      </c>
      <c r="E498">
        <v>0</v>
      </c>
      <c r="J498">
        <v>5</v>
      </c>
      <c r="T498" t="s">
        <v>274</v>
      </c>
    </row>
    <row r="499" spans="4:20" x14ac:dyDescent="0.3">
      <c r="D499" t="s">
        <v>31</v>
      </c>
      <c r="E499">
        <v>0</v>
      </c>
      <c r="K499">
        <v>5</v>
      </c>
      <c r="T499" t="s">
        <v>275</v>
      </c>
    </row>
    <row r="500" spans="4:20" x14ac:dyDescent="0.3">
      <c r="D500" t="s">
        <v>31</v>
      </c>
      <c r="E500">
        <v>0</v>
      </c>
      <c r="K500">
        <v>5</v>
      </c>
      <c r="T500" t="s">
        <v>276</v>
      </c>
    </row>
    <row r="501" spans="4:20" x14ac:dyDescent="0.3">
      <c r="D501" t="s">
        <v>31</v>
      </c>
      <c r="E501">
        <v>0</v>
      </c>
      <c r="K501">
        <v>5</v>
      </c>
      <c r="T501" t="s">
        <v>277</v>
      </c>
    </row>
    <row r="502" spans="4:20" x14ac:dyDescent="0.3">
      <c r="D502" t="s">
        <v>31</v>
      </c>
      <c r="E502">
        <v>0</v>
      </c>
      <c r="L502">
        <v>5</v>
      </c>
      <c r="T502" t="s">
        <v>278</v>
      </c>
    </row>
    <row r="503" spans="4:20" x14ac:dyDescent="0.3">
      <c r="D503" t="s">
        <v>31</v>
      </c>
      <c r="E503">
        <v>0</v>
      </c>
      <c r="L503">
        <v>5</v>
      </c>
      <c r="T503" t="s">
        <v>279</v>
      </c>
    </row>
    <row r="504" spans="4:20" x14ac:dyDescent="0.3">
      <c r="D504" t="s">
        <v>31</v>
      </c>
      <c r="E504">
        <v>0</v>
      </c>
      <c r="L504">
        <v>5</v>
      </c>
      <c r="T504" t="s">
        <v>280</v>
      </c>
    </row>
    <row r="505" spans="4:20" x14ac:dyDescent="0.3">
      <c r="D505" t="s">
        <v>31</v>
      </c>
      <c r="E505">
        <v>0</v>
      </c>
      <c r="L505">
        <v>5</v>
      </c>
      <c r="T505" t="s">
        <v>281</v>
      </c>
    </row>
    <row r="506" spans="4:20" x14ac:dyDescent="0.3">
      <c r="D506" t="s">
        <v>31</v>
      </c>
      <c r="E506">
        <v>0</v>
      </c>
      <c r="L506">
        <v>5</v>
      </c>
      <c r="T506" t="s">
        <v>282</v>
      </c>
    </row>
    <row r="507" spans="4:20" x14ac:dyDescent="0.3">
      <c r="D507" t="s">
        <v>31</v>
      </c>
      <c r="E507">
        <v>0</v>
      </c>
      <c r="M507">
        <v>5</v>
      </c>
      <c r="T507" t="s">
        <v>283</v>
      </c>
    </row>
    <row r="508" spans="4:20" x14ac:dyDescent="0.3">
      <c r="D508" t="s">
        <v>31</v>
      </c>
      <c r="E508">
        <v>0</v>
      </c>
      <c r="M508">
        <v>5</v>
      </c>
      <c r="T508" t="s">
        <v>284</v>
      </c>
    </row>
    <row r="509" spans="4:20" x14ac:dyDescent="0.3">
      <c r="D509" t="s">
        <v>31</v>
      </c>
      <c r="E509">
        <v>0</v>
      </c>
      <c r="M509">
        <v>5</v>
      </c>
      <c r="T509" t="s">
        <v>285</v>
      </c>
    </row>
    <row r="510" spans="4:20" x14ac:dyDescent="0.3">
      <c r="D510" t="s">
        <v>31</v>
      </c>
      <c r="E510">
        <v>0</v>
      </c>
      <c r="M510">
        <v>5</v>
      </c>
      <c r="T510" t="s">
        <v>286</v>
      </c>
    </row>
    <row r="511" spans="4:20" x14ac:dyDescent="0.3">
      <c r="D511" t="s">
        <v>31</v>
      </c>
      <c r="E511">
        <v>0</v>
      </c>
      <c r="N511">
        <v>5</v>
      </c>
      <c r="T511" t="s">
        <v>287</v>
      </c>
    </row>
    <row r="512" spans="4:20" x14ac:dyDescent="0.3">
      <c r="D512" t="s">
        <v>31</v>
      </c>
      <c r="E512">
        <v>0</v>
      </c>
      <c r="N512">
        <v>5</v>
      </c>
      <c r="T512" t="s">
        <v>288</v>
      </c>
    </row>
    <row r="513" spans="4:20" x14ac:dyDescent="0.3">
      <c r="D513" t="s">
        <v>31</v>
      </c>
      <c r="E513">
        <v>0</v>
      </c>
      <c r="N513">
        <v>5</v>
      </c>
      <c r="T513" t="s">
        <v>289</v>
      </c>
    </row>
    <row r="514" spans="4:20" x14ac:dyDescent="0.3">
      <c r="D514" t="s">
        <v>31</v>
      </c>
      <c r="E514">
        <v>0</v>
      </c>
      <c r="O514">
        <v>5</v>
      </c>
      <c r="T514" t="s">
        <v>290</v>
      </c>
    </row>
    <row r="515" spans="4:20" x14ac:dyDescent="0.3">
      <c r="D515" t="s">
        <v>31</v>
      </c>
      <c r="E515">
        <v>0</v>
      </c>
      <c r="O515">
        <v>5</v>
      </c>
      <c r="T515" t="s">
        <v>291</v>
      </c>
    </row>
    <row r="516" spans="4:20" x14ac:dyDescent="0.3">
      <c r="D516" t="s">
        <v>31</v>
      </c>
      <c r="E516">
        <v>0</v>
      </c>
      <c r="O516">
        <v>5</v>
      </c>
      <c r="T516" t="s">
        <v>292</v>
      </c>
    </row>
    <row r="517" spans="4:20" x14ac:dyDescent="0.3">
      <c r="D517" t="s">
        <v>31</v>
      </c>
      <c r="E517">
        <v>0</v>
      </c>
      <c r="O517">
        <v>5</v>
      </c>
      <c r="T517" t="s">
        <v>293</v>
      </c>
    </row>
    <row r="518" spans="4:20" x14ac:dyDescent="0.3">
      <c r="D518" t="s">
        <v>31</v>
      </c>
      <c r="E518">
        <v>0</v>
      </c>
      <c r="P518">
        <v>5</v>
      </c>
      <c r="T518" t="s">
        <v>294</v>
      </c>
    </row>
    <row r="519" spans="4:20" x14ac:dyDescent="0.3">
      <c r="D519" t="s">
        <v>31</v>
      </c>
      <c r="E519">
        <v>0</v>
      </c>
      <c r="P519">
        <v>5</v>
      </c>
      <c r="T519" t="s">
        <v>295</v>
      </c>
    </row>
    <row r="520" spans="4:20" x14ac:dyDescent="0.3">
      <c r="D520" t="s">
        <v>31</v>
      </c>
      <c r="E520">
        <v>0</v>
      </c>
      <c r="P520">
        <v>5</v>
      </c>
      <c r="T520" t="s">
        <v>296</v>
      </c>
    </row>
    <row r="521" spans="4:20" x14ac:dyDescent="0.3">
      <c r="D521" t="s">
        <v>31</v>
      </c>
      <c r="E521">
        <v>0</v>
      </c>
      <c r="P521">
        <v>5</v>
      </c>
      <c r="T521" t="s">
        <v>297</v>
      </c>
    </row>
    <row r="522" spans="4:20" x14ac:dyDescent="0.3">
      <c r="D522" t="s">
        <v>31</v>
      </c>
      <c r="E522">
        <v>0</v>
      </c>
      <c r="Q522">
        <v>5</v>
      </c>
      <c r="T522" t="s">
        <v>298</v>
      </c>
    </row>
    <row r="523" spans="4:20" x14ac:dyDescent="0.3">
      <c r="D523" t="s">
        <v>31</v>
      </c>
      <c r="E523">
        <v>0</v>
      </c>
      <c r="Q523">
        <v>5</v>
      </c>
      <c r="T523" t="s">
        <v>299</v>
      </c>
    </row>
    <row r="524" spans="4:20" x14ac:dyDescent="0.3">
      <c r="D524" t="s">
        <v>31</v>
      </c>
      <c r="E524">
        <v>0</v>
      </c>
      <c r="Q524">
        <v>5</v>
      </c>
      <c r="T524" t="s">
        <v>300</v>
      </c>
    </row>
    <row r="525" spans="4:20" x14ac:dyDescent="0.3">
      <c r="D525" t="s">
        <v>31</v>
      </c>
      <c r="E525">
        <v>0</v>
      </c>
      <c r="R525">
        <v>5</v>
      </c>
      <c r="T525" t="s">
        <v>301</v>
      </c>
    </row>
    <row r="526" spans="4:20" x14ac:dyDescent="0.3">
      <c r="D526" t="s">
        <v>31</v>
      </c>
      <c r="E526">
        <v>0</v>
      </c>
      <c r="I526">
        <v>5</v>
      </c>
      <c r="T526" t="s">
        <v>311</v>
      </c>
    </row>
    <row r="527" spans="4:20" x14ac:dyDescent="0.3">
      <c r="D527" t="s">
        <v>31</v>
      </c>
      <c r="E527">
        <v>0</v>
      </c>
      <c r="I527">
        <v>5</v>
      </c>
      <c r="T527" t="s">
        <v>312</v>
      </c>
    </row>
    <row r="528" spans="4:20" x14ac:dyDescent="0.3">
      <c r="D528" t="s">
        <v>31</v>
      </c>
      <c r="E528">
        <v>0</v>
      </c>
      <c r="I528">
        <v>5</v>
      </c>
      <c r="T528" t="s">
        <v>313</v>
      </c>
    </row>
    <row r="529" spans="4:20" x14ac:dyDescent="0.3">
      <c r="D529" t="s">
        <v>31</v>
      </c>
      <c r="E529">
        <v>0</v>
      </c>
      <c r="I529">
        <v>5</v>
      </c>
      <c r="T529" t="s">
        <v>314</v>
      </c>
    </row>
    <row r="530" spans="4:20" x14ac:dyDescent="0.3">
      <c r="D530" t="s">
        <v>31</v>
      </c>
      <c r="E530">
        <v>0</v>
      </c>
      <c r="I530">
        <v>5</v>
      </c>
      <c r="T530" t="s">
        <v>315</v>
      </c>
    </row>
    <row r="531" spans="4:20" x14ac:dyDescent="0.3">
      <c r="D531" t="s">
        <v>31</v>
      </c>
      <c r="E531">
        <v>0</v>
      </c>
      <c r="I531">
        <v>5</v>
      </c>
      <c r="T531" t="s">
        <v>316</v>
      </c>
    </row>
    <row r="532" spans="4:20" x14ac:dyDescent="0.3">
      <c r="D532" t="s">
        <v>31</v>
      </c>
      <c r="E532">
        <v>0</v>
      </c>
      <c r="I532">
        <v>5</v>
      </c>
      <c r="T532" t="s">
        <v>317</v>
      </c>
    </row>
    <row r="533" spans="4:20" x14ac:dyDescent="0.3">
      <c r="D533" t="s">
        <v>31</v>
      </c>
      <c r="E533">
        <v>0</v>
      </c>
      <c r="I533">
        <v>5</v>
      </c>
      <c r="T533" t="s">
        <v>318</v>
      </c>
    </row>
    <row r="534" spans="4:20" x14ac:dyDescent="0.3">
      <c r="D534" t="s">
        <v>31</v>
      </c>
      <c r="E534">
        <v>0</v>
      </c>
      <c r="I534">
        <v>5</v>
      </c>
      <c r="T534" t="s">
        <v>319</v>
      </c>
    </row>
    <row r="535" spans="4:20" x14ac:dyDescent="0.3">
      <c r="D535" t="s">
        <v>121</v>
      </c>
      <c r="E535">
        <v>2011</v>
      </c>
      <c r="J535">
        <f>'ELC data'!Q36</f>
        <v>315.36</v>
      </c>
      <c r="T535" t="s">
        <v>274</v>
      </c>
    </row>
    <row r="536" spans="4:20" x14ac:dyDescent="0.3">
      <c r="D536" t="s">
        <v>121</v>
      </c>
      <c r="E536">
        <v>2011</v>
      </c>
      <c r="K536">
        <f>'ELC data'!Q37</f>
        <v>0</v>
      </c>
      <c r="T536" t="s">
        <v>275</v>
      </c>
    </row>
    <row r="537" spans="4:20" x14ac:dyDescent="0.3">
      <c r="D537" t="s">
        <v>121</v>
      </c>
      <c r="E537">
        <v>2011</v>
      </c>
      <c r="K537">
        <f>'ELC data'!Q38</f>
        <v>315.36</v>
      </c>
      <c r="T537" t="s">
        <v>276</v>
      </c>
    </row>
    <row r="538" spans="4:20" x14ac:dyDescent="0.3">
      <c r="D538" t="s">
        <v>121</v>
      </c>
      <c r="E538">
        <v>2011</v>
      </c>
      <c r="K538">
        <f>'ELC data'!Q39</f>
        <v>0</v>
      </c>
      <c r="T538" t="s">
        <v>277</v>
      </c>
    </row>
    <row r="539" spans="4:20" x14ac:dyDescent="0.3">
      <c r="D539" t="s">
        <v>121</v>
      </c>
      <c r="E539">
        <v>2011</v>
      </c>
      <c r="L539">
        <f>'ELC data'!Q40</f>
        <v>315.36</v>
      </c>
      <c r="T539" t="s">
        <v>278</v>
      </c>
    </row>
    <row r="540" spans="4:20" x14ac:dyDescent="0.3">
      <c r="D540" t="s">
        <v>121</v>
      </c>
      <c r="E540">
        <v>2011</v>
      </c>
      <c r="L540">
        <f>'ELC data'!Q41</f>
        <v>315.36</v>
      </c>
      <c r="T540" t="s">
        <v>279</v>
      </c>
    </row>
    <row r="541" spans="4:20" x14ac:dyDescent="0.3">
      <c r="D541" t="s">
        <v>121</v>
      </c>
      <c r="E541">
        <v>2011</v>
      </c>
      <c r="L541">
        <f>'ELC data'!Q42</f>
        <v>315.36</v>
      </c>
      <c r="T541" t="s">
        <v>280</v>
      </c>
    </row>
    <row r="542" spans="4:20" x14ac:dyDescent="0.3">
      <c r="D542" t="s">
        <v>121</v>
      </c>
      <c r="E542">
        <v>2011</v>
      </c>
      <c r="L542">
        <f>'ELC data'!Q43</f>
        <v>0</v>
      </c>
      <c r="T542" t="s">
        <v>281</v>
      </c>
    </row>
    <row r="543" spans="4:20" x14ac:dyDescent="0.3">
      <c r="D543" t="s">
        <v>121</v>
      </c>
      <c r="E543">
        <v>2011</v>
      </c>
      <c r="L543">
        <f>'ELC data'!Q44</f>
        <v>0</v>
      </c>
      <c r="T543" t="s">
        <v>282</v>
      </c>
    </row>
    <row r="544" spans="4:20" x14ac:dyDescent="0.3">
      <c r="D544" t="s">
        <v>121</v>
      </c>
      <c r="E544">
        <v>2011</v>
      </c>
      <c r="M544">
        <f>'ELC data'!Q45</f>
        <v>315.36</v>
      </c>
      <c r="T544" t="s">
        <v>283</v>
      </c>
    </row>
    <row r="545" spans="4:20" x14ac:dyDescent="0.3">
      <c r="D545" t="s">
        <v>121</v>
      </c>
      <c r="E545">
        <v>2011</v>
      </c>
      <c r="M545">
        <f>'ELC data'!Q46</f>
        <v>315.36</v>
      </c>
      <c r="T545" t="s">
        <v>284</v>
      </c>
    </row>
    <row r="546" spans="4:20" x14ac:dyDescent="0.3">
      <c r="D546" t="s">
        <v>121</v>
      </c>
      <c r="E546">
        <v>2011</v>
      </c>
      <c r="M546">
        <f>'ELC data'!Q47</f>
        <v>315.36</v>
      </c>
      <c r="T546" t="s">
        <v>285</v>
      </c>
    </row>
    <row r="547" spans="4:20" x14ac:dyDescent="0.3">
      <c r="D547" t="s">
        <v>121</v>
      </c>
      <c r="E547">
        <v>2011</v>
      </c>
      <c r="M547">
        <f>'ELC data'!Q48</f>
        <v>0</v>
      </c>
      <c r="T547" t="s">
        <v>286</v>
      </c>
    </row>
    <row r="548" spans="4:20" x14ac:dyDescent="0.3">
      <c r="D548" t="s">
        <v>121</v>
      </c>
      <c r="E548">
        <v>2011</v>
      </c>
      <c r="N548">
        <f>'ELC data'!Q49</f>
        <v>0</v>
      </c>
      <c r="T548" t="s">
        <v>287</v>
      </c>
    </row>
    <row r="549" spans="4:20" x14ac:dyDescent="0.3">
      <c r="D549" t="s">
        <v>121</v>
      </c>
      <c r="E549">
        <v>2011</v>
      </c>
      <c r="N549">
        <f>'ELC data'!Q50</f>
        <v>315.36</v>
      </c>
      <c r="T549" t="s">
        <v>288</v>
      </c>
    </row>
    <row r="550" spans="4:20" x14ac:dyDescent="0.3">
      <c r="D550" t="s">
        <v>121</v>
      </c>
      <c r="E550">
        <v>2011</v>
      </c>
      <c r="N550">
        <f>'ELC data'!Q51</f>
        <v>315.36</v>
      </c>
      <c r="T550" t="s">
        <v>289</v>
      </c>
    </row>
    <row r="551" spans="4:20" x14ac:dyDescent="0.3">
      <c r="D551" t="s">
        <v>121</v>
      </c>
      <c r="E551">
        <v>2011</v>
      </c>
      <c r="O551">
        <f>'ELC data'!Q52</f>
        <v>0</v>
      </c>
      <c r="T551" t="s">
        <v>290</v>
      </c>
    </row>
    <row r="552" spans="4:20" x14ac:dyDescent="0.3">
      <c r="D552" t="s">
        <v>121</v>
      </c>
      <c r="E552">
        <v>2011</v>
      </c>
      <c r="O552">
        <f>'ELC data'!Q53</f>
        <v>315.36</v>
      </c>
      <c r="T552" t="s">
        <v>291</v>
      </c>
    </row>
    <row r="553" spans="4:20" x14ac:dyDescent="0.3">
      <c r="D553" t="s">
        <v>121</v>
      </c>
      <c r="E553">
        <v>2011</v>
      </c>
      <c r="O553">
        <f>'ELC data'!Q54</f>
        <v>315.36</v>
      </c>
      <c r="T553" t="s">
        <v>292</v>
      </c>
    </row>
    <row r="554" spans="4:20" x14ac:dyDescent="0.3">
      <c r="D554" t="s">
        <v>121</v>
      </c>
      <c r="E554">
        <v>2011</v>
      </c>
      <c r="O554">
        <f>'ELC data'!Q55</f>
        <v>315.36</v>
      </c>
      <c r="T554" t="s">
        <v>293</v>
      </c>
    </row>
    <row r="555" spans="4:20" x14ac:dyDescent="0.3">
      <c r="D555" t="s">
        <v>121</v>
      </c>
      <c r="E555">
        <v>2011</v>
      </c>
      <c r="P555">
        <f>'ELC data'!Q56</f>
        <v>0</v>
      </c>
      <c r="T555" t="s">
        <v>294</v>
      </c>
    </row>
    <row r="556" spans="4:20" x14ac:dyDescent="0.3">
      <c r="D556" t="s">
        <v>121</v>
      </c>
      <c r="E556">
        <v>2011</v>
      </c>
      <c r="P556">
        <f>'ELC data'!Q57</f>
        <v>315.36</v>
      </c>
      <c r="T556" t="s">
        <v>295</v>
      </c>
    </row>
    <row r="557" spans="4:20" x14ac:dyDescent="0.3">
      <c r="D557" t="s">
        <v>121</v>
      </c>
      <c r="E557">
        <v>2011</v>
      </c>
      <c r="P557">
        <f>'ELC data'!Q58</f>
        <v>315.36</v>
      </c>
      <c r="T557" t="s">
        <v>296</v>
      </c>
    </row>
    <row r="558" spans="4:20" x14ac:dyDescent="0.3">
      <c r="D558" t="s">
        <v>121</v>
      </c>
      <c r="E558">
        <v>2011</v>
      </c>
      <c r="P558">
        <f>'ELC data'!Q59</f>
        <v>315.36</v>
      </c>
      <c r="T558" t="s">
        <v>297</v>
      </c>
    </row>
    <row r="559" spans="4:20" x14ac:dyDescent="0.3">
      <c r="D559" t="s">
        <v>121</v>
      </c>
      <c r="E559">
        <v>2011</v>
      </c>
      <c r="Q559">
        <f>'ELC data'!Q60</f>
        <v>0</v>
      </c>
      <c r="T559" t="s">
        <v>298</v>
      </c>
    </row>
    <row r="560" spans="4:20" x14ac:dyDescent="0.3">
      <c r="D560" t="s">
        <v>121</v>
      </c>
      <c r="E560">
        <v>2011</v>
      </c>
      <c r="Q560">
        <f>'ELC data'!Q61</f>
        <v>315.36</v>
      </c>
      <c r="T560" t="s">
        <v>299</v>
      </c>
    </row>
    <row r="561" spans="4:20" x14ac:dyDescent="0.3">
      <c r="D561" t="s">
        <v>121</v>
      </c>
      <c r="E561">
        <v>2011</v>
      </c>
      <c r="Q561">
        <f>'ELC data'!Q62</f>
        <v>315.36</v>
      </c>
      <c r="T561" t="s">
        <v>300</v>
      </c>
    </row>
    <row r="562" spans="4:20" x14ac:dyDescent="0.3">
      <c r="D562" t="s">
        <v>121</v>
      </c>
      <c r="E562">
        <v>2011</v>
      </c>
      <c r="R562">
        <f>'ELC data'!Q63</f>
        <v>315.36</v>
      </c>
      <c r="T562" t="s">
        <v>301</v>
      </c>
    </row>
    <row r="563" spans="4:20" x14ac:dyDescent="0.3">
      <c r="D563" t="s">
        <v>121</v>
      </c>
      <c r="E563">
        <v>2011</v>
      </c>
      <c r="I563">
        <f>'ELC data'!N154</f>
        <v>0</v>
      </c>
      <c r="T563" t="s">
        <v>311</v>
      </c>
    </row>
    <row r="564" spans="4:20" x14ac:dyDescent="0.3">
      <c r="D564" t="s">
        <v>121</v>
      </c>
      <c r="E564">
        <v>2011</v>
      </c>
      <c r="I564">
        <f>'ELC data'!N155</f>
        <v>0</v>
      </c>
      <c r="T564" t="s">
        <v>312</v>
      </c>
    </row>
    <row r="565" spans="4:20" x14ac:dyDescent="0.3">
      <c r="D565" t="s">
        <v>121</v>
      </c>
      <c r="E565">
        <v>2011</v>
      </c>
      <c r="I565">
        <f>'ELC data'!N156</f>
        <v>0</v>
      </c>
      <c r="T565" t="s">
        <v>313</v>
      </c>
    </row>
    <row r="566" spans="4:20" x14ac:dyDescent="0.3">
      <c r="D566" t="s">
        <v>121</v>
      </c>
      <c r="E566">
        <v>2011</v>
      </c>
      <c r="I566">
        <f>'ELC data'!N157</f>
        <v>0</v>
      </c>
      <c r="T566" t="s">
        <v>314</v>
      </c>
    </row>
    <row r="567" spans="4:20" x14ac:dyDescent="0.3">
      <c r="D567" t="s">
        <v>121</v>
      </c>
      <c r="E567">
        <v>2011</v>
      </c>
      <c r="I567">
        <f>'ELC data'!N158</f>
        <v>0</v>
      </c>
      <c r="T567" t="s">
        <v>315</v>
      </c>
    </row>
    <row r="568" spans="4:20" x14ac:dyDescent="0.3">
      <c r="D568" t="s">
        <v>121</v>
      </c>
      <c r="E568">
        <v>2011</v>
      </c>
      <c r="I568">
        <f>'ELC data'!N159</f>
        <v>0</v>
      </c>
      <c r="T568" t="s">
        <v>316</v>
      </c>
    </row>
    <row r="569" spans="4:20" x14ac:dyDescent="0.3">
      <c r="D569" t="s">
        <v>121</v>
      </c>
      <c r="E569">
        <v>2011</v>
      </c>
      <c r="I569">
        <f>'ELC data'!N160</f>
        <v>0</v>
      </c>
      <c r="T569" t="s">
        <v>317</v>
      </c>
    </row>
    <row r="570" spans="4:20" x14ac:dyDescent="0.3">
      <c r="D570" t="s">
        <v>121</v>
      </c>
      <c r="E570">
        <v>2011</v>
      </c>
      <c r="I570">
        <f>'ELC data'!N161</f>
        <v>0</v>
      </c>
      <c r="T570" t="s">
        <v>318</v>
      </c>
    </row>
    <row r="571" spans="4:20" x14ac:dyDescent="0.3">
      <c r="D571" t="s">
        <v>121</v>
      </c>
      <c r="E571">
        <v>2011</v>
      </c>
      <c r="I571">
        <f>'ELC data'!N162</f>
        <v>0</v>
      </c>
      <c r="T571" t="s">
        <v>319</v>
      </c>
    </row>
    <row r="572" spans="4:20" x14ac:dyDescent="0.3">
      <c r="D572" t="s">
        <v>121</v>
      </c>
      <c r="E572">
        <v>0</v>
      </c>
      <c r="J572">
        <v>5</v>
      </c>
      <c r="T572" t="s">
        <v>274</v>
      </c>
    </row>
    <row r="573" spans="4:20" x14ac:dyDescent="0.3">
      <c r="D573" t="s">
        <v>121</v>
      </c>
      <c r="E573">
        <v>0</v>
      </c>
      <c r="K573">
        <v>5</v>
      </c>
      <c r="T573" t="s">
        <v>275</v>
      </c>
    </row>
    <row r="574" spans="4:20" x14ac:dyDescent="0.3">
      <c r="D574" t="s">
        <v>121</v>
      </c>
      <c r="E574">
        <v>0</v>
      </c>
      <c r="K574">
        <v>5</v>
      </c>
      <c r="T574" t="s">
        <v>276</v>
      </c>
    </row>
    <row r="575" spans="4:20" x14ac:dyDescent="0.3">
      <c r="D575" t="s">
        <v>121</v>
      </c>
      <c r="E575">
        <v>0</v>
      </c>
      <c r="K575">
        <v>5</v>
      </c>
      <c r="T575" t="s">
        <v>277</v>
      </c>
    </row>
    <row r="576" spans="4:20" x14ac:dyDescent="0.3">
      <c r="D576" t="s">
        <v>121</v>
      </c>
      <c r="E576">
        <v>0</v>
      </c>
      <c r="L576">
        <v>5</v>
      </c>
      <c r="T576" t="s">
        <v>278</v>
      </c>
    </row>
    <row r="577" spans="4:20" x14ac:dyDescent="0.3">
      <c r="D577" t="s">
        <v>121</v>
      </c>
      <c r="E577">
        <v>0</v>
      </c>
      <c r="L577">
        <v>5</v>
      </c>
      <c r="T577" t="s">
        <v>279</v>
      </c>
    </row>
    <row r="578" spans="4:20" x14ac:dyDescent="0.3">
      <c r="D578" t="s">
        <v>121</v>
      </c>
      <c r="E578">
        <v>0</v>
      </c>
      <c r="L578">
        <v>5</v>
      </c>
      <c r="T578" t="s">
        <v>280</v>
      </c>
    </row>
    <row r="579" spans="4:20" x14ac:dyDescent="0.3">
      <c r="D579" t="s">
        <v>121</v>
      </c>
      <c r="E579">
        <v>0</v>
      </c>
      <c r="L579">
        <v>5</v>
      </c>
      <c r="T579" t="s">
        <v>281</v>
      </c>
    </row>
    <row r="580" spans="4:20" x14ac:dyDescent="0.3">
      <c r="D580" t="s">
        <v>121</v>
      </c>
      <c r="E580">
        <v>0</v>
      </c>
      <c r="L580">
        <v>5</v>
      </c>
      <c r="T580" t="s">
        <v>282</v>
      </c>
    </row>
    <row r="581" spans="4:20" x14ac:dyDescent="0.3">
      <c r="D581" t="s">
        <v>121</v>
      </c>
      <c r="E581">
        <v>0</v>
      </c>
      <c r="M581">
        <v>5</v>
      </c>
      <c r="T581" t="s">
        <v>283</v>
      </c>
    </row>
    <row r="582" spans="4:20" x14ac:dyDescent="0.3">
      <c r="D582" t="s">
        <v>121</v>
      </c>
      <c r="E582">
        <v>0</v>
      </c>
      <c r="M582">
        <v>5</v>
      </c>
      <c r="T582" t="s">
        <v>284</v>
      </c>
    </row>
    <row r="583" spans="4:20" x14ac:dyDescent="0.3">
      <c r="D583" t="s">
        <v>121</v>
      </c>
      <c r="E583">
        <v>0</v>
      </c>
      <c r="M583">
        <v>5</v>
      </c>
      <c r="T583" t="s">
        <v>285</v>
      </c>
    </row>
    <row r="584" spans="4:20" x14ac:dyDescent="0.3">
      <c r="D584" t="s">
        <v>121</v>
      </c>
      <c r="E584">
        <v>0</v>
      </c>
      <c r="M584">
        <v>5</v>
      </c>
      <c r="T584" t="s">
        <v>286</v>
      </c>
    </row>
    <row r="585" spans="4:20" x14ac:dyDescent="0.3">
      <c r="D585" t="s">
        <v>121</v>
      </c>
      <c r="E585">
        <v>0</v>
      </c>
      <c r="N585">
        <v>5</v>
      </c>
      <c r="T585" t="s">
        <v>287</v>
      </c>
    </row>
    <row r="586" spans="4:20" x14ac:dyDescent="0.3">
      <c r="D586" t="s">
        <v>121</v>
      </c>
      <c r="E586">
        <v>0</v>
      </c>
      <c r="N586">
        <v>5</v>
      </c>
      <c r="T586" t="s">
        <v>288</v>
      </c>
    </row>
    <row r="587" spans="4:20" x14ac:dyDescent="0.3">
      <c r="D587" t="s">
        <v>121</v>
      </c>
      <c r="E587">
        <v>0</v>
      </c>
      <c r="N587">
        <v>5</v>
      </c>
      <c r="T587" t="s">
        <v>289</v>
      </c>
    </row>
    <row r="588" spans="4:20" x14ac:dyDescent="0.3">
      <c r="D588" t="s">
        <v>121</v>
      </c>
      <c r="E588">
        <v>0</v>
      </c>
      <c r="O588">
        <v>5</v>
      </c>
      <c r="T588" t="s">
        <v>290</v>
      </c>
    </row>
    <row r="589" spans="4:20" x14ac:dyDescent="0.3">
      <c r="D589" t="s">
        <v>121</v>
      </c>
      <c r="E589">
        <v>0</v>
      </c>
      <c r="O589">
        <v>5</v>
      </c>
      <c r="T589" t="s">
        <v>291</v>
      </c>
    </row>
    <row r="590" spans="4:20" x14ac:dyDescent="0.3">
      <c r="D590" t="s">
        <v>121</v>
      </c>
      <c r="E590">
        <v>0</v>
      </c>
      <c r="O590">
        <v>5</v>
      </c>
      <c r="T590" t="s">
        <v>292</v>
      </c>
    </row>
    <row r="591" spans="4:20" x14ac:dyDescent="0.3">
      <c r="D591" t="s">
        <v>121</v>
      </c>
      <c r="E591">
        <v>0</v>
      </c>
      <c r="O591">
        <v>5</v>
      </c>
      <c r="T591" t="s">
        <v>293</v>
      </c>
    </row>
    <row r="592" spans="4:20" x14ac:dyDescent="0.3">
      <c r="D592" t="s">
        <v>121</v>
      </c>
      <c r="E592">
        <v>0</v>
      </c>
      <c r="P592">
        <v>5</v>
      </c>
      <c r="T592" t="s">
        <v>294</v>
      </c>
    </row>
    <row r="593" spans="4:20" x14ac:dyDescent="0.3">
      <c r="D593" t="s">
        <v>121</v>
      </c>
      <c r="E593">
        <v>0</v>
      </c>
      <c r="P593">
        <v>5</v>
      </c>
      <c r="T593" t="s">
        <v>295</v>
      </c>
    </row>
    <row r="594" spans="4:20" x14ac:dyDescent="0.3">
      <c r="D594" t="s">
        <v>121</v>
      </c>
      <c r="E594">
        <v>0</v>
      </c>
      <c r="P594">
        <v>5</v>
      </c>
      <c r="T594" t="s">
        <v>296</v>
      </c>
    </row>
    <row r="595" spans="4:20" x14ac:dyDescent="0.3">
      <c r="D595" t="s">
        <v>121</v>
      </c>
      <c r="E595">
        <v>0</v>
      </c>
      <c r="P595">
        <v>5</v>
      </c>
      <c r="T595" t="s">
        <v>297</v>
      </c>
    </row>
    <row r="596" spans="4:20" x14ac:dyDescent="0.3">
      <c r="D596" t="s">
        <v>121</v>
      </c>
      <c r="E596">
        <v>0</v>
      </c>
      <c r="Q596">
        <v>5</v>
      </c>
      <c r="T596" t="s">
        <v>298</v>
      </c>
    </row>
    <row r="597" spans="4:20" x14ac:dyDescent="0.3">
      <c r="D597" t="s">
        <v>121</v>
      </c>
      <c r="E597">
        <v>0</v>
      </c>
      <c r="Q597">
        <v>5</v>
      </c>
      <c r="T597" t="s">
        <v>299</v>
      </c>
    </row>
    <row r="598" spans="4:20" x14ac:dyDescent="0.3">
      <c r="D598" t="s">
        <v>121</v>
      </c>
      <c r="E598">
        <v>0</v>
      </c>
      <c r="Q598">
        <v>5</v>
      </c>
      <c r="T598" t="s">
        <v>300</v>
      </c>
    </row>
    <row r="599" spans="4:20" x14ac:dyDescent="0.3">
      <c r="D599" t="s">
        <v>121</v>
      </c>
      <c r="E599">
        <v>0</v>
      </c>
      <c r="R599">
        <v>5</v>
      </c>
      <c r="T599" t="s">
        <v>301</v>
      </c>
    </row>
    <row r="600" spans="4:20" x14ac:dyDescent="0.3">
      <c r="D600" t="s">
        <v>121</v>
      </c>
      <c r="E600">
        <v>0</v>
      </c>
      <c r="I600">
        <v>5</v>
      </c>
      <c r="T600" t="s">
        <v>311</v>
      </c>
    </row>
    <row r="601" spans="4:20" x14ac:dyDescent="0.3">
      <c r="D601" t="s">
        <v>121</v>
      </c>
      <c r="E601">
        <v>0</v>
      </c>
      <c r="I601">
        <v>5</v>
      </c>
      <c r="T601" t="s">
        <v>312</v>
      </c>
    </row>
    <row r="602" spans="4:20" x14ac:dyDescent="0.3">
      <c r="D602" t="s">
        <v>121</v>
      </c>
      <c r="E602">
        <v>0</v>
      </c>
      <c r="I602">
        <v>5</v>
      </c>
      <c r="T602" t="s">
        <v>313</v>
      </c>
    </row>
    <row r="603" spans="4:20" x14ac:dyDescent="0.3">
      <c r="D603" t="s">
        <v>121</v>
      </c>
      <c r="E603">
        <v>0</v>
      </c>
      <c r="I603">
        <v>5</v>
      </c>
      <c r="T603" t="s">
        <v>314</v>
      </c>
    </row>
    <row r="604" spans="4:20" x14ac:dyDescent="0.3">
      <c r="D604" t="s">
        <v>121</v>
      </c>
      <c r="E604">
        <v>0</v>
      </c>
      <c r="I604">
        <v>5</v>
      </c>
      <c r="T604" t="s">
        <v>315</v>
      </c>
    </row>
    <row r="605" spans="4:20" x14ac:dyDescent="0.3">
      <c r="D605" t="s">
        <v>121</v>
      </c>
      <c r="E605">
        <v>0</v>
      </c>
      <c r="I605">
        <v>5</v>
      </c>
      <c r="T605" t="s">
        <v>316</v>
      </c>
    </row>
    <row r="606" spans="4:20" x14ac:dyDescent="0.3">
      <c r="D606" t="s">
        <v>121</v>
      </c>
      <c r="E606">
        <v>0</v>
      </c>
      <c r="I606">
        <v>5</v>
      </c>
      <c r="T606" t="s">
        <v>317</v>
      </c>
    </row>
    <row r="607" spans="4:20" x14ac:dyDescent="0.3">
      <c r="D607" t="s">
        <v>121</v>
      </c>
      <c r="E607">
        <v>0</v>
      </c>
      <c r="I607">
        <v>5</v>
      </c>
      <c r="T607" t="s">
        <v>318</v>
      </c>
    </row>
    <row r="608" spans="4:20" x14ac:dyDescent="0.3">
      <c r="D608" t="s">
        <v>121</v>
      </c>
      <c r="E608">
        <v>0</v>
      </c>
      <c r="I608">
        <v>5</v>
      </c>
      <c r="T608" t="s">
        <v>319</v>
      </c>
    </row>
    <row r="609" spans="4:20" x14ac:dyDescent="0.3">
      <c r="D609" t="s">
        <v>81</v>
      </c>
      <c r="E609">
        <v>2011</v>
      </c>
      <c r="J609">
        <v>1</v>
      </c>
      <c r="T609" t="s">
        <v>274</v>
      </c>
    </row>
    <row r="610" spans="4:20" x14ac:dyDescent="0.3">
      <c r="D610" t="s">
        <v>81</v>
      </c>
      <c r="E610">
        <v>2011</v>
      </c>
      <c r="K610">
        <v>1</v>
      </c>
      <c r="T610" t="s">
        <v>275</v>
      </c>
    </row>
    <row r="611" spans="4:20" x14ac:dyDescent="0.3">
      <c r="D611" t="s">
        <v>81</v>
      </c>
      <c r="E611">
        <v>2011</v>
      </c>
      <c r="K611">
        <v>1</v>
      </c>
      <c r="T611" t="s">
        <v>276</v>
      </c>
    </row>
    <row r="612" spans="4:20" x14ac:dyDescent="0.3">
      <c r="D612" t="s">
        <v>81</v>
      </c>
      <c r="E612">
        <v>2011</v>
      </c>
      <c r="K612">
        <v>1</v>
      </c>
      <c r="T612" t="s">
        <v>277</v>
      </c>
    </row>
    <row r="613" spans="4:20" x14ac:dyDescent="0.3">
      <c r="D613" t="s">
        <v>81</v>
      </c>
      <c r="E613">
        <v>2011</v>
      </c>
      <c r="L613">
        <v>1</v>
      </c>
      <c r="T613" t="s">
        <v>278</v>
      </c>
    </row>
    <row r="614" spans="4:20" x14ac:dyDescent="0.3">
      <c r="D614" t="s">
        <v>81</v>
      </c>
      <c r="E614">
        <v>2011</v>
      </c>
      <c r="L614">
        <v>1</v>
      </c>
      <c r="T614" t="s">
        <v>279</v>
      </c>
    </row>
    <row r="615" spans="4:20" x14ac:dyDescent="0.3">
      <c r="D615" t="s">
        <v>81</v>
      </c>
      <c r="E615">
        <v>2011</v>
      </c>
      <c r="L615">
        <v>1</v>
      </c>
      <c r="T615" t="s">
        <v>280</v>
      </c>
    </row>
    <row r="616" spans="4:20" x14ac:dyDescent="0.3">
      <c r="D616" t="s">
        <v>81</v>
      </c>
      <c r="E616">
        <v>2011</v>
      </c>
      <c r="L616">
        <v>1</v>
      </c>
      <c r="T616" t="s">
        <v>281</v>
      </c>
    </row>
    <row r="617" spans="4:20" x14ac:dyDescent="0.3">
      <c r="D617" t="s">
        <v>81</v>
      </c>
      <c r="E617">
        <v>2011</v>
      </c>
      <c r="L617">
        <v>1</v>
      </c>
      <c r="T617" t="s">
        <v>282</v>
      </c>
    </row>
    <row r="618" spans="4:20" x14ac:dyDescent="0.3">
      <c r="D618" t="s">
        <v>81</v>
      </c>
      <c r="E618">
        <v>2011</v>
      </c>
      <c r="M618">
        <v>1</v>
      </c>
      <c r="T618" t="s">
        <v>283</v>
      </c>
    </row>
    <row r="619" spans="4:20" x14ac:dyDescent="0.3">
      <c r="D619" t="s">
        <v>81</v>
      </c>
      <c r="E619">
        <v>2011</v>
      </c>
      <c r="M619">
        <v>1</v>
      </c>
      <c r="T619" t="s">
        <v>284</v>
      </c>
    </row>
    <row r="620" spans="4:20" x14ac:dyDescent="0.3">
      <c r="D620" t="s">
        <v>81</v>
      </c>
      <c r="E620">
        <v>2011</v>
      </c>
      <c r="M620">
        <v>1</v>
      </c>
      <c r="T620" t="s">
        <v>285</v>
      </c>
    </row>
    <row r="621" spans="4:20" x14ac:dyDescent="0.3">
      <c r="D621" t="s">
        <v>81</v>
      </c>
      <c r="E621">
        <v>2011</v>
      </c>
      <c r="M621">
        <v>1</v>
      </c>
      <c r="T621" t="s">
        <v>286</v>
      </c>
    </row>
    <row r="622" spans="4:20" x14ac:dyDescent="0.3">
      <c r="D622" t="s">
        <v>81</v>
      </c>
      <c r="E622">
        <v>2011</v>
      </c>
      <c r="N622">
        <v>1</v>
      </c>
      <c r="T622" t="s">
        <v>287</v>
      </c>
    </row>
    <row r="623" spans="4:20" x14ac:dyDescent="0.3">
      <c r="D623" t="s">
        <v>81</v>
      </c>
      <c r="E623">
        <v>2011</v>
      </c>
      <c r="N623">
        <v>1</v>
      </c>
      <c r="T623" t="s">
        <v>288</v>
      </c>
    </row>
    <row r="624" spans="4:20" x14ac:dyDescent="0.3">
      <c r="D624" t="s">
        <v>81</v>
      </c>
      <c r="E624">
        <v>2011</v>
      </c>
      <c r="N624">
        <v>1</v>
      </c>
      <c r="T624" t="s">
        <v>289</v>
      </c>
    </row>
    <row r="625" spans="2:24" x14ac:dyDescent="0.3">
      <c r="D625" t="s">
        <v>81</v>
      </c>
      <c r="E625">
        <v>2011</v>
      </c>
      <c r="O625">
        <v>1</v>
      </c>
      <c r="T625" t="s">
        <v>290</v>
      </c>
    </row>
    <row r="626" spans="2:24" x14ac:dyDescent="0.3">
      <c r="D626" t="s">
        <v>81</v>
      </c>
      <c r="E626">
        <v>2011</v>
      </c>
      <c r="O626">
        <v>1</v>
      </c>
      <c r="T626" t="s">
        <v>291</v>
      </c>
      <c r="V626" s="34"/>
    </row>
    <row r="627" spans="2:24" x14ac:dyDescent="0.3">
      <c r="D627" t="s">
        <v>81</v>
      </c>
      <c r="E627">
        <v>2011</v>
      </c>
      <c r="O627">
        <v>1</v>
      </c>
      <c r="T627" t="s">
        <v>292</v>
      </c>
    </row>
    <row r="628" spans="2:24" x14ac:dyDescent="0.3">
      <c r="D628" t="s">
        <v>81</v>
      </c>
      <c r="E628">
        <v>2011</v>
      </c>
      <c r="O628">
        <v>1</v>
      </c>
      <c r="T628" t="s">
        <v>293</v>
      </c>
      <c r="V628" s="34"/>
    </row>
    <row r="629" spans="2:24" x14ac:dyDescent="0.3">
      <c r="D629" t="s">
        <v>81</v>
      </c>
      <c r="E629">
        <v>2011</v>
      </c>
      <c r="P629">
        <v>1</v>
      </c>
      <c r="T629" t="s">
        <v>294</v>
      </c>
      <c r="V629" s="34"/>
    </row>
    <row r="630" spans="2:24" x14ac:dyDescent="0.3">
      <c r="D630" t="s">
        <v>81</v>
      </c>
      <c r="E630">
        <v>2011</v>
      </c>
      <c r="P630">
        <v>1</v>
      </c>
      <c r="T630" t="s">
        <v>295</v>
      </c>
      <c r="V630" s="34"/>
    </row>
    <row r="631" spans="2:24" x14ac:dyDescent="0.3">
      <c r="D631" t="s">
        <v>81</v>
      </c>
      <c r="E631">
        <v>2011</v>
      </c>
      <c r="P631">
        <v>1</v>
      </c>
      <c r="T631" t="s">
        <v>296</v>
      </c>
      <c r="V631" s="34"/>
    </row>
    <row r="632" spans="2:24" x14ac:dyDescent="0.3">
      <c r="D632" t="s">
        <v>81</v>
      </c>
      <c r="E632">
        <v>2011</v>
      </c>
      <c r="P632">
        <v>1</v>
      </c>
      <c r="T632" t="s">
        <v>297</v>
      </c>
      <c r="V632" s="34"/>
    </row>
    <row r="633" spans="2:24" s="34" customFormat="1" x14ac:dyDescent="0.3">
      <c r="B633"/>
      <c r="C633"/>
      <c r="D633" t="s">
        <v>81</v>
      </c>
      <c r="E633">
        <v>2011</v>
      </c>
      <c r="F633"/>
      <c r="G633"/>
      <c r="H633"/>
      <c r="I633"/>
      <c r="J633"/>
      <c r="K633"/>
      <c r="L633"/>
      <c r="M633"/>
      <c r="N633"/>
      <c r="O633"/>
      <c r="P633"/>
      <c r="Q633">
        <v>1</v>
      </c>
      <c r="R633"/>
      <c r="S633"/>
      <c r="T633" t="s">
        <v>298</v>
      </c>
      <c r="X633"/>
    </row>
    <row r="634" spans="2:24" x14ac:dyDescent="0.3">
      <c r="D634" t="s">
        <v>81</v>
      </c>
      <c r="E634">
        <v>2011</v>
      </c>
      <c r="Q634">
        <v>1</v>
      </c>
      <c r="T634" t="s">
        <v>299</v>
      </c>
      <c r="V634" s="34"/>
      <c r="X634" s="34"/>
    </row>
    <row r="635" spans="2:24" s="34" customFormat="1" x14ac:dyDescent="0.3">
      <c r="B635"/>
      <c r="C635"/>
      <c r="D635" t="s">
        <v>81</v>
      </c>
      <c r="E635">
        <v>2011</v>
      </c>
      <c r="F635"/>
      <c r="G635"/>
      <c r="H635"/>
      <c r="I635"/>
      <c r="J635"/>
      <c r="K635"/>
      <c r="L635"/>
      <c r="M635"/>
      <c r="N635"/>
      <c r="O635"/>
      <c r="P635"/>
      <c r="Q635">
        <v>1</v>
      </c>
      <c r="R635"/>
      <c r="S635"/>
      <c r="T635" t="s">
        <v>300</v>
      </c>
      <c r="V635"/>
      <c r="X635"/>
    </row>
    <row r="636" spans="2:24" s="34" customFormat="1" x14ac:dyDescent="0.3">
      <c r="B636"/>
      <c r="C636"/>
      <c r="D636" t="s">
        <v>81</v>
      </c>
      <c r="E636">
        <v>2011</v>
      </c>
      <c r="F636"/>
      <c r="G636"/>
      <c r="H636"/>
      <c r="I636"/>
      <c r="J636"/>
      <c r="K636"/>
      <c r="L636"/>
      <c r="M636"/>
      <c r="N636"/>
      <c r="O636"/>
      <c r="P636"/>
      <c r="Q636"/>
      <c r="R636">
        <v>1</v>
      </c>
      <c r="S636"/>
      <c r="T636" t="s">
        <v>301</v>
      </c>
      <c r="V636"/>
    </row>
    <row r="637" spans="2:24" s="34" customFormat="1" x14ac:dyDescent="0.3">
      <c r="D637" s="34" t="s">
        <v>81</v>
      </c>
      <c r="E637" s="34">
        <v>2011</v>
      </c>
      <c r="I637" s="34">
        <v>1</v>
      </c>
      <c r="T637" s="34" t="s">
        <v>311</v>
      </c>
      <c r="V637"/>
    </row>
    <row r="638" spans="2:24" s="34" customFormat="1" x14ac:dyDescent="0.3">
      <c r="B638"/>
      <c r="C638"/>
      <c r="D638" t="s">
        <v>81</v>
      </c>
      <c r="E638">
        <v>2011</v>
      </c>
      <c r="F638"/>
      <c r="G638"/>
      <c r="H638"/>
      <c r="I638">
        <v>1</v>
      </c>
      <c r="J638"/>
      <c r="K638"/>
      <c r="L638"/>
      <c r="M638"/>
      <c r="N638"/>
      <c r="O638"/>
      <c r="P638"/>
      <c r="Q638"/>
      <c r="R638"/>
      <c r="S638"/>
      <c r="T638" t="s">
        <v>312</v>
      </c>
      <c r="V638"/>
    </row>
    <row r="639" spans="2:24" s="34" customFormat="1" x14ac:dyDescent="0.3">
      <c r="D639" s="34" t="s">
        <v>81</v>
      </c>
      <c r="E639" s="34">
        <v>2011</v>
      </c>
      <c r="I639" s="34">
        <v>1</v>
      </c>
      <c r="T639" s="34" t="s">
        <v>313</v>
      </c>
      <c r="V639"/>
    </row>
    <row r="640" spans="2:24" s="34" customFormat="1" x14ac:dyDescent="0.3">
      <c r="D640" s="34" t="s">
        <v>81</v>
      </c>
      <c r="E640" s="34">
        <v>2011</v>
      </c>
      <c r="I640" s="34">
        <v>1</v>
      </c>
      <c r="T640" s="34" t="s">
        <v>314</v>
      </c>
      <c r="V640"/>
    </row>
    <row r="641" spans="2:24" s="34" customFormat="1" x14ac:dyDescent="0.3">
      <c r="D641" s="34" t="s">
        <v>81</v>
      </c>
      <c r="E641" s="34">
        <v>2011</v>
      </c>
      <c r="I641" s="34">
        <v>1</v>
      </c>
      <c r="T641" s="34" t="s">
        <v>315</v>
      </c>
      <c r="V641"/>
    </row>
    <row r="642" spans="2:24" x14ac:dyDescent="0.3">
      <c r="B642" s="34"/>
      <c r="C642" s="34"/>
      <c r="D642" s="34" t="s">
        <v>81</v>
      </c>
      <c r="E642" s="34">
        <v>2011</v>
      </c>
      <c r="F642" s="34"/>
      <c r="G642" s="34"/>
      <c r="H642" s="34"/>
      <c r="I642" s="34">
        <v>1</v>
      </c>
      <c r="J642" s="34"/>
      <c r="K642" s="34"/>
      <c r="L642" s="34"/>
      <c r="M642" s="34"/>
      <c r="N642" s="34"/>
      <c r="O642" s="34"/>
      <c r="P642" s="34"/>
      <c r="Q642" s="34"/>
      <c r="R642" s="34"/>
      <c r="S642" s="34"/>
      <c r="T642" s="34" t="s">
        <v>316</v>
      </c>
      <c r="X642" s="34"/>
    </row>
    <row r="643" spans="2:24" x14ac:dyDescent="0.3">
      <c r="B643" s="34"/>
      <c r="C643" s="34"/>
      <c r="D643" s="34" t="s">
        <v>81</v>
      </c>
      <c r="E643" s="34">
        <v>2011</v>
      </c>
      <c r="F643" s="34"/>
      <c r="G643" s="34"/>
      <c r="H643" s="34"/>
      <c r="I643" s="34">
        <v>1</v>
      </c>
      <c r="J643" s="34"/>
      <c r="K643" s="34"/>
      <c r="L643" s="34"/>
      <c r="M643" s="34"/>
      <c r="N643" s="34"/>
      <c r="O643" s="34"/>
      <c r="P643" s="34"/>
      <c r="Q643" s="34"/>
      <c r="R643" s="34"/>
      <c r="S643" s="34"/>
      <c r="T643" s="34" t="s">
        <v>317</v>
      </c>
    </row>
    <row r="644" spans="2:24" x14ac:dyDescent="0.3">
      <c r="B644" s="34"/>
      <c r="C644" s="34"/>
      <c r="D644" s="34" t="s">
        <v>81</v>
      </c>
      <c r="E644" s="34">
        <v>2011</v>
      </c>
      <c r="F644" s="34"/>
      <c r="G644" s="34"/>
      <c r="H644" s="34"/>
      <c r="I644" s="34">
        <v>1</v>
      </c>
      <c r="J644" s="34"/>
      <c r="K644" s="34"/>
      <c r="L644" s="34"/>
      <c r="M644" s="34"/>
      <c r="N644" s="34"/>
      <c r="O644" s="34"/>
      <c r="P644" s="34"/>
      <c r="Q644" s="34"/>
      <c r="R644" s="34"/>
      <c r="S644" s="34"/>
      <c r="T644" s="34" t="s">
        <v>318</v>
      </c>
    </row>
    <row r="645" spans="2:24" x14ac:dyDescent="0.3">
      <c r="B645" s="34"/>
      <c r="C645" s="34"/>
      <c r="D645" s="34" t="s">
        <v>81</v>
      </c>
      <c r="E645" s="34">
        <v>2011</v>
      </c>
      <c r="F645" s="34"/>
      <c r="G645" s="34"/>
      <c r="H645" s="34"/>
      <c r="I645" s="34">
        <v>1</v>
      </c>
      <c r="J645" s="34"/>
      <c r="K645" s="34"/>
      <c r="L645" s="34"/>
      <c r="M645" s="34"/>
      <c r="N645" s="34"/>
      <c r="O645" s="34"/>
      <c r="P645" s="34"/>
      <c r="Q645" s="34"/>
      <c r="R645" s="34"/>
      <c r="S645" s="34"/>
      <c r="T645" s="34" t="s">
        <v>319</v>
      </c>
    </row>
    <row r="646" spans="2:24" x14ac:dyDescent="0.3">
      <c r="D646" t="s">
        <v>81</v>
      </c>
      <c r="E646">
        <v>0</v>
      </c>
      <c r="J646">
        <v>5</v>
      </c>
      <c r="T646" t="s">
        <v>274</v>
      </c>
    </row>
    <row r="647" spans="2:24" x14ac:dyDescent="0.3">
      <c r="D647" t="s">
        <v>81</v>
      </c>
      <c r="E647">
        <v>0</v>
      </c>
      <c r="K647">
        <v>5</v>
      </c>
      <c r="T647" t="s">
        <v>275</v>
      </c>
    </row>
    <row r="648" spans="2:24" x14ac:dyDescent="0.3">
      <c r="D648" t="s">
        <v>81</v>
      </c>
      <c r="E648">
        <v>0</v>
      </c>
      <c r="K648">
        <v>5</v>
      </c>
      <c r="T648" t="s">
        <v>276</v>
      </c>
    </row>
    <row r="649" spans="2:24" x14ac:dyDescent="0.3">
      <c r="D649" t="s">
        <v>81</v>
      </c>
      <c r="E649">
        <v>0</v>
      </c>
      <c r="K649">
        <v>5</v>
      </c>
      <c r="T649" t="s">
        <v>277</v>
      </c>
    </row>
    <row r="650" spans="2:24" x14ac:dyDescent="0.3">
      <c r="D650" t="s">
        <v>81</v>
      </c>
      <c r="E650">
        <v>0</v>
      </c>
      <c r="L650">
        <v>5</v>
      </c>
      <c r="T650" t="s">
        <v>278</v>
      </c>
    </row>
    <row r="651" spans="2:24" x14ac:dyDescent="0.3">
      <c r="D651" t="s">
        <v>81</v>
      </c>
      <c r="E651">
        <v>0</v>
      </c>
      <c r="L651">
        <v>5</v>
      </c>
      <c r="T651" t="s">
        <v>279</v>
      </c>
    </row>
    <row r="652" spans="2:24" x14ac:dyDescent="0.3">
      <c r="D652" t="s">
        <v>81</v>
      </c>
      <c r="E652">
        <v>0</v>
      </c>
      <c r="L652">
        <v>5</v>
      </c>
      <c r="T652" t="s">
        <v>280</v>
      </c>
    </row>
    <row r="653" spans="2:24" x14ac:dyDescent="0.3">
      <c r="D653" t="s">
        <v>81</v>
      </c>
      <c r="E653">
        <v>0</v>
      </c>
      <c r="L653">
        <v>5</v>
      </c>
      <c r="T653" t="s">
        <v>281</v>
      </c>
    </row>
    <row r="654" spans="2:24" x14ac:dyDescent="0.3">
      <c r="D654" t="s">
        <v>81</v>
      </c>
      <c r="E654">
        <v>0</v>
      </c>
      <c r="L654">
        <v>5</v>
      </c>
      <c r="T654" t="s">
        <v>282</v>
      </c>
    </row>
    <row r="655" spans="2:24" x14ac:dyDescent="0.3">
      <c r="D655" t="s">
        <v>81</v>
      </c>
      <c r="E655">
        <v>0</v>
      </c>
      <c r="M655">
        <v>5</v>
      </c>
      <c r="T655" t="s">
        <v>283</v>
      </c>
    </row>
    <row r="656" spans="2:24" x14ac:dyDescent="0.3">
      <c r="D656" t="s">
        <v>81</v>
      </c>
      <c r="E656">
        <v>0</v>
      </c>
      <c r="M656">
        <v>5</v>
      </c>
      <c r="T656" t="s">
        <v>284</v>
      </c>
    </row>
    <row r="657" spans="2:24" x14ac:dyDescent="0.3">
      <c r="D657" t="s">
        <v>81</v>
      </c>
      <c r="E657">
        <v>0</v>
      </c>
      <c r="M657">
        <v>5</v>
      </c>
      <c r="T657" t="s">
        <v>285</v>
      </c>
    </row>
    <row r="658" spans="2:24" x14ac:dyDescent="0.3">
      <c r="D658" t="s">
        <v>81</v>
      </c>
      <c r="E658">
        <v>0</v>
      </c>
      <c r="M658">
        <v>5</v>
      </c>
      <c r="T658" t="s">
        <v>286</v>
      </c>
    </row>
    <row r="659" spans="2:24" x14ac:dyDescent="0.3">
      <c r="D659" t="s">
        <v>81</v>
      </c>
      <c r="E659">
        <v>0</v>
      </c>
      <c r="N659">
        <v>5</v>
      </c>
      <c r="T659" t="s">
        <v>287</v>
      </c>
    </row>
    <row r="660" spans="2:24" x14ac:dyDescent="0.3">
      <c r="D660" t="s">
        <v>81</v>
      </c>
      <c r="E660">
        <v>0</v>
      </c>
      <c r="N660">
        <v>5</v>
      </c>
      <c r="T660" t="s">
        <v>288</v>
      </c>
    </row>
    <row r="661" spans="2:24" x14ac:dyDescent="0.3">
      <c r="D661" t="s">
        <v>81</v>
      </c>
      <c r="E661">
        <v>0</v>
      </c>
      <c r="N661">
        <v>5</v>
      </c>
      <c r="T661" t="s">
        <v>289</v>
      </c>
    </row>
    <row r="662" spans="2:24" x14ac:dyDescent="0.3">
      <c r="D662" t="s">
        <v>81</v>
      </c>
      <c r="E662">
        <v>0</v>
      </c>
      <c r="O662">
        <v>5</v>
      </c>
      <c r="T662" t="s">
        <v>290</v>
      </c>
    </row>
    <row r="663" spans="2:24" x14ac:dyDescent="0.3">
      <c r="D663" t="s">
        <v>81</v>
      </c>
      <c r="E663">
        <v>0</v>
      </c>
      <c r="O663">
        <v>5</v>
      </c>
      <c r="T663" t="s">
        <v>291</v>
      </c>
      <c r="V663" s="34"/>
    </row>
    <row r="664" spans="2:24" x14ac:dyDescent="0.3">
      <c r="D664" t="s">
        <v>81</v>
      </c>
      <c r="E664">
        <v>0</v>
      </c>
      <c r="O664">
        <v>5</v>
      </c>
      <c r="T664" t="s">
        <v>292</v>
      </c>
    </row>
    <row r="665" spans="2:24" x14ac:dyDescent="0.3">
      <c r="D665" t="s">
        <v>81</v>
      </c>
      <c r="E665">
        <v>0</v>
      </c>
      <c r="O665">
        <v>5</v>
      </c>
      <c r="T665" t="s">
        <v>293</v>
      </c>
      <c r="V665" s="34"/>
    </row>
    <row r="666" spans="2:24" x14ac:dyDescent="0.3">
      <c r="D666" t="s">
        <v>81</v>
      </c>
      <c r="E666">
        <v>0</v>
      </c>
      <c r="P666">
        <v>5</v>
      </c>
      <c r="T666" t="s">
        <v>294</v>
      </c>
      <c r="V666" s="34"/>
    </row>
    <row r="667" spans="2:24" x14ac:dyDescent="0.3">
      <c r="D667" t="s">
        <v>81</v>
      </c>
      <c r="E667">
        <v>0</v>
      </c>
      <c r="P667">
        <v>5</v>
      </c>
      <c r="T667" t="s">
        <v>295</v>
      </c>
      <c r="V667" s="34"/>
    </row>
    <row r="668" spans="2:24" x14ac:dyDescent="0.3">
      <c r="D668" t="s">
        <v>81</v>
      </c>
      <c r="E668">
        <v>0</v>
      </c>
      <c r="P668">
        <v>5</v>
      </c>
      <c r="T668" t="s">
        <v>296</v>
      </c>
      <c r="V668" s="34"/>
    </row>
    <row r="669" spans="2:24" x14ac:dyDescent="0.3">
      <c r="D669" t="s">
        <v>81</v>
      </c>
      <c r="E669">
        <v>0</v>
      </c>
      <c r="P669">
        <v>5</v>
      </c>
      <c r="T669" t="s">
        <v>297</v>
      </c>
      <c r="V669" s="34"/>
    </row>
    <row r="670" spans="2:24" s="34" customFormat="1" x14ac:dyDescent="0.3">
      <c r="B670"/>
      <c r="C670"/>
      <c r="D670" t="s">
        <v>81</v>
      </c>
      <c r="E670">
        <v>0</v>
      </c>
      <c r="F670"/>
      <c r="G670"/>
      <c r="H670"/>
      <c r="I670"/>
      <c r="J670"/>
      <c r="K670"/>
      <c r="L670"/>
      <c r="M670"/>
      <c r="N670"/>
      <c r="O670"/>
      <c r="P670"/>
      <c r="Q670">
        <v>5</v>
      </c>
      <c r="R670"/>
      <c r="S670"/>
      <c r="T670" t="s">
        <v>298</v>
      </c>
      <c r="X670"/>
    </row>
    <row r="671" spans="2:24" x14ac:dyDescent="0.3">
      <c r="D671" t="s">
        <v>81</v>
      </c>
      <c r="E671">
        <v>0</v>
      </c>
      <c r="Q671">
        <v>5</v>
      </c>
      <c r="T671" t="s">
        <v>299</v>
      </c>
      <c r="V671" s="34"/>
      <c r="X671" s="34"/>
    </row>
    <row r="672" spans="2:24" s="34" customFormat="1" x14ac:dyDescent="0.3">
      <c r="B672"/>
      <c r="C672"/>
      <c r="D672" t="s">
        <v>81</v>
      </c>
      <c r="E672">
        <v>0</v>
      </c>
      <c r="F672"/>
      <c r="G672"/>
      <c r="H672"/>
      <c r="I672"/>
      <c r="J672"/>
      <c r="K672"/>
      <c r="L672"/>
      <c r="M672"/>
      <c r="N672"/>
      <c r="O672"/>
      <c r="P672"/>
      <c r="Q672">
        <v>5</v>
      </c>
      <c r="R672"/>
      <c r="S672"/>
      <c r="T672" t="s">
        <v>300</v>
      </c>
      <c r="V672"/>
      <c r="X672"/>
    </row>
    <row r="673" spans="2:24" s="34" customFormat="1" x14ac:dyDescent="0.3">
      <c r="B673"/>
      <c r="C673"/>
      <c r="D673" t="s">
        <v>81</v>
      </c>
      <c r="E673">
        <v>0</v>
      </c>
      <c r="F673"/>
      <c r="G673"/>
      <c r="H673"/>
      <c r="I673"/>
      <c r="J673"/>
      <c r="K673"/>
      <c r="L673"/>
      <c r="M673"/>
      <c r="N673"/>
      <c r="O673"/>
      <c r="P673"/>
      <c r="Q673"/>
      <c r="R673">
        <v>5</v>
      </c>
      <c r="S673"/>
      <c r="T673" t="s">
        <v>301</v>
      </c>
      <c r="V673"/>
    </row>
    <row r="674" spans="2:24" s="34" customFormat="1" x14ac:dyDescent="0.3">
      <c r="D674" s="34" t="s">
        <v>81</v>
      </c>
      <c r="E674" s="34">
        <v>0</v>
      </c>
      <c r="I674" s="34">
        <v>5</v>
      </c>
      <c r="T674" s="34" t="s">
        <v>311</v>
      </c>
      <c r="V674"/>
    </row>
    <row r="675" spans="2:24" s="34" customFormat="1" x14ac:dyDescent="0.3">
      <c r="B675"/>
      <c r="C675"/>
      <c r="D675" t="s">
        <v>81</v>
      </c>
      <c r="E675">
        <v>0</v>
      </c>
      <c r="F675"/>
      <c r="G675"/>
      <c r="H675"/>
      <c r="I675">
        <v>5</v>
      </c>
      <c r="J675"/>
      <c r="K675"/>
      <c r="L675"/>
      <c r="M675"/>
      <c r="N675"/>
      <c r="O675"/>
      <c r="P675"/>
      <c r="Q675"/>
      <c r="R675"/>
      <c r="S675"/>
      <c r="T675" t="s">
        <v>312</v>
      </c>
      <c r="V675"/>
    </row>
    <row r="676" spans="2:24" s="34" customFormat="1" x14ac:dyDescent="0.3">
      <c r="D676" s="34" t="s">
        <v>81</v>
      </c>
      <c r="E676" s="34">
        <v>0</v>
      </c>
      <c r="I676" s="34">
        <v>5</v>
      </c>
      <c r="T676" s="34" t="s">
        <v>313</v>
      </c>
      <c r="V676"/>
    </row>
    <row r="677" spans="2:24" s="34" customFormat="1" x14ac:dyDescent="0.3">
      <c r="D677" s="34" t="s">
        <v>81</v>
      </c>
      <c r="E677" s="34">
        <v>0</v>
      </c>
      <c r="I677" s="34">
        <v>5</v>
      </c>
      <c r="T677" s="34" t="s">
        <v>314</v>
      </c>
      <c r="V677"/>
    </row>
    <row r="678" spans="2:24" s="34" customFormat="1" x14ac:dyDescent="0.3">
      <c r="D678" s="34" t="s">
        <v>81</v>
      </c>
      <c r="E678" s="34">
        <v>0</v>
      </c>
      <c r="I678" s="34">
        <v>5</v>
      </c>
      <c r="T678" s="34" t="s">
        <v>315</v>
      </c>
      <c r="V678"/>
    </row>
    <row r="679" spans="2:24" x14ac:dyDescent="0.3">
      <c r="B679" s="34"/>
      <c r="C679" s="34"/>
      <c r="D679" s="34" t="s">
        <v>81</v>
      </c>
      <c r="E679" s="34">
        <v>0</v>
      </c>
      <c r="F679" s="34"/>
      <c r="G679" s="34"/>
      <c r="H679" s="34"/>
      <c r="I679" s="34">
        <v>5</v>
      </c>
      <c r="J679" s="34"/>
      <c r="K679" s="34"/>
      <c r="L679" s="34"/>
      <c r="M679" s="34"/>
      <c r="N679" s="34"/>
      <c r="O679" s="34"/>
      <c r="P679" s="34"/>
      <c r="Q679" s="34"/>
      <c r="R679" s="34"/>
      <c r="S679" s="34"/>
      <c r="T679" s="34" t="s">
        <v>316</v>
      </c>
      <c r="X679" s="34"/>
    </row>
    <row r="680" spans="2:24" x14ac:dyDescent="0.3">
      <c r="B680" s="34"/>
      <c r="C680" s="34"/>
      <c r="D680" s="34" t="s">
        <v>81</v>
      </c>
      <c r="E680" s="34">
        <v>0</v>
      </c>
      <c r="F680" s="34"/>
      <c r="G680" s="34"/>
      <c r="H680" s="34"/>
      <c r="I680" s="34">
        <v>5</v>
      </c>
      <c r="J680" s="34"/>
      <c r="K680" s="34"/>
      <c r="L680" s="34"/>
      <c r="M680" s="34"/>
      <c r="N680" s="34"/>
      <c r="O680" s="34"/>
      <c r="P680" s="34"/>
      <c r="Q680" s="34"/>
      <c r="R680" s="34"/>
      <c r="S680" s="34"/>
      <c r="T680" s="34" t="s">
        <v>317</v>
      </c>
    </row>
    <row r="681" spans="2:24" x14ac:dyDescent="0.3">
      <c r="B681" s="34"/>
      <c r="C681" s="34"/>
      <c r="D681" s="34" t="s">
        <v>81</v>
      </c>
      <c r="E681" s="34">
        <v>0</v>
      </c>
      <c r="F681" s="34"/>
      <c r="G681" s="34"/>
      <c r="H681" s="34"/>
      <c r="I681" s="34">
        <v>5</v>
      </c>
      <c r="J681" s="34"/>
      <c r="K681" s="34"/>
      <c r="L681" s="34"/>
      <c r="M681" s="34"/>
      <c r="N681" s="34"/>
      <c r="O681" s="34"/>
      <c r="P681" s="34"/>
      <c r="Q681" s="34"/>
      <c r="R681" s="34"/>
      <c r="S681" s="34"/>
      <c r="T681" s="34" t="s">
        <v>318</v>
      </c>
    </row>
    <row r="682" spans="2:24" x14ac:dyDescent="0.3">
      <c r="B682" s="34"/>
      <c r="C682" s="34"/>
      <c r="D682" s="34" t="s">
        <v>81</v>
      </c>
      <c r="E682" s="34">
        <v>0</v>
      </c>
      <c r="F682" s="34"/>
      <c r="G682" s="34"/>
      <c r="H682" s="34"/>
      <c r="I682" s="34">
        <v>5</v>
      </c>
      <c r="J682" s="34"/>
      <c r="K682" s="34"/>
      <c r="L682" s="34"/>
      <c r="M682" s="34"/>
      <c r="N682" s="34"/>
      <c r="O682" s="34"/>
      <c r="P682" s="34"/>
      <c r="Q682" s="34"/>
      <c r="R682" s="34"/>
      <c r="S682" s="34"/>
      <c r="T682" s="34" t="s">
        <v>319</v>
      </c>
    </row>
    <row r="683" spans="2:24" x14ac:dyDescent="0.3">
      <c r="D683" t="s">
        <v>320</v>
      </c>
      <c r="E683">
        <v>2011</v>
      </c>
      <c r="J683">
        <f>'ELC data'!I36</f>
        <v>1.1100000000000001</v>
      </c>
      <c r="T683" t="s">
        <v>274</v>
      </c>
    </row>
    <row r="684" spans="2:24" x14ac:dyDescent="0.3">
      <c r="D684" t="s">
        <v>320</v>
      </c>
      <c r="E684">
        <v>2011</v>
      </c>
      <c r="K684">
        <f>'ELC data'!I37</f>
        <v>1.1100000000000001</v>
      </c>
      <c r="T684" t="s">
        <v>275</v>
      </c>
    </row>
    <row r="685" spans="2:24" x14ac:dyDescent="0.3">
      <c r="D685" t="s">
        <v>320</v>
      </c>
      <c r="E685">
        <v>2011</v>
      </c>
      <c r="K685">
        <f>'ELC data'!I38</f>
        <v>1.1100000000000001</v>
      </c>
      <c r="T685" t="s">
        <v>276</v>
      </c>
    </row>
    <row r="686" spans="2:24" x14ac:dyDescent="0.3">
      <c r="D686" t="s">
        <v>320</v>
      </c>
      <c r="E686">
        <v>2011</v>
      </c>
      <c r="K686">
        <f>'ELC data'!I39</f>
        <v>1</v>
      </c>
      <c r="T686" t="s">
        <v>277</v>
      </c>
    </row>
    <row r="687" spans="2:24" x14ac:dyDescent="0.3">
      <c r="D687" t="s">
        <v>320</v>
      </c>
      <c r="E687">
        <v>2011</v>
      </c>
      <c r="L687">
        <f>'ELC data'!I40</f>
        <v>1.1100000000000001</v>
      </c>
      <c r="T687" t="s">
        <v>278</v>
      </c>
    </row>
    <row r="688" spans="2:24" x14ac:dyDescent="0.3">
      <c r="D688" t="s">
        <v>320</v>
      </c>
      <c r="E688">
        <v>2011</v>
      </c>
      <c r="L688">
        <f>'ELC data'!I41</f>
        <v>1.1100000000000001</v>
      </c>
      <c r="T688" t="s">
        <v>279</v>
      </c>
    </row>
    <row r="689" spans="4:20" x14ac:dyDescent="0.3">
      <c r="D689" t="s">
        <v>320</v>
      </c>
      <c r="E689">
        <v>2011</v>
      </c>
      <c r="L689">
        <f>'ELC data'!I42</f>
        <v>1.1100000000000001</v>
      </c>
      <c r="T689" t="s">
        <v>280</v>
      </c>
    </row>
    <row r="690" spans="4:20" x14ac:dyDescent="0.3">
      <c r="D690" t="s">
        <v>320</v>
      </c>
      <c r="E690">
        <v>2011</v>
      </c>
      <c r="L690">
        <f>'ELC data'!I43</f>
        <v>1</v>
      </c>
      <c r="T690" t="s">
        <v>281</v>
      </c>
    </row>
    <row r="691" spans="4:20" x14ac:dyDescent="0.3">
      <c r="D691" t="s">
        <v>320</v>
      </c>
      <c r="E691">
        <v>2011</v>
      </c>
      <c r="L691">
        <f>'ELC data'!I44</f>
        <v>1</v>
      </c>
      <c r="T691" t="s">
        <v>282</v>
      </c>
    </row>
    <row r="692" spans="4:20" x14ac:dyDescent="0.3">
      <c r="D692" t="s">
        <v>320</v>
      </c>
      <c r="E692">
        <v>2011</v>
      </c>
      <c r="M692">
        <f>'ELC data'!I45</f>
        <v>1.1100000000000001</v>
      </c>
      <c r="T692" t="s">
        <v>283</v>
      </c>
    </row>
    <row r="693" spans="4:20" x14ac:dyDescent="0.3">
      <c r="D693" t="s">
        <v>320</v>
      </c>
      <c r="E693">
        <v>2011</v>
      </c>
      <c r="M693">
        <f>'ELC data'!I46</f>
        <v>1.1100000000000001</v>
      </c>
      <c r="T693" t="s">
        <v>284</v>
      </c>
    </row>
    <row r="694" spans="4:20" x14ac:dyDescent="0.3">
      <c r="D694" t="s">
        <v>320</v>
      </c>
      <c r="E694">
        <v>2011</v>
      </c>
      <c r="M694">
        <f>'ELC data'!I47</f>
        <v>1.1100000000000001</v>
      </c>
      <c r="T694" t="s">
        <v>285</v>
      </c>
    </row>
    <row r="695" spans="4:20" x14ac:dyDescent="0.3">
      <c r="D695" t="s">
        <v>320</v>
      </c>
      <c r="E695">
        <v>2011</v>
      </c>
      <c r="M695">
        <f>'ELC data'!I48</f>
        <v>1</v>
      </c>
      <c r="T695" t="s">
        <v>286</v>
      </c>
    </row>
    <row r="696" spans="4:20" x14ac:dyDescent="0.3">
      <c r="D696" t="s">
        <v>320</v>
      </c>
      <c r="E696">
        <v>2011</v>
      </c>
      <c r="N696">
        <f>'ELC data'!I49</f>
        <v>1</v>
      </c>
      <c r="T696" t="s">
        <v>287</v>
      </c>
    </row>
    <row r="697" spans="4:20" x14ac:dyDescent="0.3">
      <c r="D697" t="s">
        <v>320</v>
      </c>
      <c r="E697">
        <v>2011</v>
      </c>
      <c r="N697">
        <f>'ELC data'!I50</f>
        <v>1.1100000000000001</v>
      </c>
      <c r="T697" t="s">
        <v>288</v>
      </c>
    </row>
    <row r="698" spans="4:20" x14ac:dyDescent="0.3">
      <c r="D698" t="s">
        <v>320</v>
      </c>
      <c r="E698">
        <v>2011</v>
      </c>
      <c r="N698">
        <f>'ELC data'!I51</f>
        <v>1.1100000000000001</v>
      </c>
      <c r="T698" t="s">
        <v>289</v>
      </c>
    </row>
    <row r="699" spans="4:20" x14ac:dyDescent="0.3">
      <c r="D699" t="s">
        <v>320</v>
      </c>
      <c r="E699">
        <v>2011</v>
      </c>
      <c r="O699">
        <f>'ELC data'!I52</f>
        <v>1</v>
      </c>
      <c r="T699" t="s">
        <v>290</v>
      </c>
    </row>
    <row r="700" spans="4:20" x14ac:dyDescent="0.3">
      <c r="D700" t="s">
        <v>320</v>
      </c>
      <c r="E700">
        <v>2011</v>
      </c>
      <c r="O700">
        <f>'ELC data'!I53</f>
        <v>1.1100000000000001</v>
      </c>
      <c r="T700" t="s">
        <v>291</v>
      </c>
    </row>
    <row r="701" spans="4:20" x14ac:dyDescent="0.3">
      <c r="D701" t="s">
        <v>320</v>
      </c>
      <c r="E701">
        <v>2011</v>
      </c>
      <c r="O701">
        <f>'ELC data'!I54</f>
        <v>1.1100000000000001</v>
      </c>
      <c r="T701" t="s">
        <v>292</v>
      </c>
    </row>
    <row r="702" spans="4:20" x14ac:dyDescent="0.3">
      <c r="D702" t="s">
        <v>320</v>
      </c>
      <c r="E702">
        <v>2011</v>
      </c>
      <c r="O702">
        <f>'ELC data'!I55</f>
        <v>1.1100000000000001</v>
      </c>
      <c r="T702" t="s">
        <v>293</v>
      </c>
    </row>
    <row r="703" spans="4:20" x14ac:dyDescent="0.3">
      <c r="D703" t="s">
        <v>320</v>
      </c>
      <c r="E703">
        <v>2011</v>
      </c>
      <c r="P703">
        <f>'ELC data'!I56</f>
        <v>1</v>
      </c>
      <c r="T703" t="s">
        <v>294</v>
      </c>
    </row>
    <row r="704" spans="4:20" x14ac:dyDescent="0.3">
      <c r="D704" t="s">
        <v>320</v>
      </c>
      <c r="E704">
        <v>2011</v>
      </c>
      <c r="P704">
        <f>'ELC data'!I57</f>
        <v>1.1100000000000001</v>
      </c>
      <c r="T704" t="s">
        <v>295</v>
      </c>
    </row>
    <row r="705" spans="4:20" x14ac:dyDescent="0.3">
      <c r="D705" t="s">
        <v>320</v>
      </c>
      <c r="E705">
        <v>2011</v>
      </c>
      <c r="P705">
        <f>'ELC data'!I58</f>
        <v>1.1100000000000001</v>
      </c>
      <c r="T705" t="s">
        <v>296</v>
      </c>
    </row>
    <row r="706" spans="4:20" x14ac:dyDescent="0.3">
      <c r="D706" t="s">
        <v>320</v>
      </c>
      <c r="E706">
        <v>2011</v>
      </c>
      <c r="P706">
        <f>'ELC data'!I59</f>
        <v>1.1100000000000001</v>
      </c>
      <c r="T706" t="s">
        <v>297</v>
      </c>
    </row>
    <row r="707" spans="4:20" x14ac:dyDescent="0.3">
      <c r="D707" t="s">
        <v>320</v>
      </c>
      <c r="E707">
        <v>2011</v>
      </c>
      <c r="Q707">
        <f>'ELC data'!I60</f>
        <v>1</v>
      </c>
      <c r="T707" t="s">
        <v>298</v>
      </c>
    </row>
    <row r="708" spans="4:20" x14ac:dyDescent="0.3">
      <c r="D708" t="s">
        <v>320</v>
      </c>
      <c r="E708">
        <v>2011</v>
      </c>
      <c r="Q708">
        <f>'ELC data'!I61</f>
        <v>1.1100000000000001</v>
      </c>
      <c r="T708" t="s">
        <v>299</v>
      </c>
    </row>
    <row r="709" spans="4:20" x14ac:dyDescent="0.3">
      <c r="D709" t="s">
        <v>320</v>
      </c>
      <c r="E709">
        <v>2011</v>
      </c>
      <c r="Q709">
        <f>'ELC data'!I62</f>
        <v>1.1100000000000001</v>
      </c>
      <c r="T709" t="s">
        <v>300</v>
      </c>
    </row>
    <row r="710" spans="4:20" x14ac:dyDescent="0.3">
      <c r="D710" t="s">
        <v>320</v>
      </c>
      <c r="E710">
        <v>2011</v>
      </c>
      <c r="R710">
        <f>'ELC data'!I63</f>
        <v>1.1100000000000001</v>
      </c>
      <c r="T710" t="s">
        <v>301</v>
      </c>
    </row>
    <row r="711" spans="4:20" x14ac:dyDescent="0.3">
      <c r="D711" t="s">
        <v>320</v>
      </c>
      <c r="E711">
        <v>0</v>
      </c>
      <c r="J711">
        <v>5</v>
      </c>
      <c r="T711" t="s">
        <v>274</v>
      </c>
    </row>
    <row r="712" spans="4:20" x14ac:dyDescent="0.3">
      <c r="D712" t="s">
        <v>320</v>
      </c>
      <c r="E712">
        <v>0</v>
      </c>
      <c r="K712">
        <v>5</v>
      </c>
      <c r="T712" t="s">
        <v>275</v>
      </c>
    </row>
    <row r="713" spans="4:20" x14ac:dyDescent="0.3">
      <c r="D713" t="s">
        <v>320</v>
      </c>
      <c r="E713">
        <v>0</v>
      </c>
      <c r="K713">
        <v>5</v>
      </c>
      <c r="T713" t="s">
        <v>276</v>
      </c>
    </row>
    <row r="714" spans="4:20" x14ac:dyDescent="0.3">
      <c r="D714" t="s">
        <v>320</v>
      </c>
      <c r="E714">
        <v>0</v>
      </c>
      <c r="K714">
        <v>5</v>
      </c>
      <c r="T714" t="s">
        <v>277</v>
      </c>
    </row>
    <row r="715" spans="4:20" x14ac:dyDescent="0.3">
      <c r="D715" t="s">
        <v>320</v>
      </c>
      <c r="E715">
        <v>0</v>
      </c>
      <c r="L715">
        <v>5</v>
      </c>
      <c r="T715" t="s">
        <v>278</v>
      </c>
    </row>
    <row r="716" spans="4:20" x14ac:dyDescent="0.3">
      <c r="D716" t="s">
        <v>320</v>
      </c>
      <c r="E716">
        <v>0</v>
      </c>
      <c r="L716">
        <v>5</v>
      </c>
      <c r="T716" t="s">
        <v>279</v>
      </c>
    </row>
    <row r="717" spans="4:20" x14ac:dyDescent="0.3">
      <c r="D717" t="s">
        <v>320</v>
      </c>
      <c r="E717">
        <v>0</v>
      </c>
      <c r="L717">
        <v>5</v>
      </c>
      <c r="T717" t="s">
        <v>280</v>
      </c>
    </row>
    <row r="718" spans="4:20" x14ac:dyDescent="0.3">
      <c r="D718" t="s">
        <v>320</v>
      </c>
      <c r="E718">
        <v>0</v>
      </c>
      <c r="L718">
        <v>5</v>
      </c>
      <c r="T718" t="s">
        <v>281</v>
      </c>
    </row>
    <row r="719" spans="4:20" x14ac:dyDescent="0.3">
      <c r="D719" t="s">
        <v>320</v>
      </c>
      <c r="E719">
        <v>0</v>
      </c>
      <c r="L719">
        <v>5</v>
      </c>
      <c r="T719" t="s">
        <v>282</v>
      </c>
    </row>
    <row r="720" spans="4:20" x14ac:dyDescent="0.3">
      <c r="D720" t="s">
        <v>320</v>
      </c>
      <c r="E720">
        <v>0</v>
      </c>
      <c r="M720">
        <v>5</v>
      </c>
      <c r="T720" t="s">
        <v>283</v>
      </c>
    </row>
    <row r="721" spans="4:20" x14ac:dyDescent="0.3">
      <c r="D721" t="s">
        <v>320</v>
      </c>
      <c r="E721">
        <v>0</v>
      </c>
      <c r="M721">
        <v>5</v>
      </c>
      <c r="T721" t="s">
        <v>284</v>
      </c>
    </row>
    <row r="722" spans="4:20" x14ac:dyDescent="0.3">
      <c r="D722" t="s">
        <v>320</v>
      </c>
      <c r="E722">
        <v>0</v>
      </c>
      <c r="M722">
        <v>5</v>
      </c>
      <c r="T722" t="s">
        <v>285</v>
      </c>
    </row>
    <row r="723" spans="4:20" x14ac:dyDescent="0.3">
      <c r="D723" t="s">
        <v>320</v>
      </c>
      <c r="E723">
        <v>0</v>
      </c>
      <c r="M723">
        <v>5</v>
      </c>
      <c r="T723" t="s">
        <v>286</v>
      </c>
    </row>
    <row r="724" spans="4:20" x14ac:dyDescent="0.3">
      <c r="D724" t="s">
        <v>320</v>
      </c>
      <c r="E724">
        <v>0</v>
      </c>
      <c r="N724">
        <v>5</v>
      </c>
      <c r="T724" t="s">
        <v>287</v>
      </c>
    </row>
    <row r="725" spans="4:20" x14ac:dyDescent="0.3">
      <c r="D725" t="s">
        <v>320</v>
      </c>
      <c r="E725">
        <v>0</v>
      </c>
      <c r="N725">
        <v>5</v>
      </c>
      <c r="T725" t="s">
        <v>288</v>
      </c>
    </row>
    <row r="726" spans="4:20" x14ac:dyDescent="0.3">
      <c r="D726" t="s">
        <v>320</v>
      </c>
      <c r="E726">
        <v>0</v>
      </c>
      <c r="N726">
        <v>5</v>
      </c>
      <c r="T726" t="s">
        <v>289</v>
      </c>
    </row>
    <row r="727" spans="4:20" x14ac:dyDescent="0.3">
      <c r="D727" t="s">
        <v>320</v>
      </c>
      <c r="E727">
        <v>0</v>
      </c>
      <c r="O727">
        <v>5</v>
      </c>
      <c r="T727" t="s">
        <v>290</v>
      </c>
    </row>
    <row r="728" spans="4:20" x14ac:dyDescent="0.3">
      <c r="D728" t="s">
        <v>320</v>
      </c>
      <c r="E728">
        <v>0</v>
      </c>
      <c r="O728">
        <v>5</v>
      </c>
      <c r="T728" t="s">
        <v>291</v>
      </c>
    </row>
    <row r="729" spans="4:20" x14ac:dyDescent="0.3">
      <c r="D729" t="s">
        <v>320</v>
      </c>
      <c r="E729">
        <v>0</v>
      </c>
      <c r="O729">
        <v>5</v>
      </c>
      <c r="T729" t="s">
        <v>292</v>
      </c>
    </row>
    <row r="730" spans="4:20" x14ac:dyDescent="0.3">
      <c r="D730" t="s">
        <v>320</v>
      </c>
      <c r="E730">
        <v>0</v>
      </c>
      <c r="O730">
        <v>5</v>
      </c>
      <c r="T730" t="s">
        <v>293</v>
      </c>
    </row>
    <row r="731" spans="4:20" x14ac:dyDescent="0.3">
      <c r="D731" t="s">
        <v>320</v>
      </c>
      <c r="E731">
        <v>0</v>
      </c>
      <c r="P731">
        <v>5</v>
      </c>
      <c r="T731" t="s">
        <v>294</v>
      </c>
    </row>
    <row r="732" spans="4:20" x14ac:dyDescent="0.3">
      <c r="D732" t="s">
        <v>320</v>
      </c>
      <c r="E732">
        <v>0</v>
      </c>
      <c r="P732">
        <v>5</v>
      </c>
      <c r="T732" t="s">
        <v>295</v>
      </c>
    </row>
    <row r="733" spans="4:20" x14ac:dyDescent="0.3">
      <c r="D733" t="s">
        <v>320</v>
      </c>
      <c r="E733">
        <v>0</v>
      </c>
      <c r="P733">
        <v>5</v>
      </c>
      <c r="T733" t="s">
        <v>296</v>
      </c>
    </row>
    <row r="734" spans="4:20" x14ac:dyDescent="0.3">
      <c r="D734" t="s">
        <v>320</v>
      </c>
      <c r="E734">
        <v>0</v>
      </c>
      <c r="P734">
        <v>5</v>
      </c>
      <c r="T734" t="s">
        <v>297</v>
      </c>
    </row>
    <row r="735" spans="4:20" x14ac:dyDescent="0.3">
      <c r="D735" t="s">
        <v>320</v>
      </c>
      <c r="E735">
        <v>0</v>
      </c>
      <c r="Q735">
        <v>5</v>
      </c>
      <c r="T735" t="s">
        <v>298</v>
      </c>
    </row>
    <row r="736" spans="4:20" x14ac:dyDescent="0.3">
      <c r="D736" t="s">
        <v>320</v>
      </c>
      <c r="E736">
        <v>0</v>
      </c>
      <c r="Q736">
        <v>5</v>
      </c>
      <c r="T736" t="s">
        <v>299</v>
      </c>
    </row>
    <row r="737" spans="4:20" x14ac:dyDescent="0.3">
      <c r="D737" t="s">
        <v>320</v>
      </c>
      <c r="E737">
        <v>0</v>
      </c>
      <c r="Q737">
        <v>5</v>
      </c>
      <c r="T737" t="s">
        <v>300</v>
      </c>
    </row>
    <row r="738" spans="4:20" x14ac:dyDescent="0.3">
      <c r="D738" t="s">
        <v>320</v>
      </c>
      <c r="E738">
        <v>0</v>
      </c>
      <c r="R738">
        <v>5</v>
      </c>
      <c r="T738" t="s">
        <v>301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3"/>
  <sheetViews>
    <sheetView workbookViewId="0">
      <selection activeCell="B25" sqref="B25"/>
    </sheetView>
  </sheetViews>
  <sheetFormatPr defaultRowHeight="14.4" x14ac:dyDescent="0.3"/>
  <cols>
    <col min="2" max="2" width="10.109375" bestFit="1" customWidth="1"/>
    <col min="3" max="3" width="8.88671875" bestFit="1" customWidth="1"/>
    <col min="4" max="4" width="8.6640625" bestFit="1" customWidth="1"/>
    <col min="5" max="5" width="5.109375" bestFit="1" customWidth="1"/>
    <col min="6" max="6" width="11.5546875" bestFit="1" customWidth="1"/>
    <col min="7" max="7" width="9.6640625" bestFit="1" customWidth="1"/>
    <col min="8" max="8" width="10.6640625" bestFit="1" customWidth="1"/>
    <col min="9" max="18" width="10.6640625" customWidth="1"/>
    <col min="19" max="19" width="8.6640625" bestFit="1" customWidth="1"/>
    <col min="20" max="21" width="8.44140625" bestFit="1" customWidth="1"/>
    <col min="22" max="22" width="7.5546875" bestFit="1" customWidth="1"/>
    <col min="23" max="23" width="8.5546875" bestFit="1" customWidth="1"/>
    <col min="24" max="24" width="8.6640625" bestFit="1" customWidth="1"/>
    <col min="25" max="26" width="8.44140625" bestFit="1" customWidth="1"/>
  </cols>
  <sheetData>
    <row r="1" spans="1:26" x14ac:dyDescent="0.3">
      <c r="A1" t="s">
        <v>18</v>
      </c>
    </row>
    <row r="2" spans="1:26" x14ac:dyDescent="0.3">
      <c r="B2" s="1" t="s">
        <v>16</v>
      </c>
      <c r="S2" s="2"/>
      <c r="T2" s="3"/>
      <c r="U2" s="3"/>
      <c r="V2" s="3"/>
      <c r="W2" s="3"/>
      <c r="X2" s="3"/>
      <c r="Y2" s="3"/>
      <c r="Z2" s="3"/>
    </row>
    <row r="3" spans="1:26" ht="15" thickBot="1" x14ac:dyDescent="0.35">
      <c r="B3" s="4" t="s">
        <v>9</v>
      </c>
      <c r="C3" s="4" t="s">
        <v>7</v>
      </c>
      <c r="D3" s="4" t="s">
        <v>6</v>
      </c>
      <c r="E3" s="4" t="s">
        <v>1</v>
      </c>
      <c r="F3" s="4" t="s">
        <v>14</v>
      </c>
      <c r="G3" s="4" t="s">
        <v>15</v>
      </c>
      <c r="H3" s="5" t="s">
        <v>10</v>
      </c>
      <c r="I3" s="5" t="s">
        <v>28</v>
      </c>
      <c r="J3" s="5" t="s">
        <v>27</v>
      </c>
      <c r="K3" s="5" t="s">
        <v>26</v>
      </c>
      <c r="L3" s="5" t="s">
        <v>25</v>
      </c>
      <c r="M3" s="5" t="s">
        <v>24</v>
      </c>
      <c r="N3" s="5" t="s">
        <v>23</v>
      </c>
      <c r="O3" s="5" t="s">
        <v>22</v>
      </c>
      <c r="P3" s="5" t="s">
        <v>21</v>
      </c>
      <c r="Q3" s="5" t="s">
        <v>20</v>
      </c>
      <c r="R3" s="5" t="s">
        <v>19</v>
      </c>
      <c r="S3" s="6" t="s">
        <v>3</v>
      </c>
      <c r="T3" s="6" t="s">
        <v>2</v>
      </c>
      <c r="U3" s="6" t="s">
        <v>11</v>
      </c>
      <c r="V3" s="6" t="s">
        <v>0</v>
      </c>
      <c r="W3" s="6" t="s">
        <v>5</v>
      </c>
      <c r="X3" s="6" t="s">
        <v>12</v>
      </c>
      <c r="Y3" s="6" t="s">
        <v>4</v>
      </c>
      <c r="Z3" s="6" t="s">
        <v>13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8"/>
  <sheetViews>
    <sheetView topLeftCell="D69" workbookViewId="0">
      <selection activeCell="P92" sqref="P92"/>
    </sheetView>
  </sheetViews>
  <sheetFormatPr defaultRowHeight="14.4" x14ac:dyDescent="0.3"/>
  <cols>
    <col min="1" max="1" width="14.33203125" customWidth="1"/>
    <col min="2" max="2" width="10.33203125" customWidth="1"/>
    <col min="3" max="3" width="40.88671875" customWidth="1"/>
    <col min="4" max="4" width="7.88671875" customWidth="1"/>
    <col min="6" max="6" width="10.5546875" customWidth="1"/>
    <col min="7" max="8" width="10.5546875" style="25" customWidth="1"/>
    <col min="9" max="9" width="12.109375" style="25" bestFit="1" customWidth="1"/>
    <col min="10" max="10" width="16.109375" style="25" bestFit="1" customWidth="1"/>
    <col min="11" max="11" width="12" style="25" bestFit="1" customWidth="1"/>
    <col min="12" max="12" width="12" style="25" customWidth="1"/>
    <col min="13" max="14" width="12" bestFit="1" customWidth="1"/>
    <col min="15" max="15" width="11.33203125" customWidth="1"/>
    <col min="16" max="16" width="13.6640625" bestFit="1" customWidth="1"/>
  </cols>
  <sheetData>
    <row r="1" spans="1:16" ht="18" customHeight="1" x14ac:dyDescent="0.3">
      <c r="G1" s="18" t="s">
        <v>76</v>
      </c>
      <c r="H1" s="18" t="s">
        <v>77</v>
      </c>
      <c r="I1" s="18" t="s">
        <v>122</v>
      </c>
      <c r="J1" s="18" t="s">
        <v>123</v>
      </c>
      <c r="K1" s="18" t="s">
        <v>124</v>
      </c>
      <c r="L1" s="18"/>
      <c r="M1" s="18" t="s">
        <v>125</v>
      </c>
      <c r="N1" s="18" t="s">
        <v>82</v>
      </c>
      <c r="O1" s="18" t="s">
        <v>81</v>
      </c>
      <c r="P1" s="26" t="s">
        <v>80</v>
      </c>
    </row>
    <row r="2" spans="1:16" ht="17.25" customHeight="1" x14ac:dyDescent="0.3">
      <c r="G2" s="9"/>
      <c r="H2" s="9"/>
      <c r="I2" s="27"/>
      <c r="J2" s="27"/>
      <c r="K2" s="27"/>
      <c r="L2" s="27"/>
      <c r="M2" s="27"/>
      <c r="N2" s="27"/>
      <c r="O2" s="7"/>
    </row>
    <row r="3" spans="1:16" ht="15.75" customHeight="1" x14ac:dyDescent="0.3">
      <c r="B3" s="8" t="s">
        <v>83</v>
      </c>
      <c r="C3" s="8" t="s">
        <v>84</v>
      </c>
      <c r="D3" s="8" t="s">
        <v>85</v>
      </c>
      <c r="E3" s="8" t="s">
        <v>86</v>
      </c>
      <c r="F3" s="8" t="s">
        <v>87</v>
      </c>
      <c r="G3" s="18" t="s">
        <v>88</v>
      </c>
      <c r="H3" s="18" t="s">
        <v>88</v>
      </c>
      <c r="I3" s="27"/>
      <c r="J3" s="18" t="s">
        <v>88</v>
      </c>
      <c r="K3" s="27"/>
      <c r="L3" s="27"/>
      <c r="M3" s="28"/>
      <c r="N3" s="28"/>
      <c r="O3" s="7"/>
      <c r="P3" t="s">
        <v>126</v>
      </c>
    </row>
    <row r="4" spans="1:16" x14ac:dyDescent="0.3">
      <c r="A4" t="s">
        <v>127</v>
      </c>
      <c r="G4" s="9"/>
      <c r="H4" s="9"/>
      <c r="I4" s="9"/>
      <c r="J4" s="9"/>
      <c r="K4" s="9"/>
      <c r="L4" s="9"/>
      <c r="M4" s="7"/>
      <c r="N4" s="7"/>
      <c r="O4" s="7"/>
    </row>
    <row r="5" spans="1:16" x14ac:dyDescent="0.3">
      <c r="A5" s="15" t="s">
        <v>26</v>
      </c>
      <c r="B5" s="15" t="s">
        <v>131</v>
      </c>
      <c r="C5" s="15" t="s">
        <v>152</v>
      </c>
      <c r="D5" s="11" t="s">
        <v>129</v>
      </c>
      <c r="E5" s="29" t="s">
        <v>132</v>
      </c>
      <c r="F5" s="15" t="s">
        <v>133</v>
      </c>
      <c r="G5" s="9">
        <v>2005</v>
      </c>
      <c r="H5" s="9">
        <v>50</v>
      </c>
      <c r="I5" s="30">
        <v>1.1100000000000001</v>
      </c>
      <c r="J5" s="30">
        <v>1</v>
      </c>
      <c r="K5" s="30">
        <v>1.425</v>
      </c>
      <c r="L5" s="30">
        <f>K5*31.536</f>
        <v>44.938800000000001</v>
      </c>
      <c r="M5" s="30">
        <v>0</v>
      </c>
      <c r="N5" s="7"/>
      <c r="O5" s="30">
        <v>1</v>
      </c>
    </row>
    <row r="6" spans="1:16" x14ac:dyDescent="0.3">
      <c r="A6" s="15" t="s">
        <v>27</v>
      </c>
      <c r="B6" s="15" t="s">
        <v>135</v>
      </c>
      <c r="C6" s="15" t="s">
        <v>136</v>
      </c>
      <c r="D6" s="11" t="s">
        <v>129</v>
      </c>
      <c r="E6" s="29" t="s">
        <v>137</v>
      </c>
      <c r="F6" s="15" t="s">
        <v>133</v>
      </c>
      <c r="G6" s="9">
        <v>2005</v>
      </c>
      <c r="H6" s="9">
        <v>50</v>
      </c>
      <c r="I6" s="30">
        <v>1.1100000000000001</v>
      </c>
      <c r="J6" s="30">
        <v>1</v>
      </c>
      <c r="K6" s="30">
        <v>1.6</v>
      </c>
      <c r="L6" s="30">
        <f t="shared" ref="L6:L32" si="0">K6*31.536</f>
        <v>50.457600000000006</v>
      </c>
      <c r="M6" s="30">
        <v>0</v>
      </c>
      <c r="N6" s="7"/>
      <c r="O6" s="30">
        <v>1</v>
      </c>
    </row>
    <row r="7" spans="1:16" x14ac:dyDescent="0.3">
      <c r="A7" s="15" t="s">
        <v>25</v>
      </c>
      <c r="B7" s="15" t="s">
        <v>135</v>
      </c>
      <c r="C7" s="15" t="s">
        <v>155</v>
      </c>
      <c r="D7" s="11" t="s">
        <v>129</v>
      </c>
      <c r="E7" s="29" t="s">
        <v>137</v>
      </c>
      <c r="F7" s="15" t="s">
        <v>133</v>
      </c>
      <c r="G7" s="9">
        <v>2005</v>
      </c>
      <c r="H7" s="9">
        <v>50</v>
      </c>
      <c r="I7" s="30">
        <v>1.1100000000000001</v>
      </c>
      <c r="J7" s="30">
        <v>1</v>
      </c>
      <c r="K7" s="30">
        <v>3.5459999999999998</v>
      </c>
      <c r="L7" s="30">
        <f t="shared" si="0"/>
        <v>111.826656</v>
      </c>
      <c r="M7" s="30">
        <v>0</v>
      </c>
      <c r="N7" s="7"/>
      <c r="O7" s="30">
        <v>1</v>
      </c>
    </row>
    <row r="8" spans="1:16" x14ac:dyDescent="0.3">
      <c r="A8" s="15" t="s">
        <v>23</v>
      </c>
      <c r="B8" s="15" t="s">
        <v>135</v>
      </c>
      <c r="C8" s="15" t="s">
        <v>164</v>
      </c>
      <c r="D8" s="11" t="s">
        <v>129</v>
      </c>
      <c r="E8" s="29" t="s">
        <v>137</v>
      </c>
      <c r="F8" s="15" t="s">
        <v>133</v>
      </c>
      <c r="G8" s="9">
        <v>2005</v>
      </c>
      <c r="H8" s="9">
        <v>50</v>
      </c>
      <c r="I8" s="30">
        <v>1</v>
      </c>
      <c r="J8" s="30">
        <v>1</v>
      </c>
      <c r="K8" s="30">
        <v>2.4</v>
      </c>
      <c r="L8" s="30">
        <f t="shared" si="0"/>
        <v>75.686400000000006</v>
      </c>
      <c r="M8" s="30">
        <v>0</v>
      </c>
      <c r="N8" s="7"/>
      <c r="O8" s="30">
        <v>1</v>
      </c>
    </row>
    <row r="9" spans="1:16" x14ac:dyDescent="0.3">
      <c r="A9" s="15" t="s">
        <v>26</v>
      </c>
      <c r="B9" s="15" t="s">
        <v>138</v>
      </c>
      <c r="C9" s="15" t="s">
        <v>153</v>
      </c>
      <c r="D9" s="11" t="s">
        <v>129</v>
      </c>
      <c r="E9" s="29" t="s">
        <v>139</v>
      </c>
      <c r="F9" s="15" t="s">
        <v>133</v>
      </c>
      <c r="G9" s="9">
        <v>2005</v>
      </c>
      <c r="H9" s="9">
        <v>50</v>
      </c>
      <c r="I9" s="30">
        <v>1.1100000000000001</v>
      </c>
      <c r="J9" s="30">
        <v>1</v>
      </c>
      <c r="K9" s="30">
        <v>4.7060000000000004</v>
      </c>
      <c r="L9" s="30">
        <f t="shared" si="0"/>
        <v>148.40841600000002</v>
      </c>
      <c r="M9" s="30">
        <v>0</v>
      </c>
      <c r="N9" s="7"/>
      <c r="O9" s="30">
        <v>1</v>
      </c>
    </row>
    <row r="10" spans="1:16" x14ac:dyDescent="0.3">
      <c r="A10" s="15" t="s">
        <v>24</v>
      </c>
      <c r="B10" s="15" t="s">
        <v>138</v>
      </c>
      <c r="C10" s="15" t="s">
        <v>160</v>
      </c>
      <c r="D10" s="11" t="s">
        <v>129</v>
      </c>
      <c r="E10" s="29" t="s">
        <v>139</v>
      </c>
      <c r="F10" s="15" t="s">
        <v>133</v>
      </c>
      <c r="G10" s="9">
        <v>2005</v>
      </c>
      <c r="H10" s="9">
        <v>50</v>
      </c>
      <c r="I10" s="30">
        <v>1.1100000000000001</v>
      </c>
      <c r="J10" s="30">
        <v>1</v>
      </c>
      <c r="K10" s="30">
        <v>2.915</v>
      </c>
      <c r="L10" s="30">
        <f t="shared" si="0"/>
        <v>91.927440000000004</v>
      </c>
      <c r="M10" s="30">
        <v>0</v>
      </c>
      <c r="N10" s="7"/>
      <c r="O10" s="30">
        <v>1</v>
      </c>
    </row>
    <row r="11" spans="1:16" x14ac:dyDescent="0.3">
      <c r="A11" s="15" t="s">
        <v>23</v>
      </c>
      <c r="B11" s="15" t="s">
        <v>138</v>
      </c>
      <c r="C11" s="15" t="s">
        <v>165</v>
      </c>
      <c r="D11" s="11" t="s">
        <v>129</v>
      </c>
      <c r="E11" s="29" t="s">
        <v>139</v>
      </c>
      <c r="F11" s="15" t="s">
        <v>133</v>
      </c>
      <c r="G11" s="9">
        <v>2005</v>
      </c>
      <c r="H11" s="9">
        <v>50</v>
      </c>
      <c r="I11" s="30">
        <v>1.1100000000000001</v>
      </c>
      <c r="J11" s="30">
        <v>1</v>
      </c>
      <c r="K11" s="30">
        <v>4.4279999999999999</v>
      </c>
      <c r="L11" s="30">
        <f t="shared" si="0"/>
        <v>139.64140800000001</v>
      </c>
      <c r="M11" s="30">
        <v>0</v>
      </c>
      <c r="N11" s="7"/>
      <c r="O11" s="30">
        <v>1</v>
      </c>
    </row>
    <row r="12" spans="1:16" x14ac:dyDescent="0.3">
      <c r="A12" s="15" t="s">
        <v>22</v>
      </c>
      <c r="B12" s="15" t="s">
        <v>138</v>
      </c>
      <c r="C12" s="15" t="s">
        <v>167</v>
      </c>
      <c r="D12" s="11" t="s">
        <v>129</v>
      </c>
      <c r="E12" s="29" t="s">
        <v>139</v>
      </c>
      <c r="F12" s="15" t="s">
        <v>133</v>
      </c>
      <c r="G12" s="9">
        <v>2005</v>
      </c>
      <c r="H12" s="9">
        <v>50</v>
      </c>
      <c r="I12" s="30">
        <v>1</v>
      </c>
      <c r="J12" s="30">
        <v>1</v>
      </c>
      <c r="K12" s="30">
        <v>1.425</v>
      </c>
      <c r="L12" s="30">
        <f t="shared" si="0"/>
        <v>44.938800000000001</v>
      </c>
      <c r="M12" s="30">
        <v>0</v>
      </c>
      <c r="N12" s="7"/>
      <c r="O12" s="30">
        <v>1</v>
      </c>
    </row>
    <row r="13" spans="1:16" x14ac:dyDescent="0.3">
      <c r="A13" s="15" t="s">
        <v>21</v>
      </c>
      <c r="B13" s="15" t="s">
        <v>138</v>
      </c>
      <c r="C13" s="15" t="s">
        <v>171</v>
      </c>
      <c r="D13" s="11" t="s">
        <v>129</v>
      </c>
      <c r="E13" s="29" t="s">
        <v>139</v>
      </c>
      <c r="F13" s="15" t="s">
        <v>133</v>
      </c>
      <c r="G13" s="9">
        <v>2005</v>
      </c>
      <c r="H13" s="9">
        <v>50</v>
      </c>
      <c r="I13" s="30">
        <v>1</v>
      </c>
      <c r="J13" s="30">
        <v>1</v>
      </c>
      <c r="K13" s="30">
        <v>1.53</v>
      </c>
      <c r="L13" s="30">
        <f t="shared" si="0"/>
        <v>48.250080000000004</v>
      </c>
      <c r="M13" s="30">
        <v>0</v>
      </c>
      <c r="N13" s="7"/>
      <c r="O13" s="30">
        <v>1</v>
      </c>
    </row>
    <row r="14" spans="1:16" x14ac:dyDescent="0.3">
      <c r="A14" s="15" t="s">
        <v>25</v>
      </c>
      <c r="B14" s="15" t="s">
        <v>140</v>
      </c>
      <c r="C14" s="15" t="s">
        <v>156</v>
      </c>
      <c r="D14" s="11" t="s">
        <v>129</v>
      </c>
      <c r="E14" s="29" t="s">
        <v>141</v>
      </c>
      <c r="F14" s="15" t="s">
        <v>133</v>
      </c>
      <c r="G14" s="9">
        <v>2005</v>
      </c>
      <c r="H14" s="9">
        <v>50</v>
      </c>
      <c r="I14" s="30">
        <v>1.1100000000000001</v>
      </c>
      <c r="J14" s="30">
        <v>1</v>
      </c>
      <c r="K14" s="30">
        <v>1.748</v>
      </c>
      <c r="L14" s="30">
        <f t="shared" si="0"/>
        <v>55.124928000000004</v>
      </c>
      <c r="M14" s="30">
        <v>0</v>
      </c>
      <c r="N14" s="7"/>
      <c r="O14" s="30">
        <v>1</v>
      </c>
    </row>
    <row r="15" spans="1:16" x14ac:dyDescent="0.3">
      <c r="A15" s="15" t="s">
        <v>22</v>
      </c>
      <c r="B15" s="15" t="s">
        <v>140</v>
      </c>
      <c r="C15" s="15" t="s">
        <v>168</v>
      </c>
      <c r="D15" s="11" t="s">
        <v>129</v>
      </c>
      <c r="E15" s="29" t="s">
        <v>141</v>
      </c>
      <c r="F15" s="15" t="s">
        <v>133</v>
      </c>
      <c r="G15" s="9">
        <v>2005</v>
      </c>
      <c r="H15" s="9">
        <v>50</v>
      </c>
      <c r="I15" s="30">
        <v>1.1100000000000001</v>
      </c>
      <c r="J15" s="30">
        <v>1</v>
      </c>
      <c r="K15" s="30">
        <v>2.4279999999999999</v>
      </c>
      <c r="L15" s="30">
        <f t="shared" si="0"/>
        <v>76.569407999999996</v>
      </c>
      <c r="M15" s="30">
        <v>0</v>
      </c>
      <c r="N15" s="7"/>
      <c r="O15" s="30">
        <v>1</v>
      </c>
    </row>
    <row r="16" spans="1:16" x14ac:dyDescent="0.3">
      <c r="A16" s="15" t="s">
        <v>21</v>
      </c>
      <c r="B16" s="15" t="s">
        <v>140</v>
      </c>
      <c r="C16" s="15" t="s">
        <v>172</v>
      </c>
      <c r="D16" s="11" t="s">
        <v>129</v>
      </c>
      <c r="E16" s="29" t="s">
        <v>141</v>
      </c>
      <c r="F16" s="15" t="s">
        <v>133</v>
      </c>
      <c r="G16" s="9">
        <v>2005</v>
      </c>
      <c r="H16" s="9">
        <v>50</v>
      </c>
      <c r="I16" s="30">
        <v>1.1100000000000001</v>
      </c>
      <c r="J16" s="30">
        <v>1</v>
      </c>
      <c r="K16" s="30">
        <v>3.843</v>
      </c>
      <c r="L16" s="30">
        <f t="shared" si="0"/>
        <v>121.192848</v>
      </c>
      <c r="M16" s="30">
        <v>0</v>
      </c>
      <c r="N16" s="7"/>
      <c r="O16" s="30">
        <v>1</v>
      </c>
    </row>
    <row r="17" spans="1:15" x14ac:dyDescent="0.3">
      <c r="A17" s="15" t="s">
        <v>20</v>
      </c>
      <c r="B17" s="15" t="s">
        <v>140</v>
      </c>
      <c r="C17" s="15" t="s">
        <v>175</v>
      </c>
      <c r="D17" s="11" t="s">
        <v>129</v>
      </c>
      <c r="E17" s="29" t="s">
        <v>141</v>
      </c>
      <c r="F17" s="15" t="s">
        <v>133</v>
      </c>
      <c r="G17" s="9">
        <v>2005</v>
      </c>
      <c r="H17" s="9">
        <v>50</v>
      </c>
      <c r="I17" s="30">
        <v>1</v>
      </c>
      <c r="J17" s="30">
        <v>1</v>
      </c>
      <c r="K17" s="30">
        <v>0.46</v>
      </c>
      <c r="L17" s="30">
        <f t="shared" si="0"/>
        <v>14.506560000000002</v>
      </c>
      <c r="M17" s="30">
        <v>0</v>
      </c>
      <c r="N17" s="7"/>
      <c r="O17" s="30">
        <v>1</v>
      </c>
    </row>
    <row r="18" spans="1:15" x14ac:dyDescent="0.3">
      <c r="A18" s="15" t="s">
        <v>26</v>
      </c>
      <c r="B18" s="15" t="s">
        <v>142</v>
      </c>
      <c r="C18" s="15" t="s">
        <v>154</v>
      </c>
      <c r="D18" s="11" t="s">
        <v>129</v>
      </c>
      <c r="E18" s="29" t="s">
        <v>143</v>
      </c>
      <c r="F18" s="15" t="s">
        <v>133</v>
      </c>
      <c r="G18" s="9">
        <v>2005</v>
      </c>
      <c r="H18" s="9">
        <v>50</v>
      </c>
      <c r="I18" s="30">
        <v>1</v>
      </c>
      <c r="J18" s="30">
        <v>1</v>
      </c>
      <c r="K18" s="30">
        <v>4.0999999999999996</v>
      </c>
      <c r="L18" s="30">
        <f t="shared" si="0"/>
        <v>129.29759999999999</v>
      </c>
      <c r="M18" s="30">
        <v>0</v>
      </c>
      <c r="N18" s="7"/>
      <c r="O18" s="30">
        <v>1</v>
      </c>
    </row>
    <row r="19" spans="1:15" x14ac:dyDescent="0.3">
      <c r="A19" s="15" t="s">
        <v>25</v>
      </c>
      <c r="B19" s="15" t="s">
        <v>142</v>
      </c>
      <c r="C19" s="15" t="s">
        <v>157</v>
      </c>
      <c r="D19" s="11" t="s">
        <v>129</v>
      </c>
      <c r="E19" s="29" t="s">
        <v>143</v>
      </c>
      <c r="F19" s="15" t="s">
        <v>133</v>
      </c>
      <c r="G19" s="9">
        <v>2005</v>
      </c>
      <c r="H19" s="9">
        <v>50</v>
      </c>
      <c r="I19" s="30">
        <v>1.1100000000000001</v>
      </c>
      <c r="J19" s="30">
        <v>1</v>
      </c>
      <c r="K19" s="30">
        <v>4.0220000000000002</v>
      </c>
      <c r="L19" s="30">
        <f t="shared" si="0"/>
        <v>126.83779200000001</v>
      </c>
      <c r="M19" s="30">
        <v>0</v>
      </c>
      <c r="N19" s="7"/>
      <c r="O19" s="30">
        <v>1</v>
      </c>
    </row>
    <row r="20" spans="1:15" x14ac:dyDescent="0.3">
      <c r="A20" s="15" t="s">
        <v>22</v>
      </c>
      <c r="B20" s="15" t="s">
        <v>142</v>
      </c>
      <c r="C20" s="15" t="s">
        <v>169</v>
      </c>
      <c r="D20" s="11" t="s">
        <v>129</v>
      </c>
      <c r="E20" s="29" t="s">
        <v>143</v>
      </c>
      <c r="F20" s="15" t="s">
        <v>133</v>
      </c>
      <c r="G20" s="9">
        <v>2005</v>
      </c>
      <c r="H20" s="9">
        <v>50</v>
      </c>
      <c r="I20" s="30">
        <v>1.1100000000000001</v>
      </c>
      <c r="J20" s="30">
        <v>1</v>
      </c>
      <c r="K20" s="30">
        <v>3.544</v>
      </c>
      <c r="L20" s="30">
        <f t="shared" si="0"/>
        <v>111.76358400000001</v>
      </c>
      <c r="M20" s="30">
        <v>0</v>
      </c>
      <c r="N20" s="7"/>
      <c r="O20" s="30">
        <v>1</v>
      </c>
    </row>
    <row r="21" spans="1:15" x14ac:dyDescent="0.3">
      <c r="A21" s="15" t="s">
        <v>25</v>
      </c>
      <c r="B21" s="15" t="s">
        <v>144</v>
      </c>
      <c r="C21" s="15" t="s">
        <v>158</v>
      </c>
      <c r="D21" s="11" t="s">
        <v>129</v>
      </c>
      <c r="E21" s="29" t="s">
        <v>145</v>
      </c>
      <c r="F21" s="15" t="s">
        <v>133</v>
      </c>
      <c r="G21" s="9">
        <v>2005</v>
      </c>
      <c r="H21" s="9">
        <v>50</v>
      </c>
      <c r="I21" s="30">
        <v>1</v>
      </c>
      <c r="J21" s="30">
        <v>1</v>
      </c>
      <c r="K21" s="30">
        <v>3.6720000000000002</v>
      </c>
      <c r="L21" s="30">
        <f t="shared" si="0"/>
        <v>115.80019200000001</v>
      </c>
      <c r="M21" s="30">
        <v>0</v>
      </c>
      <c r="N21" s="7"/>
      <c r="O21" s="30">
        <v>1</v>
      </c>
    </row>
    <row r="22" spans="1:15" x14ac:dyDescent="0.3">
      <c r="A22" s="15" t="s">
        <v>24</v>
      </c>
      <c r="B22" s="15" t="s">
        <v>144</v>
      </c>
      <c r="C22" s="15" t="s">
        <v>161</v>
      </c>
      <c r="D22" s="11" t="s">
        <v>129</v>
      </c>
      <c r="E22" s="29" t="s">
        <v>145</v>
      </c>
      <c r="F22" s="15" t="s">
        <v>133</v>
      </c>
      <c r="G22" s="9">
        <v>2005</v>
      </c>
      <c r="H22" s="9">
        <v>50</v>
      </c>
      <c r="I22" s="30">
        <v>1.1100000000000001</v>
      </c>
      <c r="J22" s="30">
        <v>1</v>
      </c>
      <c r="K22" s="30">
        <v>3.972</v>
      </c>
      <c r="L22" s="30">
        <f t="shared" si="0"/>
        <v>125.260992</v>
      </c>
      <c r="M22" s="30">
        <v>0</v>
      </c>
      <c r="N22" s="7"/>
      <c r="O22" s="30">
        <v>1</v>
      </c>
    </row>
    <row r="23" spans="1:15" x14ac:dyDescent="0.3">
      <c r="A23" s="15" t="s">
        <v>23</v>
      </c>
      <c r="B23" s="15" t="s">
        <v>144</v>
      </c>
      <c r="C23" s="15" t="s">
        <v>166</v>
      </c>
      <c r="D23" s="11" t="s">
        <v>129</v>
      </c>
      <c r="E23" s="29" t="s">
        <v>145</v>
      </c>
      <c r="F23" s="15" t="s">
        <v>133</v>
      </c>
      <c r="G23" s="9">
        <v>2005</v>
      </c>
      <c r="H23" s="9">
        <v>50</v>
      </c>
      <c r="I23" s="30">
        <v>1.1100000000000001</v>
      </c>
      <c r="J23" s="30">
        <v>1</v>
      </c>
      <c r="K23" s="30">
        <v>5.4489999999999998</v>
      </c>
      <c r="L23" s="30">
        <f t="shared" si="0"/>
        <v>171.839664</v>
      </c>
      <c r="M23" s="30">
        <v>0</v>
      </c>
      <c r="N23" s="7"/>
      <c r="O23" s="30">
        <v>1</v>
      </c>
    </row>
    <row r="24" spans="1:15" x14ac:dyDescent="0.3">
      <c r="A24" s="15" t="s">
        <v>21</v>
      </c>
      <c r="B24" s="15" t="s">
        <v>144</v>
      </c>
      <c r="C24" s="15" t="s">
        <v>173</v>
      </c>
      <c r="D24" s="11" t="s">
        <v>129</v>
      </c>
      <c r="E24" s="29" t="s">
        <v>145</v>
      </c>
      <c r="F24" s="15" t="s">
        <v>133</v>
      </c>
      <c r="G24" s="9">
        <v>2005</v>
      </c>
      <c r="H24" s="9">
        <v>50</v>
      </c>
      <c r="I24" s="30">
        <v>1.1100000000000001</v>
      </c>
      <c r="J24" s="30">
        <v>1</v>
      </c>
      <c r="K24" s="30">
        <v>5.9329999999999998</v>
      </c>
      <c r="L24" s="30">
        <f t="shared" si="0"/>
        <v>187.10308800000001</v>
      </c>
      <c r="M24" s="30">
        <v>0</v>
      </c>
      <c r="N24" s="7"/>
      <c r="O24" s="30">
        <v>1</v>
      </c>
    </row>
    <row r="25" spans="1:15" x14ac:dyDescent="0.3">
      <c r="A25" s="15" t="s">
        <v>25</v>
      </c>
      <c r="B25" s="15" t="s">
        <v>146</v>
      </c>
      <c r="C25" s="15" t="s">
        <v>159</v>
      </c>
      <c r="D25" s="11" t="s">
        <v>129</v>
      </c>
      <c r="E25" s="29" t="s">
        <v>147</v>
      </c>
      <c r="F25" s="15" t="s">
        <v>133</v>
      </c>
      <c r="G25" s="9">
        <v>2005</v>
      </c>
      <c r="H25" s="9">
        <v>50</v>
      </c>
      <c r="I25" s="30">
        <v>1</v>
      </c>
      <c r="J25" s="30">
        <v>1</v>
      </c>
      <c r="K25" s="30">
        <v>2.87</v>
      </c>
      <c r="L25" s="30">
        <f t="shared" si="0"/>
        <v>90.508320000000012</v>
      </c>
      <c r="M25" s="30">
        <v>0</v>
      </c>
      <c r="N25" s="7"/>
      <c r="O25" s="30">
        <v>1</v>
      </c>
    </row>
    <row r="26" spans="1:15" x14ac:dyDescent="0.3">
      <c r="A26" s="15" t="s">
        <v>24</v>
      </c>
      <c r="B26" s="15" t="s">
        <v>146</v>
      </c>
      <c r="C26" s="15" t="s">
        <v>162</v>
      </c>
      <c r="D26" s="11" t="s">
        <v>129</v>
      </c>
      <c r="E26" s="29" t="s">
        <v>147</v>
      </c>
      <c r="F26" s="15" t="s">
        <v>133</v>
      </c>
      <c r="G26" s="9">
        <v>2005</v>
      </c>
      <c r="H26" s="9">
        <v>50</v>
      </c>
      <c r="I26" s="30">
        <v>1.1100000000000001</v>
      </c>
      <c r="J26" s="30">
        <v>1</v>
      </c>
      <c r="K26" s="30">
        <v>3.1619999999999999</v>
      </c>
      <c r="L26" s="30">
        <f t="shared" si="0"/>
        <v>99.716831999999997</v>
      </c>
      <c r="M26" s="30">
        <v>0</v>
      </c>
      <c r="N26" s="7"/>
      <c r="O26" s="30">
        <v>1</v>
      </c>
    </row>
    <row r="27" spans="1:15" x14ac:dyDescent="0.3">
      <c r="A27" s="15" t="s">
        <v>22</v>
      </c>
      <c r="B27" s="15" t="s">
        <v>146</v>
      </c>
      <c r="C27" s="15" t="s">
        <v>170</v>
      </c>
      <c r="D27" s="11" t="s">
        <v>129</v>
      </c>
      <c r="E27" s="29" t="s">
        <v>147</v>
      </c>
      <c r="F27" s="15" t="s">
        <v>133</v>
      </c>
      <c r="G27" s="9">
        <v>2005</v>
      </c>
      <c r="H27" s="9">
        <v>50</v>
      </c>
      <c r="I27" s="30">
        <v>1.1100000000000001</v>
      </c>
      <c r="J27" s="30">
        <v>1</v>
      </c>
      <c r="K27" s="30">
        <v>5.2670000000000003</v>
      </c>
      <c r="L27" s="30">
        <f t="shared" si="0"/>
        <v>166.10011200000002</v>
      </c>
      <c r="M27" s="30">
        <v>0</v>
      </c>
      <c r="N27" s="7"/>
      <c r="O27" s="30">
        <v>1</v>
      </c>
    </row>
    <row r="28" spans="1:15" x14ac:dyDescent="0.3">
      <c r="A28" s="15" t="s">
        <v>20</v>
      </c>
      <c r="B28" s="15" t="s">
        <v>146</v>
      </c>
      <c r="C28" s="15" t="s">
        <v>176</v>
      </c>
      <c r="D28" s="11" t="s">
        <v>129</v>
      </c>
      <c r="E28" s="29" t="s">
        <v>147</v>
      </c>
      <c r="F28" s="15" t="s">
        <v>133</v>
      </c>
      <c r="G28" s="9">
        <v>2005</v>
      </c>
      <c r="H28" s="9">
        <v>50</v>
      </c>
      <c r="I28" s="30">
        <v>1.1100000000000001</v>
      </c>
      <c r="J28" s="30">
        <v>1</v>
      </c>
      <c r="K28" s="30">
        <v>0.42</v>
      </c>
      <c r="L28" s="30">
        <f t="shared" si="0"/>
        <v>13.24512</v>
      </c>
      <c r="M28" s="30">
        <v>0</v>
      </c>
      <c r="N28" s="7"/>
      <c r="O28" s="30">
        <v>1</v>
      </c>
    </row>
    <row r="29" spans="1:15" x14ac:dyDescent="0.3">
      <c r="A29" s="15" t="s">
        <v>24</v>
      </c>
      <c r="B29" s="15" t="s">
        <v>148</v>
      </c>
      <c r="C29" s="15" t="s">
        <v>163</v>
      </c>
      <c r="D29" s="11" t="s">
        <v>129</v>
      </c>
      <c r="E29" s="29" t="s">
        <v>149</v>
      </c>
      <c r="F29" s="15" t="s">
        <v>133</v>
      </c>
      <c r="G29" s="9">
        <v>2005</v>
      </c>
      <c r="H29" s="9">
        <v>50</v>
      </c>
      <c r="I29" s="30">
        <v>1</v>
      </c>
      <c r="J29" s="30">
        <v>1</v>
      </c>
      <c r="K29" s="30">
        <v>0.51</v>
      </c>
      <c r="L29" s="30">
        <f t="shared" si="0"/>
        <v>16.083360000000003</v>
      </c>
      <c r="M29" s="30">
        <v>0</v>
      </c>
      <c r="N29" s="7"/>
      <c r="O29" s="30">
        <v>1</v>
      </c>
    </row>
    <row r="30" spans="1:15" x14ac:dyDescent="0.3">
      <c r="A30" s="15" t="s">
        <v>21</v>
      </c>
      <c r="B30" s="15" t="s">
        <v>148</v>
      </c>
      <c r="C30" s="15" t="s">
        <v>174</v>
      </c>
      <c r="D30" s="11" t="s">
        <v>129</v>
      </c>
      <c r="E30" s="29" t="s">
        <v>149</v>
      </c>
      <c r="F30" s="15" t="s">
        <v>133</v>
      </c>
      <c r="G30" s="9">
        <v>2005</v>
      </c>
      <c r="H30" s="9">
        <v>50</v>
      </c>
      <c r="I30" s="30">
        <v>1.1100000000000001</v>
      </c>
      <c r="J30" s="30">
        <v>1</v>
      </c>
      <c r="K30" s="30">
        <v>0.42</v>
      </c>
      <c r="L30" s="30">
        <f t="shared" si="0"/>
        <v>13.24512</v>
      </c>
      <c r="M30" s="30">
        <v>0</v>
      </c>
      <c r="N30" s="7"/>
      <c r="O30" s="30">
        <v>1</v>
      </c>
    </row>
    <row r="31" spans="1:15" x14ac:dyDescent="0.3">
      <c r="A31" s="15" t="s">
        <v>19</v>
      </c>
      <c r="B31" s="15" t="s">
        <v>148</v>
      </c>
      <c r="C31" s="15" t="s">
        <v>178</v>
      </c>
      <c r="D31" s="11" t="s">
        <v>129</v>
      </c>
      <c r="E31" s="29" t="s">
        <v>149</v>
      </c>
      <c r="F31" s="15" t="s">
        <v>133</v>
      </c>
      <c r="G31" s="9">
        <v>2005</v>
      </c>
      <c r="H31" s="9">
        <v>50</v>
      </c>
      <c r="I31" s="30">
        <v>1.1100000000000001</v>
      </c>
      <c r="J31" s="30">
        <v>1</v>
      </c>
      <c r="K31" s="30">
        <v>3.077</v>
      </c>
      <c r="L31" s="30">
        <f t="shared" si="0"/>
        <v>97.036271999999997</v>
      </c>
      <c r="M31" s="30">
        <v>0</v>
      </c>
      <c r="N31" s="7"/>
      <c r="O31" s="30">
        <v>1</v>
      </c>
    </row>
    <row r="32" spans="1:15" x14ac:dyDescent="0.3">
      <c r="A32" s="15" t="s">
        <v>20</v>
      </c>
      <c r="B32" s="15" t="s">
        <v>150</v>
      </c>
      <c r="C32" s="15" t="s">
        <v>177</v>
      </c>
      <c r="D32" s="11" t="s">
        <v>129</v>
      </c>
      <c r="E32" s="29" t="s">
        <v>151</v>
      </c>
      <c r="F32" s="15" t="s">
        <v>133</v>
      </c>
      <c r="G32" s="9">
        <v>2005</v>
      </c>
      <c r="H32" s="9">
        <v>50</v>
      </c>
      <c r="I32" s="30">
        <v>1.1100000000000001</v>
      </c>
      <c r="J32" s="30">
        <v>1</v>
      </c>
      <c r="K32" s="30">
        <v>12.247</v>
      </c>
      <c r="L32" s="30">
        <f t="shared" si="0"/>
        <v>386.22139200000004</v>
      </c>
      <c r="M32" s="30">
        <v>0</v>
      </c>
      <c r="N32" s="7"/>
      <c r="O32" s="30">
        <v>1</v>
      </c>
    </row>
    <row r="33" spans="1:17" x14ac:dyDescent="0.3">
      <c r="D33" s="11"/>
      <c r="F33" s="15"/>
      <c r="G33" s="9"/>
      <c r="H33" s="9"/>
      <c r="I33" s="9"/>
      <c r="J33" s="9"/>
      <c r="K33" s="30"/>
      <c r="L33" s="30"/>
      <c r="M33" s="9"/>
      <c r="N33" s="7"/>
      <c r="O33" s="30" t="s">
        <v>134</v>
      </c>
    </row>
    <row r="34" spans="1:17" x14ac:dyDescent="0.3">
      <c r="A34" t="s">
        <v>130</v>
      </c>
      <c r="G34" s="9"/>
      <c r="H34" s="9"/>
      <c r="I34" s="9"/>
      <c r="J34" s="9"/>
      <c r="K34" s="30"/>
      <c r="L34" s="30"/>
      <c r="M34" s="7"/>
      <c r="N34" s="7"/>
      <c r="O34" s="30" t="s">
        <v>134</v>
      </c>
    </row>
    <row r="35" spans="1:17" x14ac:dyDescent="0.3">
      <c r="A35" s="19" t="s">
        <v>128</v>
      </c>
      <c r="G35" s="9"/>
      <c r="H35" s="9"/>
      <c r="I35" s="9"/>
      <c r="J35" s="9"/>
      <c r="K35" s="30"/>
      <c r="L35" s="30"/>
      <c r="M35" s="7"/>
      <c r="N35" s="7"/>
      <c r="O35" s="30" t="s">
        <v>134</v>
      </c>
    </row>
    <row r="36" spans="1:17" x14ac:dyDescent="0.3">
      <c r="A36" s="15" t="s">
        <v>26</v>
      </c>
      <c r="B36" s="15" t="s">
        <v>179</v>
      </c>
      <c r="C36" s="15" t="s">
        <v>189</v>
      </c>
      <c r="D36" s="11" t="s">
        <v>129</v>
      </c>
      <c r="E36" s="29" t="s">
        <v>132</v>
      </c>
      <c r="F36" s="15" t="s">
        <v>133</v>
      </c>
      <c r="G36" s="9">
        <v>2005</v>
      </c>
      <c r="H36" s="9">
        <v>50</v>
      </c>
      <c r="I36" s="30">
        <v>1.1100000000000001</v>
      </c>
      <c r="J36" s="30">
        <v>1</v>
      </c>
      <c r="K36" s="30"/>
      <c r="L36" s="30"/>
      <c r="M36" s="7"/>
      <c r="N36" s="31">
        <v>500</v>
      </c>
      <c r="O36" s="30">
        <v>1</v>
      </c>
      <c r="P36" s="32">
        <v>10</v>
      </c>
      <c r="Q36">
        <f>P36*31.536</f>
        <v>315.36</v>
      </c>
    </row>
    <row r="37" spans="1:17" x14ac:dyDescent="0.3">
      <c r="A37" s="15" t="s">
        <v>27</v>
      </c>
      <c r="B37" s="15" t="s">
        <v>180</v>
      </c>
      <c r="C37" s="15" t="s">
        <v>181</v>
      </c>
      <c r="D37" s="11" t="s">
        <v>129</v>
      </c>
      <c r="E37" s="29" t="s">
        <v>137</v>
      </c>
      <c r="F37" s="15" t="s">
        <v>133</v>
      </c>
      <c r="G37" s="9">
        <v>2005</v>
      </c>
      <c r="H37" s="9">
        <v>50</v>
      </c>
      <c r="I37" s="30">
        <v>1.1100000000000001</v>
      </c>
      <c r="J37" s="30">
        <v>1</v>
      </c>
      <c r="K37" s="30"/>
      <c r="L37" s="30"/>
      <c r="M37" s="7"/>
      <c r="N37" s="31">
        <v>500</v>
      </c>
      <c r="O37" s="30">
        <v>1</v>
      </c>
      <c r="P37" s="32"/>
      <c r="Q37">
        <f t="shared" ref="Q37:Q63" si="1">P37*31.536</f>
        <v>0</v>
      </c>
    </row>
    <row r="38" spans="1:17" x14ac:dyDescent="0.3">
      <c r="A38" s="15" t="s">
        <v>25</v>
      </c>
      <c r="B38" s="15" t="s">
        <v>180</v>
      </c>
      <c r="C38" s="15" t="s">
        <v>192</v>
      </c>
      <c r="D38" s="11" t="s">
        <v>129</v>
      </c>
      <c r="E38" s="29" t="s">
        <v>137</v>
      </c>
      <c r="F38" s="15" t="s">
        <v>133</v>
      </c>
      <c r="G38" s="9">
        <v>2005</v>
      </c>
      <c r="H38" s="9">
        <v>50</v>
      </c>
      <c r="I38" s="30">
        <v>1.1100000000000001</v>
      </c>
      <c r="J38" s="30">
        <v>1</v>
      </c>
      <c r="K38" s="30"/>
      <c r="L38" s="30"/>
      <c r="M38" s="7"/>
      <c r="N38" s="31">
        <v>500</v>
      </c>
      <c r="O38" s="30">
        <v>1</v>
      </c>
      <c r="P38" s="32">
        <v>10</v>
      </c>
      <c r="Q38">
        <f t="shared" si="1"/>
        <v>315.36</v>
      </c>
    </row>
    <row r="39" spans="1:17" x14ac:dyDescent="0.3">
      <c r="A39" s="15" t="s">
        <v>23</v>
      </c>
      <c r="B39" s="15" t="s">
        <v>180</v>
      </c>
      <c r="C39" s="15" t="s">
        <v>201</v>
      </c>
      <c r="D39" s="11" t="s">
        <v>129</v>
      </c>
      <c r="E39" s="29" t="s">
        <v>137</v>
      </c>
      <c r="F39" s="15" t="s">
        <v>133</v>
      </c>
      <c r="G39" s="9">
        <v>2005</v>
      </c>
      <c r="H39" s="9">
        <v>50</v>
      </c>
      <c r="I39" s="30">
        <v>1</v>
      </c>
      <c r="J39" s="30">
        <v>1</v>
      </c>
      <c r="K39" s="30"/>
      <c r="L39" s="30"/>
      <c r="M39" s="7"/>
      <c r="N39" s="30">
        <v>999</v>
      </c>
      <c r="O39" s="30">
        <v>1</v>
      </c>
      <c r="Q39">
        <f t="shared" si="1"/>
        <v>0</v>
      </c>
    </row>
    <row r="40" spans="1:17" x14ac:dyDescent="0.3">
      <c r="A40" s="15" t="s">
        <v>26</v>
      </c>
      <c r="B40" s="15" t="s">
        <v>182</v>
      </c>
      <c r="C40" s="15" t="s">
        <v>190</v>
      </c>
      <c r="D40" s="11" t="s">
        <v>129</v>
      </c>
      <c r="E40" s="29" t="s">
        <v>139</v>
      </c>
      <c r="F40" s="15" t="s">
        <v>133</v>
      </c>
      <c r="G40" s="9">
        <v>2005</v>
      </c>
      <c r="H40" s="9">
        <v>50</v>
      </c>
      <c r="I40" s="30">
        <v>1.1100000000000001</v>
      </c>
      <c r="J40" s="30">
        <v>1</v>
      </c>
      <c r="K40" s="30"/>
      <c r="L40" s="30"/>
      <c r="M40" s="7"/>
      <c r="N40" s="31">
        <v>500</v>
      </c>
      <c r="O40" s="30">
        <v>1</v>
      </c>
      <c r="P40" s="32">
        <v>10</v>
      </c>
      <c r="Q40">
        <f t="shared" si="1"/>
        <v>315.36</v>
      </c>
    </row>
    <row r="41" spans="1:17" x14ac:dyDescent="0.3">
      <c r="A41" s="15" t="s">
        <v>24</v>
      </c>
      <c r="B41" s="15" t="s">
        <v>182</v>
      </c>
      <c r="C41" s="15" t="s">
        <v>197</v>
      </c>
      <c r="D41" s="11" t="s">
        <v>129</v>
      </c>
      <c r="E41" s="29" t="s">
        <v>139</v>
      </c>
      <c r="F41" s="15" t="s">
        <v>133</v>
      </c>
      <c r="G41" s="9">
        <v>2005</v>
      </c>
      <c r="H41" s="9">
        <v>50</v>
      </c>
      <c r="I41" s="30">
        <v>1.1100000000000001</v>
      </c>
      <c r="J41" s="30">
        <v>1</v>
      </c>
      <c r="K41" s="30"/>
      <c r="L41" s="30"/>
      <c r="M41" s="7"/>
      <c r="N41" s="31">
        <v>500</v>
      </c>
      <c r="O41" s="30">
        <v>1</v>
      </c>
      <c r="P41" s="32">
        <v>10</v>
      </c>
      <c r="Q41">
        <f t="shared" si="1"/>
        <v>315.36</v>
      </c>
    </row>
    <row r="42" spans="1:17" x14ac:dyDescent="0.3">
      <c r="A42" s="15" t="s">
        <v>23</v>
      </c>
      <c r="B42" s="15" t="s">
        <v>182</v>
      </c>
      <c r="C42" s="15" t="s">
        <v>202</v>
      </c>
      <c r="D42" s="11" t="s">
        <v>129</v>
      </c>
      <c r="E42" s="29" t="s">
        <v>139</v>
      </c>
      <c r="F42" s="15" t="s">
        <v>133</v>
      </c>
      <c r="G42" s="9">
        <v>2005</v>
      </c>
      <c r="H42" s="9">
        <v>50</v>
      </c>
      <c r="I42" s="30">
        <v>1.1100000000000001</v>
      </c>
      <c r="J42" s="30">
        <v>1</v>
      </c>
      <c r="K42" s="30"/>
      <c r="L42" s="30"/>
      <c r="M42" s="7"/>
      <c r="N42" s="31">
        <v>500</v>
      </c>
      <c r="O42" s="30">
        <v>1</v>
      </c>
      <c r="P42" s="32">
        <v>10</v>
      </c>
      <c r="Q42">
        <f t="shared" si="1"/>
        <v>315.36</v>
      </c>
    </row>
    <row r="43" spans="1:17" x14ac:dyDescent="0.3">
      <c r="A43" s="15" t="s">
        <v>22</v>
      </c>
      <c r="B43" s="15" t="s">
        <v>182</v>
      </c>
      <c r="C43" s="15" t="s">
        <v>204</v>
      </c>
      <c r="D43" s="11" t="s">
        <v>129</v>
      </c>
      <c r="E43" s="29" t="s">
        <v>139</v>
      </c>
      <c r="F43" s="15" t="s">
        <v>133</v>
      </c>
      <c r="G43" s="9">
        <v>2005</v>
      </c>
      <c r="H43" s="9">
        <v>50</v>
      </c>
      <c r="I43" s="30">
        <v>1</v>
      </c>
      <c r="J43" s="30">
        <v>1</v>
      </c>
      <c r="K43" s="30"/>
      <c r="L43" s="30"/>
      <c r="M43" s="7"/>
      <c r="N43" s="30">
        <v>999</v>
      </c>
      <c r="O43" s="30">
        <v>1</v>
      </c>
      <c r="Q43">
        <f t="shared" si="1"/>
        <v>0</v>
      </c>
    </row>
    <row r="44" spans="1:17" x14ac:dyDescent="0.3">
      <c r="A44" s="15" t="s">
        <v>21</v>
      </c>
      <c r="B44" s="15" t="s">
        <v>182</v>
      </c>
      <c r="C44" s="15" t="s">
        <v>208</v>
      </c>
      <c r="D44" s="11" t="s">
        <v>129</v>
      </c>
      <c r="E44" s="29" t="s">
        <v>139</v>
      </c>
      <c r="F44" s="15" t="s">
        <v>133</v>
      </c>
      <c r="G44" s="9">
        <v>2005</v>
      </c>
      <c r="H44" s="9">
        <v>50</v>
      </c>
      <c r="I44" s="30">
        <v>1</v>
      </c>
      <c r="J44" s="30">
        <v>1</v>
      </c>
      <c r="K44" s="30"/>
      <c r="L44" s="30"/>
      <c r="M44" s="7"/>
      <c r="N44" s="30">
        <v>999</v>
      </c>
      <c r="O44" s="30">
        <v>1</v>
      </c>
      <c r="Q44">
        <f t="shared" si="1"/>
        <v>0</v>
      </c>
    </row>
    <row r="45" spans="1:17" x14ac:dyDescent="0.3">
      <c r="A45" s="15" t="s">
        <v>25</v>
      </c>
      <c r="B45" s="15" t="s">
        <v>183</v>
      </c>
      <c r="C45" s="15" t="s">
        <v>193</v>
      </c>
      <c r="D45" s="11" t="s">
        <v>129</v>
      </c>
      <c r="E45" s="29" t="s">
        <v>141</v>
      </c>
      <c r="F45" s="15" t="s">
        <v>133</v>
      </c>
      <c r="G45" s="9">
        <v>2005</v>
      </c>
      <c r="H45" s="9">
        <v>50</v>
      </c>
      <c r="I45" s="30">
        <v>1.1100000000000001</v>
      </c>
      <c r="J45" s="30">
        <v>1</v>
      </c>
      <c r="K45" s="30"/>
      <c r="L45" s="30"/>
      <c r="M45" s="7"/>
      <c r="N45" s="31">
        <v>500</v>
      </c>
      <c r="O45" s="30">
        <v>1</v>
      </c>
      <c r="P45" s="32">
        <v>10</v>
      </c>
      <c r="Q45">
        <f t="shared" si="1"/>
        <v>315.36</v>
      </c>
    </row>
    <row r="46" spans="1:17" x14ac:dyDescent="0.3">
      <c r="A46" s="15" t="s">
        <v>22</v>
      </c>
      <c r="B46" s="15" t="s">
        <v>183</v>
      </c>
      <c r="C46" s="15" t="s">
        <v>205</v>
      </c>
      <c r="D46" s="11" t="s">
        <v>129</v>
      </c>
      <c r="E46" s="29" t="s">
        <v>141</v>
      </c>
      <c r="F46" s="15" t="s">
        <v>133</v>
      </c>
      <c r="G46" s="9">
        <v>2005</v>
      </c>
      <c r="H46" s="9">
        <v>50</v>
      </c>
      <c r="I46" s="30">
        <v>1.1100000000000001</v>
      </c>
      <c r="J46" s="30">
        <v>1</v>
      </c>
      <c r="K46" s="30"/>
      <c r="L46" s="30"/>
      <c r="M46" s="7"/>
      <c r="N46" s="31">
        <v>500</v>
      </c>
      <c r="O46" s="30">
        <v>1</v>
      </c>
      <c r="P46" s="32">
        <v>10</v>
      </c>
      <c r="Q46">
        <f t="shared" si="1"/>
        <v>315.36</v>
      </c>
    </row>
    <row r="47" spans="1:17" x14ac:dyDescent="0.3">
      <c r="A47" s="15" t="s">
        <v>21</v>
      </c>
      <c r="B47" s="15" t="s">
        <v>183</v>
      </c>
      <c r="C47" s="15" t="s">
        <v>209</v>
      </c>
      <c r="D47" s="11" t="s">
        <v>129</v>
      </c>
      <c r="E47" s="29" t="s">
        <v>141</v>
      </c>
      <c r="F47" s="15" t="s">
        <v>133</v>
      </c>
      <c r="G47" s="9">
        <v>2005</v>
      </c>
      <c r="H47" s="9">
        <v>50</v>
      </c>
      <c r="I47" s="30">
        <v>1.1100000000000001</v>
      </c>
      <c r="J47" s="30">
        <v>1</v>
      </c>
      <c r="K47" s="30"/>
      <c r="L47" s="30"/>
      <c r="M47" s="7"/>
      <c r="N47" s="31">
        <v>500</v>
      </c>
      <c r="O47" s="30">
        <v>1</v>
      </c>
      <c r="P47" s="32">
        <v>10</v>
      </c>
      <c r="Q47">
        <f t="shared" si="1"/>
        <v>315.36</v>
      </c>
    </row>
    <row r="48" spans="1:17" x14ac:dyDescent="0.3">
      <c r="A48" s="15" t="s">
        <v>20</v>
      </c>
      <c r="B48" s="15" t="s">
        <v>183</v>
      </c>
      <c r="C48" s="15" t="s">
        <v>212</v>
      </c>
      <c r="D48" s="11" t="s">
        <v>129</v>
      </c>
      <c r="E48" s="29" t="s">
        <v>141</v>
      </c>
      <c r="F48" s="15" t="s">
        <v>133</v>
      </c>
      <c r="G48" s="9">
        <v>2005</v>
      </c>
      <c r="H48" s="9">
        <v>50</v>
      </c>
      <c r="I48" s="30">
        <v>1</v>
      </c>
      <c r="J48" s="30">
        <v>1</v>
      </c>
      <c r="K48" s="30"/>
      <c r="L48" s="30"/>
      <c r="M48" s="7"/>
      <c r="N48" s="30">
        <v>999</v>
      </c>
      <c r="O48" s="30">
        <v>1</v>
      </c>
      <c r="Q48">
        <f t="shared" si="1"/>
        <v>0</v>
      </c>
    </row>
    <row r="49" spans="1:17" x14ac:dyDescent="0.3">
      <c r="A49" s="15" t="s">
        <v>26</v>
      </c>
      <c r="B49" s="15" t="s">
        <v>184</v>
      </c>
      <c r="C49" s="15" t="s">
        <v>191</v>
      </c>
      <c r="D49" s="11" t="s">
        <v>129</v>
      </c>
      <c r="E49" s="29" t="s">
        <v>143</v>
      </c>
      <c r="F49" s="15" t="s">
        <v>133</v>
      </c>
      <c r="G49" s="9">
        <v>2005</v>
      </c>
      <c r="H49" s="9">
        <v>50</v>
      </c>
      <c r="I49" s="30">
        <v>1</v>
      </c>
      <c r="J49" s="30">
        <v>1</v>
      </c>
      <c r="K49" s="30"/>
      <c r="L49" s="30"/>
      <c r="M49" s="7"/>
      <c r="N49" s="30">
        <v>999</v>
      </c>
      <c r="O49" s="30">
        <v>1</v>
      </c>
      <c r="Q49">
        <f t="shared" si="1"/>
        <v>0</v>
      </c>
    </row>
    <row r="50" spans="1:17" x14ac:dyDescent="0.3">
      <c r="A50" s="15" t="s">
        <v>25</v>
      </c>
      <c r="B50" s="15" t="s">
        <v>184</v>
      </c>
      <c r="C50" s="15" t="s">
        <v>194</v>
      </c>
      <c r="D50" s="11" t="s">
        <v>129</v>
      </c>
      <c r="E50" s="29" t="s">
        <v>143</v>
      </c>
      <c r="F50" s="15" t="s">
        <v>133</v>
      </c>
      <c r="G50" s="9">
        <v>2005</v>
      </c>
      <c r="H50" s="9">
        <v>50</v>
      </c>
      <c r="I50" s="30">
        <v>1.1100000000000001</v>
      </c>
      <c r="J50" s="30">
        <v>1</v>
      </c>
      <c r="K50" s="30"/>
      <c r="L50" s="30"/>
      <c r="M50" s="7"/>
      <c r="N50" s="31">
        <v>500</v>
      </c>
      <c r="O50" s="30">
        <v>1</v>
      </c>
      <c r="P50" s="32">
        <v>10</v>
      </c>
      <c r="Q50">
        <f t="shared" si="1"/>
        <v>315.36</v>
      </c>
    </row>
    <row r="51" spans="1:17" x14ac:dyDescent="0.3">
      <c r="A51" s="15" t="s">
        <v>22</v>
      </c>
      <c r="B51" s="15" t="s">
        <v>184</v>
      </c>
      <c r="C51" s="15" t="s">
        <v>206</v>
      </c>
      <c r="D51" s="11" t="s">
        <v>129</v>
      </c>
      <c r="E51" s="29" t="s">
        <v>143</v>
      </c>
      <c r="F51" s="15" t="s">
        <v>133</v>
      </c>
      <c r="G51" s="9">
        <v>2005</v>
      </c>
      <c r="H51" s="9">
        <v>50</v>
      </c>
      <c r="I51" s="30">
        <v>1.1100000000000001</v>
      </c>
      <c r="J51" s="30">
        <v>1</v>
      </c>
      <c r="K51" s="30"/>
      <c r="L51" s="30"/>
      <c r="M51" s="7"/>
      <c r="N51" s="31">
        <v>500</v>
      </c>
      <c r="O51" s="30">
        <v>1</v>
      </c>
      <c r="P51" s="32">
        <v>10</v>
      </c>
      <c r="Q51">
        <f t="shared" si="1"/>
        <v>315.36</v>
      </c>
    </row>
    <row r="52" spans="1:17" x14ac:dyDescent="0.3">
      <c r="A52" s="15" t="s">
        <v>25</v>
      </c>
      <c r="B52" s="15" t="s">
        <v>185</v>
      </c>
      <c r="C52" s="15" t="s">
        <v>195</v>
      </c>
      <c r="D52" s="11" t="s">
        <v>129</v>
      </c>
      <c r="E52" s="29" t="s">
        <v>145</v>
      </c>
      <c r="F52" s="15" t="s">
        <v>133</v>
      </c>
      <c r="G52" s="9">
        <v>2005</v>
      </c>
      <c r="H52" s="9">
        <v>50</v>
      </c>
      <c r="I52" s="30">
        <v>1</v>
      </c>
      <c r="J52" s="30">
        <v>1</v>
      </c>
      <c r="K52" s="30"/>
      <c r="L52" s="30"/>
      <c r="M52" s="7"/>
      <c r="N52" s="30">
        <v>999</v>
      </c>
      <c r="O52" s="30">
        <v>1</v>
      </c>
      <c r="Q52">
        <f t="shared" si="1"/>
        <v>0</v>
      </c>
    </row>
    <row r="53" spans="1:17" x14ac:dyDescent="0.3">
      <c r="A53" s="15" t="s">
        <v>24</v>
      </c>
      <c r="B53" s="15" t="s">
        <v>185</v>
      </c>
      <c r="C53" s="15" t="s">
        <v>198</v>
      </c>
      <c r="D53" s="11" t="s">
        <v>129</v>
      </c>
      <c r="E53" s="29" t="s">
        <v>145</v>
      </c>
      <c r="F53" s="15" t="s">
        <v>133</v>
      </c>
      <c r="G53" s="9">
        <v>2005</v>
      </c>
      <c r="H53" s="9">
        <v>50</v>
      </c>
      <c r="I53" s="30">
        <v>1.1100000000000001</v>
      </c>
      <c r="J53" s="30">
        <v>1</v>
      </c>
      <c r="K53" s="30"/>
      <c r="L53" s="30"/>
      <c r="M53" s="7"/>
      <c r="N53" s="31">
        <v>500</v>
      </c>
      <c r="O53" s="30">
        <v>1</v>
      </c>
      <c r="P53" s="32">
        <v>10</v>
      </c>
      <c r="Q53">
        <f t="shared" si="1"/>
        <v>315.36</v>
      </c>
    </row>
    <row r="54" spans="1:17" x14ac:dyDescent="0.3">
      <c r="A54" s="15" t="s">
        <v>23</v>
      </c>
      <c r="B54" s="15" t="s">
        <v>185</v>
      </c>
      <c r="C54" s="15" t="s">
        <v>203</v>
      </c>
      <c r="D54" s="11" t="s">
        <v>129</v>
      </c>
      <c r="E54" s="29" t="s">
        <v>145</v>
      </c>
      <c r="F54" s="15" t="s">
        <v>133</v>
      </c>
      <c r="G54" s="9">
        <v>2005</v>
      </c>
      <c r="H54" s="9">
        <v>50</v>
      </c>
      <c r="I54" s="30">
        <v>1.1100000000000001</v>
      </c>
      <c r="J54" s="30">
        <v>1</v>
      </c>
      <c r="K54" s="30"/>
      <c r="L54" s="30"/>
      <c r="M54" s="7"/>
      <c r="N54" s="31">
        <v>500</v>
      </c>
      <c r="O54" s="30">
        <v>1</v>
      </c>
      <c r="P54" s="32">
        <v>10</v>
      </c>
      <c r="Q54">
        <f t="shared" si="1"/>
        <v>315.36</v>
      </c>
    </row>
    <row r="55" spans="1:17" x14ac:dyDescent="0.3">
      <c r="A55" s="15" t="s">
        <v>21</v>
      </c>
      <c r="B55" s="15" t="s">
        <v>185</v>
      </c>
      <c r="C55" s="15" t="s">
        <v>210</v>
      </c>
      <c r="D55" s="11" t="s">
        <v>129</v>
      </c>
      <c r="E55" s="29" t="s">
        <v>145</v>
      </c>
      <c r="F55" s="15" t="s">
        <v>133</v>
      </c>
      <c r="G55" s="9">
        <v>2005</v>
      </c>
      <c r="H55" s="9">
        <v>50</v>
      </c>
      <c r="I55" s="30">
        <v>1.1100000000000001</v>
      </c>
      <c r="J55" s="30">
        <v>1</v>
      </c>
      <c r="K55" s="30"/>
      <c r="L55" s="30"/>
      <c r="M55" s="7"/>
      <c r="N55" s="31">
        <v>500</v>
      </c>
      <c r="O55" s="30">
        <v>1</v>
      </c>
      <c r="P55" s="32">
        <v>10</v>
      </c>
      <c r="Q55">
        <f t="shared" si="1"/>
        <v>315.36</v>
      </c>
    </row>
    <row r="56" spans="1:17" x14ac:dyDescent="0.3">
      <c r="A56" s="15" t="s">
        <v>25</v>
      </c>
      <c r="B56" s="15" t="s">
        <v>186</v>
      </c>
      <c r="C56" s="15" t="s">
        <v>196</v>
      </c>
      <c r="D56" s="11" t="s">
        <v>129</v>
      </c>
      <c r="E56" s="29" t="s">
        <v>147</v>
      </c>
      <c r="F56" s="15" t="s">
        <v>133</v>
      </c>
      <c r="G56" s="9">
        <v>2005</v>
      </c>
      <c r="H56" s="9">
        <v>50</v>
      </c>
      <c r="I56" s="30">
        <v>1</v>
      </c>
      <c r="J56" s="30">
        <v>1</v>
      </c>
      <c r="K56" s="30"/>
      <c r="L56" s="30"/>
      <c r="M56" s="7"/>
      <c r="N56" s="30">
        <v>999</v>
      </c>
      <c r="O56" s="30">
        <v>1</v>
      </c>
      <c r="Q56">
        <f t="shared" si="1"/>
        <v>0</v>
      </c>
    </row>
    <row r="57" spans="1:17" x14ac:dyDescent="0.3">
      <c r="A57" s="15" t="s">
        <v>24</v>
      </c>
      <c r="B57" s="15" t="s">
        <v>186</v>
      </c>
      <c r="C57" s="15" t="s">
        <v>199</v>
      </c>
      <c r="D57" s="11" t="s">
        <v>129</v>
      </c>
      <c r="E57" s="29" t="s">
        <v>147</v>
      </c>
      <c r="F57" s="15" t="s">
        <v>133</v>
      </c>
      <c r="G57" s="9">
        <v>2005</v>
      </c>
      <c r="H57" s="9">
        <v>50</v>
      </c>
      <c r="I57" s="30">
        <v>1.1100000000000001</v>
      </c>
      <c r="J57" s="30">
        <v>1</v>
      </c>
      <c r="K57" s="30"/>
      <c r="L57" s="30"/>
      <c r="M57" s="7"/>
      <c r="N57" s="31">
        <v>500</v>
      </c>
      <c r="O57" s="30">
        <v>1</v>
      </c>
      <c r="P57" s="32">
        <v>10</v>
      </c>
      <c r="Q57">
        <f t="shared" si="1"/>
        <v>315.36</v>
      </c>
    </row>
    <row r="58" spans="1:17" x14ac:dyDescent="0.3">
      <c r="A58" s="15" t="s">
        <v>22</v>
      </c>
      <c r="B58" s="15" t="s">
        <v>186</v>
      </c>
      <c r="C58" s="15" t="s">
        <v>207</v>
      </c>
      <c r="D58" s="11" t="s">
        <v>129</v>
      </c>
      <c r="E58" s="29" t="s">
        <v>147</v>
      </c>
      <c r="F58" s="15" t="s">
        <v>133</v>
      </c>
      <c r="G58" s="9">
        <v>2005</v>
      </c>
      <c r="H58" s="9">
        <v>50</v>
      </c>
      <c r="I58" s="30">
        <v>1.1100000000000001</v>
      </c>
      <c r="J58" s="30">
        <v>1</v>
      </c>
      <c r="K58" s="30"/>
      <c r="L58" s="30"/>
      <c r="M58" s="7"/>
      <c r="N58" s="31">
        <v>500</v>
      </c>
      <c r="O58" s="30">
        <v>1</v>
      </c>
      <c r="P58" s="32">
        <v>10</v>
      </c>
      <c r="Q58">
        <f t="shared" si="1"/>
        <v>315.36</v>
      </c>
    </row>
    <row r="59" spans="1:17" x14ac:dyDescent="0.3">
      <c r="A59" s="15" t="s">
        <v>20</v>
      </c>
      <c r="B59" s="15" t="s">
        <v>186</v>
      </c>
      <c r="C59" s="15" t="s">
        <v>213</v>
      </c>
      <c r="D59" s="11" t="s">
        <v>129</v>
      </c>
      <c r="E59" s="29" t="s">
        <v>147</v>
      </c>
      <c r="F59" s="15" t="s">
        <v>133</v>
      </c>
      <c r="G59" s="9">
        <v>2005</v>
      </c>
      <c r="H59" s="9">
        <v>50</v>
      </c>
      <c r="I59" s="30">
        <v>1.1100000000000001</v>
      </c>
      <c r="J59" s="30">
        <v>1</v>
      </c>
      <c r="K59" s="30"/>
      <c r="L59" s="30"/>
      <c r="M59" s="7"/>
      <c r="N59" s="31">
        <v>500</v>
      </c>
      <c r="O59" s="30">
        <v>1</v>
      </c>
      <c r="P59" s="32">
        <v>10</v>
      </c>
      <c r="Q59">
        <f t="shared" si="1"/>
        <v>315.36</v>
      </c>
    </row>
    <row r="60" spans="1:17" x14ac:dyDescent="0.3">
      <c r="A60" s="15" t="s">
        <v>24</v>
      </c>
      <c r="B60" s="15" t="s">
        <v>187</v>
      </c>
      <c r="C60" s="15" t="s">
        <v>200</v>
      </c>
      <c r="D60" s="11" t="s">
        <v>129</v>
      </c>
      <c r="E60" s="29" t="s">
        <v>149</v>
      </c>
      <c r="F60" s="15" t="s">
        <v>133</v>
      </c>
      <c r="G60" s="9">
        <v>2005</v>
      </c>
      <c r="H60" s="9">
        <v>50</v>
      </c>
      <c r="I60" s="30">
        <v>1</v>
      </c>
      <c r="J60" s="30">
        <v>1</v>
      </c>
      <c r="K60" s="30"/>
      <c r="L60" s="30"/>
      <c r="M60" s="7"/>
      <c r="N60" s="30">
        <v>999</v>
      </c>
      <c r="O60" s="30">
        <v>1</v>
      </c>
      <c r="Q60">
        <f t="shared" si="1"/>
        <v>0</v>
      </c>
    </row>
    <row r="61" spans="1:17" x14ac:dyDescent="0.3">
      <c r="A61" s="15" t="s">
        <v>21</v>
      </c>
      <c r="B61" s="15" t="s">
        <v>187</v>
      </c>
      <c r="C61" s="15" t="s">
        <v>211</v>
      </c>
      <c r="D61" s="11" t="s">
        <v>129</v>
      </c>
      <c r="E61" s="29" t="s">
        <v>149</v>
      </c>
      <c r="F61" s="15" t="s">
        <v>133</v>
      </c>
      <c r="G61" s="9">
        <v>2005</v>
      </c>
      <c r="H61" s="9">
        <v>50</v>
      </c>
      <c r="I61" s="30">
        <v>1.1100000000000001</v>
      </c>
      <c r="J61" s="30">
        <v>1</v>
      </c>
      <c r="K61" s="30"/>
      <c r="L61" s="30"/>
      <c r="M61" s="7"/>
      <c r="N61" s="31">
        <v>500</v>
      </c>
      <c r="O61" s="30">
        <v>1</v>
      </c>
      <c r="P61" s="32">
        <v>10</v>
      </c>
      <c r="Q61">
        <f t="shared" si="1"/>
        <v>315.36</v>
      </c>
    </row>
    <row r="62" spans="1:17" x14ac:dyDescent="0.3">
      <c r="A62" s="15" t="s">
        <v>20</v>
      </c>
      <c r="B62" s="15" t="s">
        <v>188</v>
      </c>
      <c r="C62" s="15" t="s">
        <v>214</v>
      </c>
      <c r="D62" s="11" t="s">
        <v>129</v>
      </c>
      <c r="E62" s="29" t="s">
        <v>151</v>
      </c>
      <c r="F62" s="15" t="s">
        <v>133</v>
      </c>
      <c r="G62" s="9">
        <v>2005</v>
      </c>
      <c r="H62" s="9">
        <v>50</v>
      </c>
      <c r="I62" s="30">
        <v>1.1100000000000001</v>
      </c>
      <c r="J62" s="30">
        <v>1</v>
      </c>
      <c r="K62" s="30"/>
      <c r="L62" s="30"/>
      <c r="M62" s="7"/>
      <c r="N62" s="31">
        <v>500</v>
      </c>
      <c r="O62" s="30">
        <v>1</v>
      </c>
      <c r="P62" s="32">
        <v>10</v>
      </c>
      <c r="Q62">
        <f t="shared" si="1"/>
        <v>315.36</v>
      </c>
    </row>
    <row r="63" spans="1:17" x14ac:dyDescent="0.3">
      <c r="A63" s="15" t="s">
        <v>19</v>
      </c>
      <c r="B63" s="15" t="s">
        <v>187</v>
      </c>
      <c r="C63" s="15" t="s">
        <v>215</v>
      </c>
      <c r="D63" s="11" t="s">
        <v>129</v>
      </c>
      <c r="E63" s="29" t="s">
        <v>149</v>
      </c>
      <c r="F63" s="15" t="s">
        <v>133</v>
      </c>
      <c r="G63" s="9">
        <v>2005</v>
      </c>
      <c r="H63" s="9">
        <v>50</v>
      </c>
      <c r="I63" s="30">
        <v>1.1100000000000001</v>
      </c>
      <c r="J63" s="30">
        <v>1</v>
      </c>
      <c r="K63" s="30"/>
      <c r="L63" s="30"/>
      <c r="M63" s="7"/>
      <c r="N63" s="31">
        <v>500</v>
      </c>
      <c r="O63" s="30">
        <v>1</v>
      </c>
      <c r="P63" s="32">
        <v>10</v>
      </c>
      <c r="Q63">
        <f t="shared" si="1"/>
        <v>315.36</v>
      </c>
    </row>
    <row r="64" spans="1:17" x14ac:dyDescent="0.3">
      <c r="G64" s="9"/>
      <c r="H64" s="9"/>
      <c r="I64" s="9"/>
      <c r="J64" s="9"/>
      <c r="K64" s="9"/>
      <c r="L64" s="9"/>
      <c r="M64" s="7"/>
      <c r="N64" s="30"/>
      <c r="O64" s="7"/>
    </row>
    <row r="65" spans="1:15" x14ac:dyDescent="0.3">
      <c r="G65" s="9"/>
      <c r="H65" s="9"/>
      <c r="I65" s="9"/>
      <c r="J65" s="9"/>
      <c r="K65" s="9"/>
      <c r="L65" s="9"/>
      <c r="M65" s="7"/>
      <c r="N65" s="30"/>
      <c r="O65" s="7"/>
    </row>
    <row r="66" spans="1:15" ht="18" customHeight="1" x14ac:dyDescent="0.3">
      <c r="G66" s="18" t="s">
        <v>76</v>
      </c>
      <c r="H66" s="18" t="s">
        <v>77</v>
      </c>
      <c r="I66" s="18" t="s">
        <v>122</v>
      </c>
      <c r="J66" s="18" t="s">
        <v>123</v>
      </c>
      <c r="K66" s="18" t="s">
        <v>124</v>
      </c>
      <c r="L66" s="18"/>
      <c r="M66" s="18" t="s">
        <v>125</v>
      </c>
      <c r="N66" s="18" t="s">
        <v>82</v>
      </c>
    </row>
    <row r="67" spans="1:15" ht="17.25" customHeight="1" x14ac:dyDescent="0.3">
      <c r="G67" s="9"/>
      <c r="H67" s="9"/>
      <c r="I67" s="27"/>
      <c r="J67" s="27"/>
      <c r="K67" s="27"/>
      <c r="L67" s="27"/>
      <c r="M67" s="27"/>
      <c r="N67" s="27"/>
    </row>
    <row r="68" spans="1:15" ht="15.75" customHeight="1" x14ac:dyDescent="0.3">
      <c r="B68" s="8" t="s">
        <v>83</v>
      </c>
      <c r="C68" s="8" t="s">
        <v>84</v>
      </c>
      <c r="D68" s="8" t="s">
        <v>85</v>
      </c>
      <c r="E68" s="8" t="s">
        <v>86</v>
      </c>
      <c r="F68" s="8" t="s">
        <v>87</v>
      </c>
      <c r="G68" s="18" t="s">
        <v>88</v>
      </c>
      <c r="H68" s="18" t="s">
        <v>88</v>
      </c>
      <c r="I68" s="27"/>
      <c r="J68" s="18" t="s">
        <v>88</v>
      </c>
      <c r="K68" s="27"/>
      <c r="L68" s="27"/>
      <c r="M68" s="28"/>
      <c r="N68" s="28"/>
    </row>
    <row r="69" spans="1:15" x14ac:dyDescent="0.3">
      <c r="A69" t="s">
        <v>216</v>
      </c>
      <c r="G69" s="9"/>
      <c r="H69" s="9"/>
      <c r="I69" s="9"/>
      <c r="J69" s="9"/>
      <c r="K69" s="9"/>
      <c r="L69" s="9"/>
      <c r="M69" s="7"/>
      <c r="N69" s="7"/>
    </row>
    <row r="70" spans="1:15" x14ac:dyDescent="0.3">
      <c r="A70" s="15" t="s">
        <v>19</v>
      </c>
      <c r="B70" s="15" t="s">
        <v>217</v>
      </c>
      <c r="C70" s="15" t="s">
        <v>218</v>
      </c>
      <c r="D70" s="11" t="s">
        <v>219</v>
      </c>
      <c r="E70" s="29" t="s">
        <v>220</v>
      </c>
      <c r="F70" s="15" t="s">
        <v>133</v>
      </c>
      <c r="G70" s="9">
        <v>2005</v>
      </c>
      <c r="H70" s="9">
        <v>50</v>
      </c>
      <c r="I70" s="20">
        <v>1</v>
      </c>
      <c r="J70" s="20">
        <v>1</v>
      </c>
      <c r="K70" s="33">
        <v>0.40799999999999997</v>
      </c>
      <c r="L70" s="33">
        <f>K70*31.536</f>
        <v>12.866688</v>
      </c>
      <c r="M70" s="9">
        <v>0</v>
      </c>
      <c r="N70" s="9"/>
    </row>
    <row r="71" spans="1:15" x14ac:dyDescent="0.3">
      <c r="A71" s="15" t="s">
        <v>19</v>
      </c>
      <c r="B71" s="15" t="s">
        <v>221</v>
      </c>
      <c r="C71" s="15" t="s">
        <v>222</v>
      </c>
      <c r="D71" s="11" t="s">
        <v>219</v>
      </c>
      <c r="E71" s="29" t="s">
        <v>223</v>
      </c>
      <c r="F71" s="15" t="s">
        <v>133</v>
      </c>
      <c r="G71" s="9">
        <v>2005</v>
      </c>
      <c r="H71" s="9">
        <v>50</v>
      </c>
      <c r="I71" s="20">
        <v>1</v>
      </c>
      <c r="J71" s="20">
        <v>1</v>
      </c>
      <c r="K71" s="33">
        <v>2</v>
      </c>
      <c r="L71" s="33">
        <f t="shared" ref="L71:L78" si="2">K71*31.536</f>
        <v>63.072000000000003</v>
      </c>
      <c r="M71" s="9">
        <v>0</v>
      </c>
      <c r="N71" s="9"/>
    </row>
    <row r="72" spans="1:15" x14ac:dyDescent="0.3">
      <c r="A72" s="15" t="s">
        <v>24</v>
      </c>
      <c r="B72" s="15" t="s">
        <v>224</v>
      </c>
      <c r="C72" s="15" t="s">
        <v>225</v>
      </c>
      <c r="D72" s="11" t="s">
        <v>219</v>
      </c>
      <c r="E72" s="29" t="s">
        <v>226</v>
      </c>
      <c r="F72" s="15" t="s">
        <v>133</v>
      </c>
      <c r="G72" s="9">
        <v>2005</v>
      </c>
      <c r="H72" s="9">
        <v>50</v>
      </c>
      <c r="I72" s="20">
        <v>1</v>
      </c>
      <c r="J72" s="20">
        <v>1</v>
      </c>
      <c r="K72" s="33">
        <v>0.65</v>
      </c>
      <c r="L72" s="33">
        <f t="shared" si="2"/>
        <v>20.4984</v>
      </c>
      <c r="M72" s="9">
        <v>0</v>
      </c>
      <c r="N72" s="9"/>
    </row>
    <row r="73" spans="1:15" x14ac:dyDescent="0.3">
      <c r="A73" s="15" t="s">
        <v>26</v>
      </c>
      <c r="B73" s="15" t="s">
        <v>227</v>
      </c>
      <c r="C73" s="15" t="s">
        <v>228</v>
      </c>
      <c r="D73" s="11" t="s">
        <v>219</v>
      </c>
      <c r="E73" s="29" t="s">
        <v>229</v>
      </c>
      <c r="F73" s="15" t="s">
        <v>133</v>
      </c>
      <c r="G73" s="9">
        <v>2005</v>
      </c>
      <c r="H73" s="9">
        <v>50</v>
      </c>
      <c r="I73" s="20">
        <v>1</v>
      </c>
      <c r="J73" s="20">
        <v>1</v>
      </c>
      <c r="K73" s="33">
        <v>1.95</v>
      </c>
      <c r="L73" s="33">
        <f t="shared" si="2"/>
        <v>61.495200000000004</v>
      </c>
      <c r="M73" s="9">
        <v>0</v>
      </c>
      <c r="N73" s="9"/>
    </row>
    <row r="74" spans="1:15" x14ac:dyDescent="0.3">
      <c r="A74" s="15" t="s">
        <v>25</v>
      </c>
      <c r="B74" s="15" t="s">
        <v>227</v>
      </c>
      <c r="C74" s="15" t="s">
        <v>230</v>
      </c>
      <c r="D74" s="11" t="s">
        <v>219</v>
      </c>
      <c r="E74" s="29" t="s">
        <v>229</v>
      </c>
      <c r="F74" s="15" t="s">
        <v>133</v>
      </c>
      <c r="G74" s="9">
        <v>2005</v>
      </c>
      <c r="H74" s="9">
        <v>50</v>
      </c>
      <c r="I74" s="20">
        <v>1</v>
      </c>
      <c r="J74" s="20">
        <v>1</v>
      </c>
      <c r="K74" s="33">
        <v>2</v>
      </c>
      <c r="L74" s="33">
        <f t="shared" si="2"/>
        <v>63.072000000000003</v>
      </c>
      <c r="M74" s="9">
        <v>0</v>
      </c>
      <c r="N74" s="9"/>
    </row>
    <row r="75" spans="1:15" x14ac:dyDescent="0.3">
      <c r="A75" s="15" t="s">
        <v>24</v>
      </c>
      <c r="B75" s="15" t="s">
        <v>227</v>
      </c>
      <c r="C75" s="15" t="s">
        <v>231</v>
      </c>
      <c r="D75" s="11" t="s">
        <v>219</v>
      </c>
      <c r="E75" s="29" t="s">
        <v>229</v>
      </c>
      <c r="F75" s="15" t="s">
        <v>133</v>
      </c>
      <c r="G75" s="9">
        <v>2005</v>
      </c>
      <c r="H75" s="9">
        <v>50</v>
      </c>
      <c r="I75" s="20">
        <v>1</v>
      </c>
      <c r="J75" s="20">
        <v>1</v>
      </c>
      <c r="K75" s="33">
        <v>0.1</v>
      </c>
      <c r="L75" s="33">
        <f t="shared" si="2"/>
        <v>3.1536000000000004</v>
      </c>
      <c r="M75" s="9">
        <v>0</v>
      </c>
      <c r="N75" s="9"/>
    </row>
    <row r="76" spans="1:15" x14ac:dyDescent="0.3">
      <c r="A76" s="15" t="s">
        <v>27</v>
      </c>
      <c r="B76" s="15" t="s">
        <v>232</v>
      </c>
      <c r="C76" s="15" t="s">
        <v>233</v>
      </c>
      <c r="D76" s="11" t="s">
        <v>219</v>
      </c>
      <c r="E76" s="29" t="s">
        <v>234</v>
      </c>
      <c r="F76" s="15" t="s">
        <v>133</v>
      </c>
      <c r="G76" s="9">
        <v>2005</v>
      </c>
      <c r="H76" s="9">
        <v>50</v>
      </c>
      <c r="I76" s="20">
        <v>1</v>
      </c>
      <c r="J76" s="20">
        <v>1</v>
      </c>
      <c r="K76" s="33">
        <v>1.57</v>
      </c>
      <c r="L76" s="33">
        <f t="shared" si="2"/>
        <v>49.511520000000004</v>
      </c>
      <c r="M76" s="9">
        <v>0</v>
      </c>
      <c r="N76" s="9"/>
    </row>
    <row r="77" spans="1:15" x14ac:dyDescent="0.3">
      <c r="A77" s="15" t="s">
        <v>26</v>
      </c>
      <c r="B77" s="15" t="s">
        <v>232</v>
      </c>
      <c r="C77" s="15" t="s">
        <v>235</v>
      </c>
      <c r="D77" s="11" t="s">
        <v>219</v>
      </c>
      <c r="E77" s="29" t="s">
        <v>234</v>
      </c>
      <c r="F77" s="15" t="s">
        <v>133</v>
      </c>
      <c r="G77" s="9">
        <v>2005</v>
      </c>
      <c r="H77" s="9">
        <v>50</v>
      </c>
      <c r="I77" s="20">
        <v>1</v>
      </c>
      <c r="J77" s="20">
        <v>1</v>
      </c>
      <c r="K77" s="33">
        <v>1.9</v>
      </c>
      <c r="L77" s="33">
        <f t="shared" si="2"/>
        <v>59.918399999999998</v>
      </c>
      <c r="M77" s="9">
        <v>0</v>
      </c>
      <c r="N77" s="9"/>
    </row>
    <row r="78" spans="1:15" x14ac:dyDescent="0.3">
      <c r="A78" s="15" t="s">
        <v>27</v>
      </c>
      <c r="B78" s="15" t="s">
        <v>236</v>
      </c>
      <c r="C78" s="15" t="s">
        <v>237</v>
      </c>
      <c r="D78" s="11" t="s">
        <v>219</v>
      </c>
      <c r="E78" s="29" t="s">
        <v>238</v>
      </c>
      <c r="F78" s="15" t="s">
        <v>133</v>
      </c>
      <c r="G78" s="9">
        <v>2005</v>
      </c>
      <c r="H78" s="9">
        <v>50</v>
      </c>
      <c r="I78" s="20">
        <v>1</v>
      </c>
      <c r="J78" s="20">
        <v>1</v>
      </c>
      <c r="K78" s="33">
        <v>0.95</v>
      </c>
      <c r="L78" s="33">
        <f t="shared" si="2"/>
        <v>29.959199999999999</v>
      </c>
      <c r="M78" s="9">
        <v>0</v>
      </c>
      <c r="N78" s="9"/>
    </row>
    <row r="79" spans="1:15" x14ac:dyDescent="0.3">
      <c r="A79" t="s">
        <v>239</v>
      </c>
      <c r="G79" s="9"/>
      <c r="H79" s="9"/>
      <c r="I79" s="9"/>
      <c r="J79" s="9"/>
      <c r="K79" s="9"/>
      <c r="L79" s="9"/>
      <c r="M79" s="9"/>
      <c r="N79" s="9"/>
    </row>
    <row r="80" spans="1:15" x14ac:dyDescent="0.3">
      <c r="A80" s="15" t="s">
        <v>19</v>
      </c>
      <c r="B80" s="15" t="s">
        <v>240</v>
      </c>
      <c r="C80" s="15" t="s">
        <v>218</v>
      </c>
      <c r="D80" s="11" t="s">
        <v>219</v>
      </c>
      <c r="E80" s="29" t="s">
        <v>220</v>
      </c>
      <c r="F80" s="15" t="s">
        <v>133</v>
      </c>
      <c r="G80" s="9">
        <v>2005</v>
      </c>
      <c r="H80" s="9">
        <v>50</v>
      </c>
      <c r="I80" s="20">
        <v>1</v>
      </c>
      <c r="J80" s="20">
        <v>1</v>
      </c>
      <c r="K80" s="30"/>
      <c r="L80" s="30"/>
      <c r="M80" s="30" t="s">
        <v>134</v>
      </c>
      <c r="N80" s="9">
        <v>999</v>
      </c>
    </row>
    <row r="81" spans="1:14" x14ac:dyDescent="0.3">
      <c r="A81" s="15" t="s">
        <v>19</v>
      </c>
      <c r="B81" s="15" t="s">
        <v>241</v>
      </c>
      <c r="C81" s="15" t="s">
        <v>222</v>
      </c>
      <c r="D81" s="11" t="s">
        <v>219</v>
      </c>
      <c r="E81" s="29" t="s">
        <v>223</v>
      </c>
      <c r="F81" s="15" t="s">
        <v>133</v>
      </c>
      <c r="G81" s="9">
        <v>2005</v>
      </c>
      <c r="H81" s="9">
        <v>50</v>
      </c>
      <c r="I81" s="20">
        <v>1</v>
      </c>
      <c r="J81" s="20">
        <v>1</v>
      </c>
      <c r="K81" s="30"/>
      <c r="L81" s="30"/>
      <c r="M81" s="30" t="s">
        <v>134</v>
      </c>
      <c r="N81" s="9">
        <v>999</v>
      </c>
    </row>
    <row r="82" spans="1:14" x14ac:dyDescent="0.3">
      <c r="A82" s="15" t="s">
        <v>24</v>
      </c>
      <c r="B82" s="15" t="s">
        <v>242</v>
      </c>
      <c r="C82" s="15" t="s">
        <v>225</v>
      </c>
      <c r="D82" s="11" t="s">
        <v>219</v>
      </c>
      <c r="E82" s="29" t="s">
        <v>226</v>
      </c>
      <c r="F82" s="15" t="s">
        <v>133</v>
      </c>
      <c r="G82" s="9">
        <v>2005</v>
      </c>
      <c r="H82" s="9">
        <v>50</v>
      </c>
      <c r="I82" s="20">
        <v>1</v>
      </c>
      <c r="J82" s="20">
        <v>1</v>
      </c>
      <c r="K82" s="30"/>
      <c r="L82" s="30"/>
      <c r="M82" s="30" t="s">
        <v>134</v>
      </c>
      <c r="N82" s="9">
        <v>999</v>
      </c>
    </row>
    <row r="83" spans="1:14" x14ac:dyDescent="0.3">
      <c r="A83" s="15" t="s">
        <v>26</v>
      </c>
      <c r="B83" s="15" t="s">
        <v>243</v>
      </c>
      <c r="C83" s="15" t="s">
        <v>228</v>
      </c>
      <c r="D83" s="11" t="s">
        <v>219</v>
      </c>
      <c r="E83" s="29" t="s">
        <v>229</v>
      </c>
      <c r="F83" s="15" t="s">
        <v>133</v>
      </c>
      <c r="G83" s="9">
        <v>2005</v>
      </c>
      <c r="H83" s="9">
        <v>50</v>
      </c>
      <c r="I83" s="20">
        <v>1</v>
      </c>
      <c r="J83" s="20">
        <v>1</v>
      </c>
      <c r="K83" s="30"/>
      <c r="L83" s="30"/>
      <c r="M83" s="30" t="s">
        <v>134</v>
      </c>
      <c r="N83" s="9">
        <v>999</v>
      </c>
    </row>
    <row r="84" spans="1:14" x14ac:dyDescent="0.3">
      <c r="A84" s="15" t="s">
        <v>25</v>
      </c>
      <c r="B84" s="15" t="s">
        <v>243</v>
      </c>
      <c r="C84" s="15" t="s">
        <v>230</v>
      </c>
      <c r="D84" s="11" t="s">
        <v>219</v>
      </c>
      <c r="E84" s="29" t="s">
        <v>229</v>
      </c>
      <c r="F84" s="15" t="s">
        <v>133</v>
      </c>
      <c r="G84" s="9">
        <v>2005</v>
      </c>
      <c r="H84" s="9">
        <v>50</v>
      </c>
      <c r="I84" s="20">
        <v>1</v>
      </c>
      <c r="J84" s="20">
        <v>1</v>
      </c>
      <c r="K84" s="30"/>
      <c r="L84" s="30"/>
      <c r="M84" s="30" t="s">
        <v>134</v>
      </c>
      <c r="N84" s="9">
        <v>999</v>
      </c>
    </row>
    <row r="85" spans="1:14" x14ac:dyDescent="0.3">
      <c r="A85" s="15" t="s">
        <v>24</v>
      </c>
      <c r="B85" s="15" t="s">
        <v>243</v>
      </c>
      <c r="C85" s="15" t="s">
        <v>231</v>
      </c>
      <c r="D85" s="11" t="s">
        <v>219</v>
      </c>
      <c r="E85" s="29" t="s">
        <v>229</v>
      </c>
      <c r="F85" s="15" t="s">
        <v>133</v>
      </c>
      <c r="G85" s="9">
        <v>2005</v>
      </c>
      <c r="H85" s="9">
        <v>50</v>
      </c>
      <c r="I85" s="20">
        <v>1</v>
      </c>
      <c r="J85" s="20">
        <v>1</v>
      </c>
      <c r="K85" s="30"/>
      <c r="L85" s="30"/>
      <c r="M85" s="30" t="s">
        <v>134</v>
      </c>
      <c r="N85" s="9">
        <v>999</v>
      </c>
    </row>
    <row r="86" spans="1:14" x14ac:dyDescent="0.3">
      <c r="A86" s="15" t="s">
        <v>27</v>
      </c>
      <c r="B86" s="15" t="s">
        <v>244</v>
      </c>
      <c r="C86" s="15" t="s">
        <v>233</v>
      </c>
      <c r="D86" s="11" t="s">
        <v>219</v>
      </c>
      <c r="E86" s="29" t="s">
        <v>234</v>
      </c>
      <c r="F86" s="15" t="s">
        <v>133</v>
      </c>
      <c r="G86" s="9">
        <v>2005</v>
      </c>
      <c r="H86" s="9">
        <v>50</v>
      </c>
      <c r="I86" s="20">
        <v>1</v>
      </c>
      <c r="J86" s="20">
        <v>1</v>
      </c>
      <c r="K86" s="30"/>
      <c r="L86" s="30"/>
      <c r="M86" s="30" t="s">
        <v>134</v>
      </c>
      <c r="N86" s="9">
        <v>999</v>
      </c>
    </row>
    <row r="87" spans="1:14" x14ac:dyDescent="0.3">
      <c r="A87" s="15" t="s">
        <v>26</v>
      </c>
      <c r="B87" s="15" t="s">
        <v>244</v>
      </c>
      <c r="C87" s="15" t="s">
        <v>235</v>
      </c>
      <c r="D87" s="11" t="s">
        <v>219</v>
      </c>
      <c r="E87" s="29" t="s">
        <v>234</v>
      </c>
      <c r="F87" s="15" t="s">
        <v>133</v>
      </c>
      <c r="G87" s="9">
        <v>2005</v>
      </c>
      <c r="H87" s="9">
        <v>50</v>
      </c>
      <c r="I87" s="20">
        <v>1</v>
      </c>
      <c r="J87" s="20">
        <v>1</v>
      </c>
      <c r="K87" s="30"/>
      <c r="L87" s="30"/>
      <c r="M87" s="30" t="s">
        <v>134</v>
      </c>
      <c r="N87" s="9">
        <v>999</v>
      </c>
    </row>
    <row r="88" spans="1:14" x14ac:dyDescent="0.3">
      <c r="A88" s="15" t="s">
        <v>27</v>
      </c>
      <c r="B88" s="15" t="s">
        <v>245</v>
      </c>
      <c r="C88" s="15" t="s">
        <v>237</v>
      </c>
      <c r="D88" s="11" t="s">
        <v>219</v>
      </c>
      <c r="E88" s="29" t="s">
        <v>238</v>
      </c>
      <c r="F88" s="15" t="s">
        <v>133</v>
      </c>
      <c r="G88" s="9">
        <v>2005</v>
      </c>
      <c r="H88" s="9">
        <v>50</v>
      </c>
      <c r="I88" s="20">
        <v>1</v>
      </c>
      <c r="J88" s="20">
        <v>1</v>
      </c>
      <c r="K88" s="30"/>
      <c r="L88" s="30"/>
      <c r="M88" s="30" t="s">
        <v>134</v>
      </c>
      <c r="N88" s="9">
        <v>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36"/>
  <sheetViews>
    <sheetView zoomScale="85" zoomScaleNormal="85" workbookViewId="0">
      <selection activeCell="L16" sqref="L16"/>
    </sheetView>
  </sheetViews>
  <sheetFormatPr defaultRowHeight="14.4" x14ac:dyDescent="0.3"/>
  <cols>
    <col min="1" max="1" width="14.21875" customWidth="1"/>
    <col min="2" max="2" width="17.6640625" customWidth="1"/>
    <col min="4" max="5" width="10.33203125" customWidth="1"/>
    <col min="13" max="13" width="7.44140625" bestFit="1" customWidth="1"/>
    <col min="14" max="14" width="28.109375" customWidth="1"/>
    <col min="17" max="17" width="8" customWidth="1"/>
    <col min="20" max="20" width="9.33203125" customWidth="1"/>
  </cols>
  <sheetData>
    <row r="1" spans="1:16" ht="15.6" x14ac:dyDescent="0.3">
      <c r="A1" s="36" t="s">
        <v>324</v>
      </c>
    </row>
    <row r="2" spans="1:16" ht="42" x14ac:dyDescent="0.3">
      <c r="B2" s="37" t="s">
        <v>469</v>
      </c>
      <c r="C2">
        <v>2011</v>
      </c>
      <c r="D2">
        <v>2015</v>
      </c>
      <c r="E2">
        <v>2020</v>
      </c>
      <c r="F2">
        <v>2025</v>
      </c>
      <c r="G2">
        <v>2030</v>
      </c>
      <c r="H2">
        <v>2035</v>
      </c>
      <c r="I2">
        <v>2040</v>
      </c>
      <c r="J2">
        <v>2045</v>
      </c>
      <c r="K2">
        <v>2050</v>
      </c>
      <c r="L2" t="s">
        <v>482</v>
      </c>
    </row>
    <row r="3" spans="1:16" x14ac:dyDescent="0.3">
      <c r="A3" s="38" t="s">
        <v>325</v>
      </c>
      <c r="B3" s="39">
        <f t="shared" ref="B3:K3" si="0">SUMIFS(C$39:C$92,$A$39:$A$92,$A3)</f>
        <v>803.28790300000003</v>
      </c>
      <c r="C3" s="39">
        <f t="shared" si="0"/>
        <v>890.94683799999996</v>
      </c>
      <c r="D3" s="39">
        <f t="shared" si="0"/>
        <v>870.14172399999995</v>
      </c>
      <c r="E3" s="39">
        <f t="shared" si="0"/>
        <v>719.433899</v>
      </c>
      <c r="F3" s="39">
        <f t="shared" si="0"/>
        <v>735.69470200000001</v>
      </c>
      <c r="G3" s="39">
        <f t="shared" si="0"/>
        <v>767.86968999999999</v>
      </c>
      <c r="H3" s="39">
        <f t="shared" si="0"/>
        <v>783.24163799999997</v>
      </c>
      <c r="I3" s="39">
        <f t="shared" si="0"/>
        <v>809.85528599999998</v>
      </c>
      <c r="J3" s="39">
        <f t="shared" si="0"/>
        <v>839.76568599999996</v>
      </c>
      <c r="K3" s="39">
        <f t="shared" si="0"/>
        <v>882.52020300000004</v>
      </c>
      <c r="L3" s="39">
        <f>K3-B3</f>
        <v>79.232300000000009</v>
      </c>
      <c r="N3" t="s">
        <v>392</v>
      </c>
      <c r="O3">
        <v>1.0219999999999999E-3</v>
      </c>
      <c r="P3" t="s">
        <v>467</v>
      </c>
    </row>
    <row r="4" spans="1:16" x14ac:dyDescent="0.3">
      <c r="A4" s="38" t="s">
        <v>472</v>
      </c>
      <c r="B4" s="98">
        <f t="shared" ref="B4:K4" si="1">SUMIFS(C$39:C$92,$A$39:$A$92,$A4)</f>
        <v>0</v>
      </c>
      <c r="C4" s="98">
        <f t="shared" si="1"/>
        <v>0</v>
      </c>
      <c r="D4" s="39">
        <f t="shared" si="1"/>
        <v>382.12701399999997</v>
      </c>
      <c r="E4" s="39">
        <f t="shared" si="1"/>
        <v>993.61163299999998</v>
      </c>
      <c r="F4" s="39">
        <f t="shared" si="1"/>
        <v>1859.9990230000001</v>
      </c>
      <c r="G4" s="39">
        <f t="shared" si="1"/>
        <v>3636.8315429999998</v>
      </c>
      <c r="H4" s="39">
        <f t="shared" si="1"/>
        <v>4410.2060549999997</v>
      </c>
      <c r="I4" s="39">
        <f t="shared" si="1"/>
        <v>5226.0234380000002</v>
      </c>
      <c r="J4" s="39">
        <f t="shared" si="1"/>
        <v>6076.4628910000001</v>
      </c>
      <c r="K4" s="39">
        <f t="shared" si="1"/>
        <v>7016.3173829999996</v>
      </c>
      <c r="L4" s="39">
        <f t="shared" ref="L4:L27" si="2">K4-B4</f>
        <v>7016.3173829999996</v>
      </c>
      <c r="O4" s="77">
        <v>1.0250000000000001E-3</v>
      </c>
      <c r="P4" t="s">
        <v>468</v>
      </c>
    </row>
    <row r="5" spans="1:16" x14ac:dyDescent="0.3">
      <c r="A5" s="38" t="s">
        <v>475</v>
      </c>
      <c r="B5" s="98">
        <f t="shared" ref="B5:K5" si="3">SUMIFS(C$39:C$92,$A$39:$A$92,$A5)</f>
        <v>0</v>
      </c>
      <c r="C5" s="98">
        <f t="shared" si="3"/>
        <v>0</v>
      </c>
      <c r="D5" s="39">
        <f t="shared" si="3"/>
        <v>554.351135</v>
      </c>
      <c r="E5" s="39">
        <f t="shared" si="3"/>
        <v>2123.3215329999998</v>
      </c>
      <c r="F5" s="39">
        <f t="shared" si="3"/>
        <v>3199.1108399999998</v>
      </c>
      <c r="G5" s="39">
        <f t="shared" si="3"/>
        <v>2855.3598630000001</v>
      </c>
      <c r="H5" s="39">
        <f t="shared" si="3"/>
        <v>2705.9257809999999</v>
      </c>
      <c r="I5" s="39">
        <f t="shared" si="3"/>
        <v>2591.163086</v>
      </c>
      <c r="J5" s="39">
        <f t="shared" si="3"/>
        <v>2579.3393550000001</v>
      </c>
      <c r="K5" s="39">
        <f t="shared" si="3"/>
        <v>2433.0078119999998</v>
      </c>
      <c r="L5" s="39">
        <f t="shared" si="2"/>
        <v>2433.0078119999998</v>
      </c>
      <c r="N5" t="s">
        <v>393</v>
      </c>
      <c r="O5">
        <v>1.0511E-6</v>
      </c>
    </row>
    <row r="6" spans="1:16" x14ac:dyDescent="0.3">
      <c r="A6" s="38" t="s">
        <v>326</v>
      </c>
      <c r="B6" s="39">
        <f t="shared" ref="B6:K6" si="4">SUMIFS(C$39:C$92,$A$39:$A$92,$A6)</f>
        <v>635.06726100000003</v>
      </c>
      <c r="C6" s="39">
        <f t="shared" si="4"/>
        <v>556.97540300000003</v>
      </c>
      <c r="D6" s="98">
        <f t="shared" si="4"/>
        <v>0</v>
      </c>
      <c r="E6" s="98">
        <f t="shared" si="4"/>
        <v>0</v>
      </c>
      <c r="F6" s="98">
        <f t="shared" si="4"/>
        <v>0</v>
      </c>
      <c r="G6" s="98">
        <f t="shared" si="4"/>
        <v>0</v>
      </c>
      <c r="H6" s="98">
        <f t="shared" si="4"/>
        <v>0</v>
      </c>
      <c r="I6" s="98">
        <f t="shared" si="4"/>
        <v>0</v>
      </c>
      <c r="J6" s="98">
        <f t="shared" si="4"/>
        <v>0</v>
      </c>
      <c r="K6" s="98">
        <f t="shared" si="4"/>
        <v>0</v>
      </c>
      <c r="L6" s="39">
        <f t="shared" si="2"/>
        <v>-635.06726100000003</v>
      </c>
    </row>
    <row r="7" spans="1:16" x14ac:dyDescent="0.3">
      <c r="A7" s="38" t="s">
        <v>473</v>
      </c>
      <c r="B7" s="98">
        <f t="shared" ref="B7:K7" si="5">SUMIFS(C$39:C$92,$A$39:$A$92,$A7)</f>
        <v>0</v>
      </c>
      <c r="C7" s="98">
        <f t="shared" si="5"/>
        <v>0</v>
      </c>
      <c r="D7" s="39">
        <f t="shared" si="5"/>
        <v>3.0990000000000002</v>
      </c>
      <c r="E7" s="98">
        <f t="shared" si="5"/>
        <v>0</v>
      </c>
      <c r="F7" s="98">
        <f t="shared" si="5"/>
        <v>0</v>
      </c>
      <c r="G7" s="39">
        <f t="shared" si="5"/>
        <v>57.478881999999999</v>
      </c>
      <c r="H7" s="39">
        <f t="shared" si="5"/>
        <v>72.601356999999993</v>
      </c>
      <c r="I7" s="39">
        <f t="shared" si="5"/>
        <v>84.217231999999996</v>
      </c>
      <c r="J7" s="39">
        <f t="shared" si="5"/>
        <v>115.716461</v>
      </c>
      <c r="K7" s="39">
        <f t="shared" si="5"/>
        <v>182.09942599999999</v>
      </c>
      <c r="L7" s="39">
        <f t="shared" si="2"/>
        <v>182.09942599999999</v>
      </c>
    </row>
    <row r="8" spans="1:16" x14ac:dyDescent="0.3">
      <c r="A8" s="38" t="s">
        <v>327</v>
      </c>
      <c r="B8" s="39">
        <f t="shared" ref="B8:K8" si="6">SUMIFS(C$39:C$92,$A$39:$A$92,$A8)</f>
        <v>766.53112799999997</v>
      </c>
      <c r="C8" s="39">
        <f t="shared" si="6"/>
        <v>660.31353799999999</v>
      </c>
      <c r="D8" s="39">
        <f t="shared" si="6"/>
        <v>19.952679</v>
      </c>
      <c r="E8" s="98">
        <f t="shared" si="6"/>
        <v>0</v>
      </c>
      <c r="F8" s="98">
        <f t="shared" si="6"/>
        <v>0</v>
      </c>
      <c r="G8" s="98">
        <f t="shared" si="6"/>
        <v>0</v>
      </c>
      <c r="H8" s="98">
        <f t="shared" si="6"/>
        <v>0</v>
      </c>
      <c r="I8" s="98">
        <f t="shared" si="6"/>
        <v>0</v>
      </c>
      <c r="J8" s="98">
        <f t="shared" si="6"/>
        <v>0</v>
      </c>
      <c r="K8" s="98">
        <f t="shared" si="6"/>
        <v>0</v>
      </c>
      <c r="L8" s="39">
        <f t="shared" si="2"/>
        <v>-766.53112799999997</v>
      </c>
    </row>
    <row r="9" spans="1:16" x14ac:dyDescent="0.3">
      <c r="A9" s="38" t="s">
        <v>476</v>
      </c>
      <c r="B9" s="98">
        <f t="shared" ref="B9:K9" si="7">SUMIFS(C$39:C$92,$A$39:$A$92,$A9)</f>
        <v>0</v>
      </c>
      <c r="C9" s="98">
        <f t="shared" si="7"/>
        <v>0</v>
      </c>
      <c r="D9" s="39">
        <f t="shared" si="7"/>
        <v>641.44012499999997</v>
      </c>
      <c r="E9" s="39">
        <f t="shared" si="7"/>
        <v>190.372559</v>
      </c>
      <c r="F9" s="39">
        <f t="shared" si="7"/>
        <v>1167.419312</v>
      </c>
      <c r="G9" s="39">
        <f t="shared" si="7"/>
        <v>2292.672607</v>
      </c>
      <c r="H9" s="39">
        <f t="shared" si="7"/>
        <v>2653.9321289999998</v>
      </c>
      <c r="I9" s="39">
        <f t="shared" si="7"/>
        <v>2867.2231449999999</v>
      </c>
      <c r="J9" s="39">
        <f t="shared" si="7"/>
        <v>3190.10376</v>
      </c>
      <c r="K9" s="39">
        <f t="shared" si="7"/>
        <v>3635.7360840000001</v>
      </c>
      <c r="L9" s="39">
        <f t="shared" si="2"/>
        <v>3635.7360840000001</v>
      </c>
    </row>
    <row r="10" spans="1:16" x14ac:dyDescent="0.3">
      <c r="A10" s="38" t="s">
        <v>328</v>
      </c>
      <c r="B10" s="39">
        <f t="shared" ref="B10:K10" si="8">SUMIFS(C$39:C$92,$A$39:$A$92,$A10)</f>
        <v>3700.5615229999999</v>
      </c>
      <c r="C10" s="39">
        <f t="shared" si="8"/>
        <v>3876.4404300000001</v>
      </c>
      <c r="D10" s="39">
        <f t="shared" si="8"/>
        <v>2398.1171880000002</v>
      </c>
      <c r="E10" s="39">
        <f t="shared" si="8"/>
        <v>2258.9975589999999</v>
      </c>
      <c r="F10" s="39">
        <f t="shared" si="8"/>
        <v>1620.8055420000001</v>
      </c>
      <c r="G10" s="39">
        <f t="shared" si="8"/>
        <v>1182.2508539999999</v>
      </c>
      <c r="H10" s="39">
        <f t="shared" si="8"/>
        <v>976.10180700000001</v>
      </c>
      <c r="I10" s="39">
        <f t="shared" si="8"/>
        <v>752.70507799999996</v>
      </c>
      <c r="J10" s="39">
        <f t="shared" si="8"/>
        <v>499.37896699999999</v>
      </c>
      <c r="K10" s="39">
        <f t="shared" si="8"/>
        <v>302.31201199999998</v>
      </c>
      <c r="L10" s="39">
        <f t="shared" si="2"/>
        <v>-3398.249511</v>
      </c>
    </row>
    <row r="11" spans="1:16" x14ac:dyDescent="0.3">
      <c r="A11" s="38" t="s">
        <v>478</v>
      </c>
      <c r="B11" s="98">
        <f t="shared" ref="B11:K11" si="9">SUMIFS(C$39:C$92,$A$39:$A$92,$A11)</f>
        <v>0</v>
      </c>
      <c r="C11" s="98">
        <f t="shared" si="9"/>
        <v>0</v>
      </c>
      <c r="D11" s="39">
        <f t="shared" si="9"/>
        <v>6.4829999999999997</v>
      </c>
      <c r="E11" s="98">
        <f t="shared" si="9"/>
        <v>0</v>
      </c>
      <c r="F11" s="98">
        <f t="shared" si="9"/>
        <v>0</v>
      </c>
      <c r="G11" s="39">
        <f t="shared" si="9"/>
        <v>23.246013999999999</v>
      </c>
      <c r="H11" s="39">
        <f t="shared" si="9"/>
        <v>14.154185999999999</v>
      </c>
      <c r="I11" s="39">
        <f t="shared" si="9"/>
        <v>9.3299610000000008</v>
      </c>
      <c r="J11" s="39">
        <f t="shared" si="9"/>
        <v>4.7541589999999996</v>
      </c>
      <c r="K11" s="98">
        <f t="shared" si="9"/>
        <v>0</v>
      </c>
      <c r="L11" s="39">
        <f t="shared" si="2"/>
        <v>0</v>
      </c>
    </row>
    <row r="12" spans="1:16" x14ac:dyDescent="0.3">
      <c r="A12" s="38" t="s">
        <v>329</v>
      </c>
      <c r="B12" s="39">
        <f t="shared" ref="B12:K12" si="10">SUMIFS(C$39:C$92,$A$39:$A$92,$A12)</f>
        <v>1734.20874</v>
      </c>
      <c r="C12" s="39">
        <f t="shared" si="10"/>
        <v>1538.657471</v>
      </c>
      <c r="D12" s="98">
        <f t="shared" si="10"/>
        <v>0</v>
      </c>
      <c r="E12" s="98">
        <f t="shared" si="10"/>
        <v>0</v>
      </c>
      <c r="F12" s="98">
        <f t="shared" si="10"/>
        <v>0</v>
      </c>
      <c r="G12" s="98">
        <f t="shared" si="10"/>
        <v>0</v>
      </c>
      <c r="H12" s="98">
        <f t="shared" si="10"/>
        <v>0</v>
      </c>
      <c r="I12" s="98">
        <f t="shared" si="10"/>
        <v>0</v>
      </c>
      <c r="J12" s="98">
        <f t="shared" si="10"/>
        <v>0</v>
      </c>
      <c r="K12" s="98">
        <f t="shared" si="10"/>
        <v>0</v>
      </c>
      <c r="L12" s="39">
        <f t="shared" si="2"/>
        <v>-1734.20874</v>
      </c>
    </row>
    <row r="13" spans="1:16" x14ac:dyDescent="0.3">
      <c r="A13" s="38" t="s">
        <v>477</v>
      </c>
      <c r="B13" s="98">
        <f t="shared" ref="B13:K13" si="11">SUMIFS(C$39:C$92,$A$39:$A$92,$A13)</f>
        <v>0</v>
      </c>
      <c r="C13" s="98">
        <f t="shared" si="11"/>
        <v>0</v>
      </c>
      <c r="D13" s="39">
        <f t="shared" si="11"/>
        <v>83.915290999999996</v>
      </c>
      <c r="E13" s="39">
        <f t="shared" si="11"/>
        <v>1176.8666989999999</v>
      </c>
      <c r="F13" s="39">
        <f t="shared" si="11"/>
        <v>1637.3507079999999</v>
      </c>
      <c r="G13" s="39">
        <f t="shared" si="11"/>
        <v>1577.5996090000001</v>
      </c>
      <c r="H13" s="39">
        <f t="shared" si="11"/>
        <v>1513.1655270000001</v>
      </c>
      <c r="I13" s="39">
        <f t="shared" si="11"/>
        <v>1521.4270019999999</v>
      </c>
      <c r="J13" s="39">
        <f t="shared" si="11"/>
        <v>1528.5401609999999</v>
      </c>
      <c r="K13" s="39">
        <f t="shared" si="11"/>
        <v>1512.325317</v>
      </c>
      <c r="L13" s="39">
        <f t="shared" si="2"/>
        <v>1512.325317</v>
      </c>
    </row>
    <row r="14" spans="1:16" x14ac:dyDescent="0.3">
      <c r="A14" s="38" t="s">
        <v>330</v>
      </c>
      <c r="B14" s="39">
        <f t="shared" ref="B14:K14" si="12">SUMIFS(C$39:C$92,$A$39:$A$92,$A14)</f>
        <v>1838.9316409999999</v>
      </c>
      <c r="C14" s="39">
        <f t="shared" si="12"/>
        <v>1995.398682</v>
      </c>
      <c r="D14" s="39">
        <f t="shared" si="12"/>
        <v>1094.434448</v>
      </c>
      <c r="E14" s="39">
        <f t="shared" si="12"/>
        <v>144.89494300000001</v>
      </c>
      <c r="F14" s="39">
        <f t="shared" si="12"/>
        <v>236.535889</v>
      </c>
      <c r="G14" s="39">
        <f t="shared" si="12"/>
        <v>438.95220899999998</v>
      </c>
      <c r="H14" s="39">
        <f t="shared" si="12"/>
        <v>542.90319799999997</v>
      </c>
      <c r="I14" s="39">
        <f t="shared" si="12"/>
        <v>621.05218500000001</v>
      </c>
      <c r="J14" s="39">
        <f t="shared" si="12"/>
        <v>710.76568599999996</v>
      </c>
      <c r="K14" s="39">
        <f t="shared" si="12"/>
        <v>818.39166299999999</v>
      </c>
      <c r="L14" s="39">
        <f t="shared" si="2"/>
        <v>-1020.5399779999999</v>
      </c>
    </row>
    <row r="15" spans="1:16" x14ac:dyDescent="0.3">
      <c r="A15" s="38" t="s">
        <v>331</v>
      </c>
      <c r="B15" s="39">
        <f t="shared" ref="B15:K16" si="13">SUMIFS(C$39:C$92,$A$39:$A$92,$A15)</f>
        <v>3359.173706</v>
      </c>
      <c r="C15" s="39">
        <f t="shared" si="13"/>
        <v>3341.9422610000001</v>
      </c>
      <c r="D15" s="39">
        <f t="shared" si="13"/>
        <v>2671.3028569999997</v>
      </c>
      <c r="E15" s="39">
        <f t="shared" si="13"/>
        <v>2361.2945559999998</v>
      </c>
      <c r="F15" s="39">
        <f t="shared" si="13"/>
        <v>2230.7333980000003</v>
      </c>
      <c r="G15" s="39">
        <f t="shared" si="13"/>
        <v>2228.7908929999999</v>
      </c>
      <c r="H15" s="39">
        <f t="shared" si="13"/>
        <v>2287.0611570000001</v>
      </c>
      <c r="I15" s="39">
        <f t="shared" si="13"/>
        <v>2296.3717040000001</v>
      </c>
      <c r="J15" s="39">
        <f t="shared" si="13"/>
        <v>2383.7083739999998</v>
      </c>
      <c r="K15" s="39">
        <f t="shared" si="13"/>
        <v>2455.2290039999998</v>
      </c>
      <c r="L15" s="39">
        <f t="shared" si="2"/>
        <v>-903.94470200000023</v>
      </c>
    </row>
    <row r="16" spans="1:16" x14ac:dyDescent="0.3">
      <c r="A16" s="38" t="s">
        <v>479</v>
      </c>
      <c r="B16" s="98">
        <f t="shared" si="13"/>
        <v>0</v>
      </c>
      <c r="C16" s="98">
        <f t="shared" si="13"/>
        <v>0</v>
      </c>
      <c r="D16" s="39">
        <f t="shared" si="13"/>
        <v>51.532066</v>
      </c>
      <c r="E16" s="98">
        <f t="shared" si="13"/>
        <v>0</v>
      </c>
      <c r="F16" s="98">
        <f t="shared" si="13"/>
        <v>0</v>
      </c>
      <c r="G16" s="39">
        <f t="shared" si="13"/>
        <v>21.636526</v>
      </c>
      <c r="H16" s="39">
        <f t="shared" si="13"/>
        <v>80.933334000000002</v>
      </c>
      <c r="I16" s="39">
        <f t="shared" si="13"/>
        <v>149.49989299999999</v>
      </c>
      <c r="J16" s="39">
        <f t="shared" si="13"/>
        <v>195.56668099999999</v>
      </c>
      <c r="K16" s="39">
        <f t="shared" si="13"/>
        <v>397.37936400000001</v>
      </c>
      <c r="L16" s="39">
        <f t="shared" si="2"/>
        <v>397.37936400000001</v>
      </c>
    </row>
    <row r="17" spans="1:25" x14ac:dyDescent="0.3">
      <c r="A17" s="38" t="s">
        <v>332</v>
      </c>
      <c r="B17" s="39">
        <f t="shared" ref="B17:K17" si="14">SUMIFS(C$39:C$92,$A$39:$A$92,$A17)</f>
        <v>1475.510254</v>
      </c>
      <c r="C17" s="39">
        <f t="shared" si="14"/>
        <v>1638.5507809999999</v>
      </c>
      <c r="D17" s="39">
        <f t="shared" si="14"/>
        <v>1761.539673</v>
      </c>
      <c r="E17" s="39">
        <f t="shared" si="14"/>
        <v>824.29101600000001</v>
      </c>
      <c r="F17" s="39">
        <f t="shared" si="14"/>
        <v>458.60672</v>
      </c>
      <c r="G17" s="39">
        <f t="shared" si="14"/>
        <v>328.25683600000002</v>
      </c>
      <c r="H17" s="39">
        <f t="shared" si="14"/>
        <v>413.227417</v>
      </c>
      <c r="I17" s="39">
        <f t="shared" si="14"/>
        <v>504.609467</v>
      </c>
      <c r="J17" s="39">
        <f t="shared" si="14"/>
        <v>683.76928699999996</v>
      </c>
      <c r="K17" s="39">
        <f t="shared" si="14"/>
        <v>934.16479500000003</v>
      </c>
      <c r="L17" s="39">
        <f t="shared" si="2"/>
        <v>-541.34545900000001</v>
      </c>
    </row>
    <row r="18" spans="1:25" x14ac:dyDescent="0.3">
      <c r="A18" s="38" t="s">
        <v>333</v>
      </c>
      <c r="B18" s="39">
        <f t="shared" ref="B18:K18" si="15">SUMIFS(C$39:C$92,$A$39:$A$92,$A18)</f>
        <v>6483.5434569999998</v>
      </c>
      <c r="C18" s="39">
        <f t="shared" si="15"/>
        <v>6746.2172849999997</v>
      </c>
      <c r="D18" s="39">
        <f t="shared" si="15"/>
        <v>4933.0947269999997</v>
      </c>
      <c r="E18" s="39">
        <f t="shared" si="15"/>
        <v>2615.4179690000001</v>
      </c>
      <c r="F18" s="39">
        <f t="shared" si="15"/>
        <v>1326.0561520000001</v>
      </c>
      <c r="G18" s="39">
        <f t="shared" si="15"/>
        <v>409.58792099999999</v>
      </c>
      <c r="H18" s="39">
        <f t="shared" si="15"/>
        <v>307.50512700000002</v>
      </c>
      <c r="I18" s="39">
        <f t="shared" si="15"/>
        <v>242.79451</v>
      </c>
      <c r="J18" s="39">
        <f t="shared" si="15"/>
        <v>213.944366</v>
      </c>
      <c r="K18" s="39">
        <f t="shared" si="15"/>
        <v>156.92057800000001</v>
      </c>
      <c r="L18" s="39">
        <f t="shared" si="2"/>
        <v>-6326.6228789999996</v>
      </c>
    </row>
    <row r="19" spans="1:25" x14ac:dyDescent="0.3">
      <c r="A19" s="38" t="s">
        <v>334</v>
      </c>
      <c r="B19" s="39">
        <f t="shared" ref="B19:K19" si="16">SUMIFS(C$39:C$92,$A$39:$A$92,$A19)</f>
        <v>2421.6516109999998</v>
      </c>
      <c r="C19" s="39">
        <f t="shared" si="16"/>
        <v>2465.9499510000001</v>
      </c>
      <c r="D19" s="39">
        <f t="shared" si="16"/>
        <v>991.18121299999996</v>
      </c>
      <c r="E19" s="39">
        <f t="shared" si="16"/>
        <v>1547.4204099999999</v>
      </c>
      <c r="F19" s="39">
        <f t="shared" si="16"/>
        <v>1411.744263</v>
      </c>
      <c r="G19" s="39">
        <f t="shared" si="16"/>
        <v>1159.448486</v>
      </c>
      <c r="H19" s="39">
        <f t="shared" si="16"/>
        <v>968.39269999999999</v>
      </c>
      <c r="I19" s="39">
        <f t="shared" si="16"/>
        <v>863.72393799999998</v>
      </c>
      <c r="J19" s="39">
        <f t="shared" si="16"/>
        <v>646.71844499999997</v>
      </c>
      <c r="K19" s="39">
        <f t="shared" si="16"/>
        <v>490.46365400000002</v>
      </c>
      <c r="L19" s="39">
        <f t="shared" si="2"/>
        <v>-1931.1879569999996</v>
      </c>
    </row>
    <row r="20" spans="1:25" x14ac:dyDescent="0.3">
      <c r="A20" s="38" t="s">
        <v>335</v>
      </c>
      <c r="B20" s="39">
        <f t="shared" ref="B20:K20" si="17">SUMIFS(C$39:C$92,$A$39:$A$92,$A20)</f>
        <v>392.00698799999998</v>
      </c>
      <c r="C20" s="39">
        <f t="shared" si="17"/>
        <v>288.185654</v>
      </c>
      <c r="D20" s="39">
        <f t="shared" si="17"/>
        <v>925.73568699999998</v>
      </c>
      <c r="E20" s="39">
        <f t="shared" si="17"/>
        <v>330.61511999999999</v>
      </c>
      <c r="F20" s="39">
        <f t="shared" si="17"/>
        <v>280.49626000000001</v>
      </c>
      <c r="G20" s="39">
        <f t="shared" si="17"/>
        <v>266.21397000000002</v>
      </c>
      <c r="H20" s="39">
        <f t="shared" si="17"/>
        <v>185.26766000000001</v>
      </c>
      <c r="I20" s="39">
        <f t="shared" si="17"/>
        <v>133.50717999999998</v>
      </c>
      <c r="J20" s="39">
        <f t="shared" si="17"/>
        <v>41.501949000000003</v>
      </c>
      <c r="K20" s="39">
        <f t="shared" si="17"/>
        <v>3.429176</v>
      </c>
      <c r="L20" s="39">
        <f t="shared" si="2"/>
        <v>-388.57781199999999</v>
      </c>
      <c r="V20" s="41" t="s">
        <v>336</v>
      </c>
    </row>
    <row r="21" spans="1:25" x14ac:dyDescent="0.3">
      <c r="A21" s="38" t="s">
        <v>337</v>
      </c>
      <c r="B21" s="39">
        <f t="shared" ref="B21:K21" si="18">SUMIFS(C$39:C$92,$A$39:$A$92,$A21)</f>
        <v>1751.991974</v>
      </c>
      <c r="C21" s="39">
        <f t="shared" si="18"/>
        <v>1776.8449559999999</v>
      </c>
      <c r="D21" s="39">
        <f t="shared" si="18"/>
        <v>1689.8249059999998</v>
      </c>
      <c r="E21" s="39">
        <f t="shared" si="18"/>
        <v>2323.8833009999998</v>
      </c>
      <c r="F21" s="39">
        <f t="shared" si="18"/>
        <v>2307.387146</v>
      </c>
      <c r="G21" s="39">
        <f t="shared" si="18"/>
        <v>2288.0344850000001</v>
      </c>
      <c r="H21" s="39">
        <f t="shared" si="18"/>
        <v>2376.2981570000002</v>
      </c>
      <c r="I21" s="39">
        <f t="shared" si="18"/>
        <v>2420.3849490000002</v>
      </c>
      <c r="J21" s="39">
        <f t="shared" si="18"/>
        <v>2540.7352300000002</v>
      </c>
      <c r="K21" s="39">
        <f t="shared" si="18"/>
        <v>2679.5755010000003</v>
      </c>
      <c r="L21" s="39">
        <f t="shared" si="2"/>
        <v>927.58352700000023</v>
      </c>
    </row>
    <row r="22" spans="1:25" x14ac:dyDescent="0.3">
      <c r="B22" s="42"/>
      <c r="C22" s="42"/>
      <c r="D22" s="42"/>
      <c r="E22" s="42"/>
      <c r="F22" s="42"/>
      <c r="G22" s="42"/>
      <c r="H22" s="42"/>
      <c r="I22" s="42"/>
      <c r="J22" s="42"/>
      <c r="K22" s="42"/>
      <c r="L22" s="39"/>
    </row>
    <row r="23" spans="1:25" ht="15.6" x14ac:dyDescent="0.3">
      <c r="A23" s="43" t="s">
        <v>470</v>
      </c>
      <c r="B23" s="39">
        <f t="shared" ref="B23:K23" si="19">SUMIFS(C$39:C$92,$A$39:$A$92,$A23)</f>
        <v>212.44700599999999</v>
      </c>
      <c r="C23" s="39">
        <f t="shared" si="19"/>
        <v>228.65194700000001</v>
      </c>
      <c r="D23" s="39">
        <f t="shared" si="19"/>
        <v>133.79437300000001</v>
      </c>
      <c r="E23" s="39">
        <f t="shared" si="19"/>
        <v>87.592781000000002</v>
      </c>
      <c r="F23" s="39">
        <f t="shared" si="19"/>
        <v>80.620498999999995</v>
      </c>
      <c r="G23" s="39">
        <f t="shared" si="19"/>
        <v>83.207558000000006</v>
      </c>
      <c r="H23" s="39">
        <f t="shared" si="19"/>
        <v>83.897675000000007</v>
      </c>
      <c r="I23" s="39">
        <f t="shared" si="19"/>
        <v>84.144767999999999</v>
      </c>
      <c r="J23" s="39">
        <f t="shared" si="19"/>
        <v>83.890495000000001</v>
      </c>
      <c r="K23" s="39">
        <f t="shared" si="19"/>
        <v>84.600791999999998</v>
      </c>
      <c r="L23" s="39">
        <f t="shared" si="2"/>
        <v>-127.84621399999999</v>
      </c>
      <c r="V23" s="44" t="s">
        <v>338</v>
      </c>
    </row>
    <row r="24" spans="1:25" ht="15.6" x14ac:dyDescent="0.3">
      <c r="A24" s="43" t="s">
        <v>471</v>
      </c>
      <c r="B24" s="39">
        <f t="shared" ref="B24:K24" si="20">SUMIFS(C$39:C$92,$A$39:$A$92,$A24)</f>
        <v>434.52600100000001</v>
      </c>
      <c r="C24" s="39">
        <f t="shared" si="20"/>
        <v>324.50353999999999</v>
      </c>
      <c r="D24" s="39">
        <f t="shared" si="20"/>
        <v>0</v>
      </c>
      <c r="E24" s="39">
        <f t="shared" si="20"/>
        <v>0</v>
      </c>
      <c r="F24" s="39">
        <f t="shared" si="20"/>
        <v>0</v>
      </c>
      <c r="G24" s="39">
        <f t="shared" si="20"/>
        <v>0</v>
      </c>
      <c r="H24" s="39">
        <f t="shared" si="20"/>
        <v>0</v>
      </c>
      <c r="I24" s="39">
        <f t="shared" si="20"/>
        <v>0</v>
      </c>
      <c r="J24" s="39">
        <f t="shared" si="20"/>
        <v>0</v>
      </c>
      <c r="K24" s="39">
        <f t="shared" si="20"/>
        <v>0</v>
      </c>
      <c r="L24" s="39">
        <f t="shared" si="2"/>
        <v>-434.52600100000001</v>
      </c>
      <c r="V24" s="45" t="s">
        <v>339</v>
      </c>
    </row>
    <row r="25" spans="1:25" x14ac:dyDescent="0.3">
      <c r="A25" s="38" t="s">
        <v>474</v>
      </c>
      <c r="B25" s="39">
        <f t="shared" ref="B25:K25" si="21">SUMIFS(C$39:C$92,$A$39:$A$92,$A25)</f>
        <v>1862.310547</v>
      </c>
      <c r="C25" s="39">
        <f t="shared" si="21"/>
        <v>1884.2111809999999</v>
      </c>
      <c r="D25" s="39">
        <f t="shared" si="21"/>
        <v>1162.2148440000001</v>
      </c>
      <c r="E25" s="39">
        <f t="shared" si="21"/>
        <v>999.65997300000004</v>
      </c>
      <c r="F25" s="39">
        <f t="shared" si="21"/>
        <v>931.30200200000002</v>
      </c>
      <c r="G25" s="39">
        <f t="shared" si="21"/>
        <v>850.40728799999999</v>
      </c>
      <c r="H25" s="39">
        <f t="shared" si="21"/>
        <v>783.499146</v>
      </c>
      <c r="I25" s="39">
        <f t="shared" si="21"/>
        <v>678.94689900000003</v>
      </c>
      <c r="J25" s="39">
        <f t="shared" si="21"/>
        <v>522.33105499999999</v>
      </c>
      <c r="K25" s="39">
        <f t="shared" si="21"/>
        <v>290.64163200000002</v>
      </c>
      <c r="L25" s="39">
        <f t="shared" si="2"/>
        <v>-1571.668915</v>
      </c>
    </row>
    <row r="26" spans="1:25" x14ac:dyDescent="0.3">
      <c r="A26" s="38" t="s">
        <v>480</v>
      </c>
      <c r="B26" s="39">
        <f t="shared" ref="B26:K26" si="22">SUMIFS(C$39:C$92,$A$39:$A$92,$A26)</f>
        <v>33.186461999999999</v>
      </c>
      <c r="C26" s="39">
        <f t="shared" si="22"/>
        <v>20.10022</v>
      </c>
      <c r="D26" s="39">
        <f t="shared" si="22"/>
        <v>25.572745999999999</v>
      </c>
      <c r="E26" s="39">
        <f t="shared" si="22"/>
        <v>571.06994599999996</v>
      </c>
      <c r="F26" s="39">
        <f t="shared" si="22"/>
        <v>529.08886700000005</v>
      </c>
      <c r="G26" s="39">
        <f t="shared" si="22"/>
        <v>436.24896200000001</v>
      </c>
      <c r="H26" s="39">
        <f t="shared" si="22"/>
        <v>354.38363600000002</v>
      </c>
      <c r="I26" s="39">
        <f t="shared" si="22"/>
        <v>250.61051900000001</v>
      </c>
      <c r="J26" s="39">
        <f t="shared" si="22"/>
        <v>139.32092299999999</v>
      </c>
      <c r="K26" s="39">
        <f t="shared" si="22"/>
        <v>51.989910000000002</v>
      </c>
      <c r="L26" s="39">
        <f t="shared" si="2"/>
        <v>18.803448000000003</v>
      </c>
    </row>
    <row r="27" spans="1:25" x14ac:dyDescent="0.3">
      <c r="A27" s="38" t="s">
        <v>481</v>
      </c>
      <c r="B27" s="39">
        <f t="shared" ref="B27:K27" si="23">SUMIFS(C$39:C$92,$A$39:$A$92,$A27)</f>
        <v>1041.1640319999999</v>
      </c>
      <c r="C27" s="39">
        <f t="shared" si="23"/>
        <v>920.01010100000008</v>
      </c>
      <c r="D27" s="39">
        <f t="shared" si="23"/>
        <v>1103.5585940000001</v>
      </c>
      <c r="E27" s="39">
        <f t="shared" si="23"/>
        <v>989.01171900000008</v>
      </c>
      <c r="F27" s="39">
        <f t="shared" si="23"/>
        <v>978.49557500000003</v>
      </c>
      <c r="G27" s="39">
        <f t="shared" si="23"/>
        <v>949.57525600000008</v>
      </c>
      <c r="H27" s="39">
        <f t="shared" si="23"/>
        <v>929.114777</v>
      </c>
      <c r="I27" s="39">
        <f t="shared" si="23"/>
        <v>871.62527499999999</v>
      </c>
      <c r="J27" s="39">
        <f t="shared" si="23"/>
        <v>795.86351100000002</v>
      </c>
      <c r="K27" s="39">
        <f t="shared" si="23"/>
        <v>679.67634599999997</v>
      </c>
      <c r="L27" s="39">
        <f t="shared" si="2"/>
        <v>-361.48768599999994</v>
      </c>
    </row>
    <row r="28" spans="1:25" x14ac:dyDescent="0.3">
      <c r="B28" s="95">
        <f t="shared" ref="B28:K28" si="24">SUM(B3:B27)</f>
        <v>28946.100234000001</v>
      </c>
      <c r="C28" s="95">
        <f t="shared" si="24"/>
        <v>29153.900238999999</v>
      </c>
      <c r="D28" s="95">
        <f t="shared" si="24"/>
        <v>21503.413289999997</v>
      </c>
      <c r="E28" s="95">
        <f t="shared" si="24"/>
        <v>20257.755616000002</v>
      </c>
      <c r="F28" s="95">
        <f t="shared" si="24"/>
        <v>20991.446898000002</v>
      </c>
      <c r="G28" s="95">
        <f t="shared" si="24"/>
        <v>21853.669451999998</v>
      </c>
      <c r="H28" s="95">
        <f t="shared" si="24"/>
        <v>22441.812463999999</v>
      </c>
      <c r="I28" s="95">
        <f t="shared" si="24"/>
        <v>22979.215514999996</v>
      </c>
      <c r="J28" s="95">
        <f t="shared" si="24"/>
        <v>23792.177442</v>
      </c>
      <c r="K28" s="95">
        <f t="shared" si="24"/>
        <v>25006.780652000005</v>
      </c>
    </row>
    <row r="29" spans="1:25" x14ac:dyDescent="0.3">
      <c r="B29" s="96">
        <f>SUM(C39:C92)-C91-C87</f>
        <v>28946.100234000005</v>
      </c>
      <c r="C29" s="96">
        <f t="shared" ref="C29:J29" si="25">SUM(D39:D92)-D91-D87</f>
        <v>29153.900238999999</v>
      </c>
      <c r="D29" s="96">
        <f>SUM(E39:E92)-E91-E87</f>
        <v>21503.413289999997</v>
      </c>
      <c r="E29" s="96">
        <f t="shared" si="25"/>
        <v>20257.755615999999</v>
      </c>
      <c r="F29" s="96">
        <f t="shared" si="25"/>
        <v>20991.446897999995</v>
      </c>
      <c r="G29" s="96">
        <f t="shared" si="25"/>
        <v>21853.669452000002</v>
      </c>
      <c r="H29" s="96">
        <f t="shared" si="25"/>
        <v>22441.812463999999</v>
      </c>
      <c r="I29" s="96">
        <f t="shared" si="25"/>
        <v>22979.215515</v>
      </c>
      <c r="J29" s="96">
        <f t="shared" si="25"/>
        <v>23792.177442</v>
      </c>
      <c r="K29" s="96">
        <f>SUM(L39:L92)-L91-L87</f>
        <v>25006.780652000005</v>
      </c>
    </row>
    <row r="30" spans="1:25" x14ac:dyDescent="0.3">
      <c r="B30" s="97">
        <f>B29-B28</f>
        <v>0</v>
      </c>
      <c r="C30" s="97">
        <f t="shared" ref="C30:J30" si="26">C29-C28</f>
        <v>0</v>
      </c>
      <c r="D30" s="97">
        <f>D29-D28</f>
        <v>0</v>
      </c>
      <c r="E30" s="97">
        <f t="shared" si="26"/>
        <v>0</v>
      </c>
      <c r="F30" s="97">
        <f t="shared" si="26"/>
        <v>0</v>
      </c>
      <c r="G30" s="97">
        <f t="shared" si="26"/>
        <v>0</v>
      </c>
      <c r="H30" s="97">
        <f t="shared" si="26"/>
        <v>0</v>
      </c>
      <c r="I30" s="97">
        <f t="shared" si="26"/>
        <v>0</v>
      </c>
      <c r="J30" s="97">
        <f t="shared" si="26"/>
        <v>0</v>
      </c>
      <c r="K30" s="97">
        <f>K29-K28</f>
        <v>0</v>
      </c>
    </row>
    <row r="31" spans="1:25" x14ac:dyDescent="0.3">
      <c r="U31" s="47"/>
    </row>
    <row r="32" spans="1:25" x14ac:dyDescent="0.3">
      <c r="U32" s="49"/>
      <c r="V32" s="49"/>
      <c r="W32" s="49"/>
      <c r="X32" s="49"/>
      <c r="Y32" s="49"/>
    </row>
    <row r="33" spans="1:30" ht="18" x14ac:dyDescent="0.3">
      <c r="B33" s="94" t="s">
        <v>345</v>
      </c>
      <c r="C33" s="94"/>
      <c r="D33" s="94"/>
      <c r="E33" s="94"/>
      <c r="F33" s="94"/>
      <c r="G33" s="94"/>
      <c r="H33" s="94"/>
      <c r="I33" s="94"/>
      <c r="J33" s="94"/>
      <c r="K33" s="80"/>
      <c r="L33" s="80"/>
      <c r="M33" s="80"/>
      <c r="R33" s="49"/>
    </row>
    <row r="34" spans="1:30" ht="18" x14ac:dyDescent="0.3">
      <c r="B34" s="94" t="s">
        <v>346</v>
      </c>
      <c r="C34" s="94"/>
      <c r="D34" s="94"/>
      <c r="E34" s="94"/>
      <c r="F34" s="94"/>
      <c r="G34" s="94"/>
      <c r="H34" s="94"/>
      <c r="I34" s="94"/>
      <c r="J34" s="94"/>
      <c r="K34" s="80"/>
      <c r="L34" s="80"/>
      <c r="M34" s="80"/>
      <c r="V34" s="51"/>
      <c r="W34" s="51"/>
      <c r="X34" s="51"/>
      <c r="Y34" s="51"/>
      <c r="Z34" s="51"/>
      <c r="AA34" s="49"/>
    </row>
    <row r="35" spans="1:30" x14ac:dyDescent="0.3">
      <c r="B35" s="81"/>
      <c r="C35" s="81"/>
      <c r="D35" s="81"/>
      <c r="E35" s="80"/>
      <c r="F35" s="80"/>
      <c r="G35" s="80"/>
      <c r="H35" s="80"/>
      <c r="I35" s="80"/>
      <c r="J35" s="80"/>
      <c r="K35" s="80"/>
      <c r="L35" s="80"/>
      <c r="M35" s="80"/>
      <c r="O35" s="52"/>
      <c r="R35" s="51"/>
      <c r="V35" s="51"/>
      <c r="W35" s="51"/>
      <c r="X35" s="51"/>
      <c r="Y35" s="51"/>
      <c r="Z35" s="51"/>
    </row>
    <row r="36" spans="1:30" x14ac:dyDescent="0.3">
      <c r="B36" s="81"/>
      <c r="C36" s="53">
        <v>2010</v>
      </c>
      <c r="D36" s="53">
        <v>2011</v>
      </c>
      <c r="E36" s="49" t="s">
        <v>90</v>
      </c>
      <c r="F36" s="49" t="s">
        <v>91</v>
      </c>
      <c r="G36" s="49" t="s">
        <v>92</v>
      </c>
      <c r="H36" s="49" t="s">
        <v>93</v>
      </c>
      <c r="I36" s="80">
        <v>2035</v>
      </c>
      <c r="J36" s="80">
        <v>2040</v>
      </c>
      <c r="K36" s="80">
        <v>2045</v>
      </c>
      <c r="L36" s="80">
        <v>2050</v>
      </c>
      <c r="M36" s="80">
        <v>2055</v>
      </c>
      <c r="O36" s="49"/>
      <c r="P36" s="49"/>
      <c r="Q36" s="49"/>
      <c r="R36" s="54"/>
      <c r="S36" s="48"/>
      <c r="T36" s="55"/>
      <c r="U36" s="49"/>
      <c r="AA36" s="51"/>
      <c r="AB36" s="49"/>
      <c r="AC36" s="49"/>
    </row>
    <row r="37" spans="1:30" x14ac:dyDescent="0.3">
      <c r="B37" s="81"/>
      <c r="C37" s="81"/>
      <c r="D37" s="81"/>
      <c r="E37" s="80"/>
      <c r="F37" s="80"/>
      <c r="G37" s="80"/>
      <c r="H37" s="80"/>
      <c r="I37" s="80"/>
      <c r="J37" s="80"/>
      <c r="K37" s="80"/>
      <c r="L37" s="80"/>
      <c r="M37" s="80"/>
      <c r="AA37" s="51"/>
    </row>
    <row r="38" spans="1:30" x14ac:dyDescent="0.3">
      <c r="B38" s="82" t="s">
        <v>347</v>
      </c>
      <c r="C38" s="81"/>
      <c r="D38" s="81"/>
      <c r="E38" s="80"/>
      <c r="F38" s="80"/>
      <c r="G38" s="80"/>
      <c r="H38" s="80"/>
      <c r="I38" s="80"/>
      <c r="J38" s="80"/>
      <c r="K38" s="80"/>
      <c r="L38" s="80"/>
      <c r="M38" s="80"/>
      <c r="N38" s="78"/>
      <c r="O38" s="53"/>
      <c r="P38" s="53"/>
      <c r="Q38" s="49"/>
      <c r="R38" s="49"/>
      <c r="S38" s="49"/>
      <c r="T38" s="49"/>
      <c r="W38" s="51"/>
      <c r="X38" s="51"/>
      <c r="Y38" s="51"/>
      <c r="Z38" s="51"/>
      <c r="AB38" s="51"/>
      <c r="AC38" s="51"/>
      <c r="AD38" s="49"/>
    </row>
    <row r="39" spans="1:30" x14ac:dyDescent="0.3">
      <c r="A39" s="38" t="s">
        <v>325</v>
      </c>
      <c r="B39" s="83" t="s">
        <v>348</v>
      </c>
      <c r="C39" s="84">
        <v>803.28790300000003</v>
      </c>
      <c r="D39" s="85">
        <v>890.94683799999996</v>
      </c>
      <c r="E39" s="85">
        <v>870.14172399999995</v>
      </c>
      <c r="F39" s="85">
        <v>719.433899</v>
      </c>
      <c r="G39" s="85">
        <v>735.69470200000001</v>
      </c>
      <c r="H39" s="85">
        <v>767.86968999999999</v>
      </c>
      <c r="I39" s="85">
        <v>783.24163799999997</v>
      </c>
      <c r="J39" s="85">
        <v>809.85528599999998</v>
      </c>
      <c r="K39" s="86">
        <v>839.76568599999996</v>
      </c>
      <c r="L39" s="86">
        <v>882.52020300000004</v>
      </c>
      <c r="M39" s="86">
        <f t="shared" ref="M39:M40" si="27">L39*(AVERAGE((L39/K39),(K39/J39)))</f>
        <v>921.28289716202642</v>
      </c>
      <c r="N39" s="79"/>
      <c r="O39" s="56"/>
      <c r="P39" s="56"/>
      <c r="Q39" s="56"/>
      <c r="R39" s="56"/>
      <c r="S39" s="56"/>
      <c r="T39" s="56"/>
      <c r="U39" s="56"/>
      <c r="V39" s="56"/>
      <c r="W39" s="51"/>
      <c r="X39" s="51"/>
      <c r="Y39" s="51"/>
      <c r="Z39" s="51"/>
      <c r="AB39" s="51"/>
      <c r="AC39" s="51"/>
    </row>
    <row r="40" spans="1:30" x14ac:dyDescent="0.3">
      <c r="A40" s="38" t="s">
        <v>470</v>
      </c>
      <c r="B40" s="87" t="s">
        <v>349</v>
      </c>
      <c r="C40" s="88">
        <v>212.44700599999999</v>
      </c>
      <c r="D40" s="89">
        <v>228.65194700000001</v>
      </c>
      <c r="E40" s="89">
        <v>133.79437300000001</v>
      </c>
      <c r="F40" s="89">
        <v>87.592781000000002</v>
      </c>
      <c r="G40" s="89">
        <v>80.620498999999995</v>
      </c>
      <c r="H40" s="89">
        <v>83.207558000000006</v>
      </c>
      <c r="I40" s="89">
        <v>83.897675000000007</v>
      </c>
      <c r="J40" s="89">
        <v>84.144767999999999</v>
      </c>
      <c r="K40" s="90">
        <v>83.890495000000001</v>
      </c>
      <c r="L40" s="90">
        <v>84.600791999999998</v>
      </c>
      <c r="M40" s="90">
        <f t="shared" si="27"/>
        <v>84.831122007750565</v>
      </c>
      <c r="N40" s="79"/>
      <c r="O40" s="57"/>
      <c r="P40" s="57"/>
      <c r="Q40" s="57"/>
      <c r="R40" s="57"/>
      <c r="S40" s="57"/>
      <c r="T40" s="57"/>
      <c r="U40" s="57"/>
      <c r="V40" s="57"/>
      <c r="W40" s="51"/>
      <c r="X40" s="51"/>
      <c r="Y40" s="51"/>
      <c r="Z40" s="51"/>
      <c r="AA40" s="51"/>
      <c r="AD40" s="51"/>
    </row>
    <row r="41" spans="1:30" x14ac:dyDescent="0.3">
      <c r="A41" s="38"/>
      <c r="B41" s="83"/>
      <c r="C41" s="80"/>
      <c r="D41" s="85"/>
      <c r="E41" s="85"/>
      <c r="F41" s="85"/>
      <c r="G41" s="85"/>
      <c r="H41" s="85"/>
      <c r="I41" s="85"/>
      <c r="J41" s="85"/>
      <c r="K41" s="80"/>
      <c r="L41" s="80"/>
      <c r="M41" s="80"/>
      <c r="AA41" s="51"/>
      <c r="AD41" s="51"/>
    </row>
    <row r="42" spans="1:30" x14ac:dyDescent="0.3">
      <c r="A42" s="38"/>
      <c r="B42" s="82" t="s">
        <v>350</v>
      </c>
      <c r="C42" s="80"/>
      <c r="D42" s="85"/>
      <c r="E42" s="85"/>
      <c r="F42" s="85"/>
      <c r="G42" s="85"/>
      <c r="H42" s="85"/>
      <c r="I42" s="85"/>
      <c r="J42" s="85"/>
      <c r="K42" s="80"/>
      <c r="L42" s="80"/>
      <c r="M42" s="80"/>
      <c r="O42" s="51"/>
      <c r="P42" s="51"/>
      <c r="Q42" s="51"/>
      <c r="R42" s="51"/>
      <c r="S42" s="51"/>
      <c r="T42" s="51"/>
      <c r="U42" s="51"/>
      <c r="V42" s="51"/>
      <c r="AA42" s="51"/>
      <c r="AB42" s="51"/>
      <c r="AC42" s="51"/>
    </row>
    <row r="43" spans="1:30" x14ac:dyDescent="0.3">
      <c r="A43" s="38" t="s">
        <v>326</v>
      </c>
      <c r="B43" s="83" t="s">
        <v>351</v>
      </c>
      <c r="C43" s="84">
        <v>635.06726100000003</v>
      </c>
      <c r="D43" s="85">
        <v>556.97540300000003</v>
      </c>
      <c r="E43" s="85"/>
      <c r="F43" s="85"/>
      <c r="G43" s="85"/>
      <c r="H43" s="85"/>
      <c r="I43" s="85"/>
      <c r="J43" s="85"/>
      <c r="K43" s="86"/>
      <c r="L43" s="86"/>
      <c r="M43" s="86"/>
      <c r="O43" s="56"/>
      <c r="P43" s="56"/>
      <c r="Q43" s="56"/>
      <c r="R43" s="56"/>
      <c r="S43" s="56"/>
      <c r="T43" s="56"/>
      <c r="U43" s="56"/>
      <c r="V43" s="56"/>
      <c r="W43" s="51"/>
      <c r="X43" s="51"/>
      <c r="Y43" s="51"/>
      <c r="Z43" s="51"/>
      <c r="AB43" s="51"/>
      <c r="AC43" s="51"/>
    </row>
    <row r="44" spans="1:30" x14ac:dyDescent="0.3">
      <c r="A44" s="38" t="s">
        <v>329</v>
      </c>
      <c r="B44" s="83" t="s">
        <v>352</v>
      </c>
      <c r="C44" s="84">
        <v>1734.20874</v>
      </c>
      <c r="D44" s="85">
        <v>1538.657471</v>
      </c>
      <c r="E44" s="85"/>
      <c r="F44" s="85"/>
      <c r="G44" s="85"/>
      <c r="H44" s="85"/>
      <c r="I44" s="85"/>
      <c r="J44" s="85"/>
      <c r="K44" s="86"/>
      <c r="L44" s="86"/>
      <c r="M44" s="86"/>
      <c r="O44" s="56"/>
      <c r="P44" s="56"/>
      <c r="Q44" s="56"/>
      <c r="R44" s="56"/>
      <c r="S44" s="56"/>
      <c r="T44" s="56"/>
      <c r="U44" s="56"/>
      <c r="V44" s="56"/>
      <c r="W44" s="51"/>
      <c r="X44" s="51"/>
      <c r="Y44" s="51"/>
      <c r="Z44" s="51"/>
      <c r="AB44" s="51"/>
      <c r="AC44" s="51"/>
      <c r="AD44" s="51"/>
    </row>
    <row r="45" spans="1:30" x14ac:dyDescent="0.3">
      <c r="A45" s="38" t="s">
        <v>471</v>
      </c>
      <c r="B45" s="87" t="s">
        <v>349</v>
      </c>
      <c r="C45" s="88">
        <v>434.52600100000001</v>
      </c>
      <c r="D45" s="89">
        <v>324.50353999999999</v>
      </c>
      <c r="E45" s="89"/>
      <c r="F45" s="89"/>
      <c r="G45" s="89"/>
      <c r="H45" s="89"/>
      <c r="I45" s="89"/>
      <c r="J45" s="89"/>
      <c r="K45" s="90"/>
      <c r="L45" s="90"/>
      <c r="M45" s="90"/>
      <c r="O45" s="57"/>
      <c r="P45" s="57"/>
      <c r="Q45" s="57"/>
      <c r="R45" s="57"/>
      <c r="S45" s="57"/>
      <c r="T45" s="57"/>
      <c r="U45" s="57"/>
      <c r="V45" s="57"/>
      <c r="AA45" s="51"/>
      <c r="AD45" s="51"/>
    </row>
    <row r="46" spans="1:30" x14ac:dyDescent="0.3">
      <c r="A46" s="38"/>
      <c r="B46" s="83"/>
      <c r="C46" s="80"/>
      <c r="D46" s="85"/>
      <c r="E46" s="85"/>
      <c r="F46" s="85"/>
      <c r="G46" s="85"/>
      <c r="H46" s="85"/>
      <c r="I46" s="85"/>
      <c r="J46" s="85"/>
      <c r="K46" s="80"/>
      <c r="L46" s="80"/>
      <c r="M46" s="80"/>
      <c r="AA46" s="51"/>
      <c r="AD46" s="51"/>
    </row>
    <row r="47" spans="1:30" x14ac:dyDescent="0.3">
      <c r="A47" s="38"/>
      <c r="B47" s="82" t="s">
        <v>353</v>
      </c>
      <c r="C47" s="80"/>
      <c r="D47" s="85"/>
      <c r="E47" s="85"/>
      <c r="F47" s="85"/>
      <c r="G47" s="85"/>
      <c r="H47" s="85"/>
      <c r="I47" s="85"/>
      <c r="J47" s="85"/>
      <c r="K47" s="80"/>
      <c r="L47" s="80"/>
      <c r="M47" s="80"/>
      <c r="N47" s="78"/>
      <c r="O47" s="51"/>
      <c r="P47" s="51"/>
      <c r="Q47" s="51"/>
      <c r="R47" s="51"/>
      <c r="S47" s="51"/>
      <c r="T47" s="51"/>
      <c r="U47" s="51"/>
      <c r="V47" s="51"/>
      <c r="W47" s="51"/>
      <c r="X47" s="51"/>
      <c r="Y47" s="51"/>
      <c r="Z47" s="51"/>
      <c r="AB47" s="51"/>
      <c r="AC47" s="51"/>
    </row>
    <row r="48" spans="1:30" x14ac:dyDescent="0.3">
      <c r="A48" s="38" t="s">
        <v>472</v>
      </c>
      <c r="B48" s="91" t="s">
        <v>340</v>
      </c>
      <c r="C48" s="80"/>
      <c r="D48" s="85"/>
      <c r="E48" s="85">
        <v>382.12701399999997</v>
      </c>
      <c r="F48" s="85">
        <v>993.61163299999998</v>
      </c>
      <c r="G48" s="85">
        <v>1859.9990230000001</v>
      </c>
      <c r="H48" s="85">
        <v>3636.8315429999998</v>
      </c>
      <c r="I48" s="85">
        <v>4410.2060549999997</v>
      </c>
      <c r="J48" s="85">
        <v>5226.0234380000002</v>
      </c>
      <c r="K48" s="80">
        <v>6076.4628910000001</v>
      </c>
      <c r="L48" s="80">
        <v>7016.3173829999996</v>
      </c>
      <c r="M48" s="80"/>
      <c r="N48" s="79"/>
      <c r="O48" s="51"/>
      <c r="P48" s="51"/>
      <c r="Q48" s="51"/>
      <c r="R48" s="51"/>
      <c r="S48" s="51"/>
      <c r="T48" s="51"/>
      <c r="U48" s="51"/>
      <c r="V48" s="51"/>
      <c r="W48" s="51"/>
      <c r="X48" s="51"/>
      <c r="Y48" s="51"/>
      <c r="Z48" s="51"/>
      <c r="AB48" s="51"/>
      <c r="AC48" s="51"/>
    </row>
    <row r="49" spans="1:30" x14ac:dyDescent="0.3">
      <c r="A49" s="38" t="s">
        <v>328</v>
      </c>
      <c r="B49" s="83" t="s">
        <v>354</v>
      </c>
      <c r="C49" s="84">
        <v>3700.5615229999999</v>
      </c>
      <c r="D49" s="85">
        <v>3876.4404300000001</v>
      </c>
      <c r="E49" s="85">
        <v>2398.1171880000002</v>
      </c>
      <c r="F49" s="85">
        <v>2258.9975589999999</v>
      </c>
      <c r="G49" s="85">
        <v>1620.8055420000001</v>
      </c>
      <c r="H49" s="85">
        <v>1182.2508539999999</v>
      </c>
      <c r="I49" s="85">
        <v>976.10180700000001</v>
      </c>
      <c r="J49" s="85">
        <v>752.70507799999996</v>
      </c>
      <c r="K49" s="86">
        <v>499.37896699999999</v>
      </c>
      <c r="L49" s="86">
        <v>302.31201199999998</v>
      </c>
      <c r="M49" s="86">
        <f t="shared" ref="M49:M50" si="28">L49*(AVERAGE((L49/K49),(K49/J49)))</f>
        <v>191.79001550337378</v>
      </c>
      <c r="N49" s="79"/>
      <c r="O49" s="56"/>
      <c r="P49" s="56"/>
      <c r="Q49" s="56"/>
      <c r="R49" s="56"/>
      <c r="S49" s="56"/>
      <c r="T49" s="56"/>
      <c r="U49" s="56"/>
      <c r="V49" s="56"/>
      <c r="W49" s="51"/>
      <c r="X49" s="51"/>
      <c r="Y49" s="51"/>
      <c r="Z49" s="51"/>
      <c r="AB49" s="51"/>
      <c r="AC49" s="51"/>
    </row>
    <row r="50" spans="1:30" x14ac:dyDescent="0.3">
      <c r="A50" s="38" t="s">
        <v>330</v>
      </c>
      <c r="B50" s="83" t="s">
        <v>355</v>
      </c>
      <c r="C50" s="84">
        <v>1838.9316409999999</v>
      </c>
      <c r="D50" s="85">
        <v>1995.398682</v>
      </c>
      <c r="E50" s="85">
        <v>1094.434448</v>
      </c>
      <c r="F50" s="85">
        <v>144.89494300000001</v>
      </c>
      <c r="G50" s="85">
        <v>236.535889</v>
      </c>
      <c r="H50" s="85">
        <v>438.95220899999998</v>
      </c>
      <c r="I50" s="85">
        <v>542.90319799999997</v>
      </c>
      <c r="J50" s="85">
        <v>621.05218500000001</v>
      </c>
      <c r="K50" s="86">
        <v>710.76568599999996</v>
      </c>
      <c r="L50" s="86">
        <v>818.39166299999999</v>
      </c>
      <c r="M50" s="86">
        <f t="shared" si="28"/>
        <v>939.46314681927038</v>
      </c>
      <c r="N50" s="79"/>
      <c r="O50" s="56"/>
      <c r="P50" s="56"/>
      <c r="Q50" s="56"/>
      <c r="R50" s="56"/>
      <c r="S50" s="56"/>
      <c r="T50" s="56"/>
      <c r="U50" s="56"/>
      <c r="V50" s="56"/>
      <c r="W50" s="51"/>
      <c r="X50" s="51"/>
      <c r="Y50" s="51"/>
      <c r="Z50" s="51"/>
      <c r="AA50" s="51"/>
      <c r="AD50" s="51"/>
    </row>
    <row r="51" spans="1:30" x14ac:dyDescent="0.3">
      <c r="B51" s="83"/>
      <c r="C51" s="80"/>
      <c r="D51" s="85"/>
      <c r="E51" s="85"/>
      <c r="F51" s="85"/>
      <c r="G51" s="85"/>
      <c r="H51" s="85"/>
      <c r="I51" s="85"/>
      <c r="J51" s="85"/>
      <c r="K51" s="80"/>
      <c r="L51" s="80"/>
      <c r="M51" s="80"/>
      <c r="W51" s="51"/>
      <c r="X51" s="51"/>
      <c r="Y51" s="51"/>
      <c r="Z51" s="51"/>
      <c r="AA51" s="51"/>
      <c r="AD51" s="51"/>
    </row>
    <row r="52" spans="1:30" x14ac:dyDescent="0.3">
      <c r="B52" s="82" t="s">
        <v>356</v>
      </c>
      <c r="C52" s="80"/>
      <c r="D52" s="85"/>
      <c r="E52" s="85"/>
      <c r="F52" s="85"/>
      <c r="G52" s="85"/>
      <c r="H52" s="85"/>
      <c r="I52" s="85"/>
      <c r="J52" s="85"/>
      <c r="K52" s="80"/>
      <c r="L52" s="80"/>
      <c r="M52" s="80"/>
      <c r="N52" s="78"/>
      <c r="O52" s="51"/>
      <c r="P52" s="51"/>
      <c r="Q52" s="51"/>
      <c r="R52" s="51"/>
      <c r="S52" s="51"/>
      <c r="T52" s="51"/>
      <c r="U52" s="51"/>
      <c r="V52" s="51"/>
      <c r="AA52" s="51"/>
      <c r="AB52" s="51"/>
      <c r="AC52" s="51"/>
    </row>
    <row r="53" spans="1:30" x14ac:dyDescent="0.3">
      <c r="A53" s="38" t="s">
        <v>473</v>
      </c>
      <c r="B53" s="91" t="s">
        <v>341</v>
      </c>
      <c r="C53" s="80"/>
      <c r="D53" s="85"/>
      <c r="E53" s="85">
        <v>3.0990000000000002</v>
      </c>
      <c r="F53" s="85">
        <v>0</v>
      </c>
      <c r="G53" s="85">
        <v>0</v>
      </c>
      <c r="H53" s="85">
        <v>57.478881999999999</v>
      </c>
      <c r="I53" s="85">
        <v>72.601356999999993</v>
      </c>
      <c r="J53" s="85">
        <v>84.217231999999996</v>
      </c>
      <c r="K53" s="80">
        <v>115.716461</v>
      </c>
      <c r="L53" s="80">
        <v>182.09942599999999</v>
      </c>
      <c r="M53" s="80"/>
      <c r="N53" s="79"/>
      <c r="O53" s="51"/>
      <c r="P53" s="51"/>
      <c r="Q53" s="51"/>
      <c r="R53" s="51"/>
      <c r="S53" s="51"/>
      <c r="T53" s="51"/>
      <c r="U53" s="51"/>
      <c r="V53" s="51"/>
      <c r="AA53" s="51"/>
      <c r="AB53" s="51"/>
      <c r="AC53" s="51"/>
    </row>
    <row r="54" spans="1:30" x14ac:dyDescent="0.3">
      <c r="A54" s="38" t="s">
        <v>332</v>
      </c>
      <c r="B54" s="83" t="s">
        <v>357</v>
      </c>
      <c r="C54" s="84">
        <v>1475.510254</v>
      </c>
      <c r="D54" s="85">
        <v>1638.5507809999999</v>
      </c>
      <c r="E54" s="85">
        <v>1761.539673</v>
      </c>
      <c r="F54" s="85">
        <v>824.29101600000001</v>
      </c>
      <c r="G54" s="85">
        <v>458.60672</v>
      </c>
      <c r="H54" s="85">
        <v>328.25683600000002</v>
      </c>
      <c r="I54" s="85">
        <v>413.227417</v>
      </c>
      <c r="J54" s="85">
        <v>504.609467</v>
      </c>
      <c r="K54" s="86">
        <v>683.76928699999996</v>
      </c>
      <c r="L54" s="86">
        <v>934.16479500000003</v>
      </c>
      <c r="M54" s="86">
        <f t="shared" ref="M54:M57" si="29">L54*(AVERAGE((L54/K54),(K54/J54)))</f>
        <v>1271.0457848381168</v>
      </c>
      <c r="N54" s="79"/>
      <c r="O54" s="56"/>
      <c r="P54" s="56"/>
      <c r="Q54" s="56"/>
      <c r="R54" s="56"/>
      <c r="S54" s="56"/>
      <c r="T54" s="56"/>
      <c r="U54" s="56"/>
      <c r="V54" s="56"/>
      <c r="AA54" s="51"/>
      <c r="AB54" s="51"/>
      <c r="AC54" s="51"/>
    </row>
    <row r="55" spans="1:30" x14ac:dyDescent="0.3">
      <c r="A55" s="38" t="s">
        <v>334</v>
      </c>
      <c r="B55" s="83" t="s">
        <v>358</v>
      </c>
      <c r="C55" s="84">
        <v>2421.6516109999998</v>
      </c>
      <c r="D55" s="85">
        <v>2465.9499510000001</v>
      </c>
      <c r="E55" s="85">
        <v>991.18121299999996</v>
      </c>
      <c r="F55" s="85">
        <v>1547.4204099999999</v>
      </c>
      <c r="G55" s="85">
        <v>1411.744263</v>
      </c>
      <c r="H55" s="85">
        <v>1159.448486</v>
      </c>
      <c r="I55" s="85">
        <v>968.39269999999999</v>
      </c>
      <c r="J55" s="85">
        <v>863.72393799999998</v>
      </c>
      <c r="K55" s="86">
        <v>646.71844499999997</v>
      </c>
      <c r="L55" s="86">
        <v>490.46365400000002</v>
      </c>
      <c r="M55" s="86">
        <f t="shared" si="29"/>
        <v>369.59972181028638</v>
      </c>
      <c r="N55" s="79"/>
      <c r="O55" s="56"/>
      <c r="P55" s="56"/>
      <c r="Q55" s="56"/>
      <c r="R55" s="56"/>
      <c r="S55" s="56"/>
      <c r="T55" s="56"/>
      <c r="U55" s="56"/>
      <c r="V55" s="56"/>
      <c r="W55" s="51"/>
      <c r="X55" s="51"/>
      <c r="Y55" s="51"/>
      <c r="Z55" s="51"/>
      <c r="AB55" s="51"/>
      <c r="AC55" s="51"/>
      <c r="AD55" s="51"/>
    </row>
    <row r="56" spans="1:30" x14ac:dyDescent="0.3">
      <c r="A56" s="38" t="s">
        <v>474</v>
      </c>
      <c r="B56" s="87" t="s">
        <v>359</v>
      </c>
      <c r="C56" s="88">
        <v>1189.2960210000001</v>
      </c>
      <c r="D56" s="89">
        <v>1224.5039059999999</v>
      </c>
      <c r="E56" s="89">
        <v>652.92016599999999</v>
      </c>
      <c r="F56" s="89">
        <v>999.65997300000004</v>
      </c>
      <c r="G56" s="89">
        <v>931.30200200000002</v>
      </c>
      <c r="H56" s="89">
        <v>850.40728799999999</v>
      </c>
      <c r="I56" s="89">
        <v>783.499146</v>
      </c>
      <c r="J56" s="89">
        <v>678.94689900000003</v>
      </c>
      <c r="K56" s="90">
        <v>522.33105499999999</v>
      </c>
      <c r="L56" s="90">
        <v>290.64163200000002</v>
      </c>
      <c r="M56" s="90">
        <f t="shared" si="29"/>
        <v>192.66011599775587</v>
      </c>
      <c r="N56" s="79"/>
      <c r="O56" s="57"/>
      <c r="P56" s="57"/>
      <c r="Q56" s="57"/>
      <c r="R56" s="57"/>
      <c r="S56" s="57"/>
      <c r="T56" s="57"/>
      <c r="U56" s="57"/>
      <c r="V56" s="57"/>
      <c r="W56" s="51"/>
      <c r="X56" s="51"/>
      <c r="Y56" s="51"/>
      <c r="Z56" s="51"/>
      <c r="AB56" s="51"/>
      <c r="AC56" s="51"/>
      <c r="AD56" s="51"/>
    </row>
    <row r="57" spans="1:30" x14ac:dyDescent="0.3">
      <c r="A57" s="38" t="s">
        <v>474</v>
      </c>
      <c r="B57" s="87" t="s">
        <v>360</v>
      </c>
      <c r="C57" s="88">
        <v>673.01452600000005</v>
      </c>
      <c r="D57" s="89">
        <v>659.70727499999998</v>
      </c>
      <c r="E57" s="89">
        <v>509.29467799999998</v>
      </c>
      <c r="F57" s="89"/>
      <c r="G57" s="89"/>
      <c r="H57" s="89"/>
      <c r="I57" s="89"/>
      <c r="J57" s="89"/>
      <c r="K57" s="90"/>
      <c r="L57" s="90"/>
      <c r="M57" s="90" t="e">
        <f t="shared" si="29"/>
        <v>#DIV/0!</v>
      </c>
      <c r="AA57" s="51"/>
      <c r="AD57" s="51"/>
    </row>
    <row r="58" spans="1:30" x14ac:dyDescent="0.3">
      <c r="B58" s="83"/>
      <c r="C58" s="80"/>
      <c r="D58" s="85"/>
      <c r="E58" s="85"/>
      <c r="F58" s="85"/>
      <c r="G58" s="85"/>
      <c r="H58" s="85"/>
      <c r="I58" s="85"/>
      <c r="J58" s="85"/>
      <c r="K58" s="80"/>
      <c r="L58" s="80"/>
      <c r="M58" s="80"/>
      <c r="AA58" s="51"/>
      <c r="AD58" s="51"/>
    </row>
    <row r="59" spans="1:30" x14ac:dyDescent="0.3">
      <c r="B59" s="82" t="s">
        <v>361</v>
      </c>
      <c r="C59" s="80"/>
      <c r="D59" s="85"/>
      <c r="E59" s="85"/>
      <c r="F59" s="85"/>
      <c r="G59" s="85"/>
      <c r="H59" s="85"/>
      <c r="I59" s="85"/>
      <c r="J59" s="85"/>
      <c r="K59" s="80"/>
      <c r="L59" s="80"/>
      <c r="M59" s="80"/>
      <c r="N59" s="78"/>
      <c r="O59" s="51"/>
      <c r="P59" s="51"/>
      <c r="Q59" s="51"/>
      <c r="R59" s="51"/>
      <c r="S59" s="51"/>
      <c r="T59" s="51"/>
      <c r="U59" s="51"/>
      <c r="V59" s="51"/>
      <c r="W59" s="51"/>
      <c r="X59" s="51"/>
      <c r="Y59" s="51"/>
      <c r="Z59" s="51"/>
      <c r="AB59" s="51"/>
      <c r="AC59" s="51"/>
    </row>
    <row r="60" spans="1:30" x14ac:dyDescent="0.3">
      <c r="A60" s="38" t="s">
        <v>475</v>
      </c>
      <c r="B60" s="91" t="s">
        <v>340</v>
      </c>
      <c r="C60" s="80"/>
      <c r="D60" s="85"/>
      <c r="E60" s="85">
        <v>554.351135</v>
      </c>
      <c r="F60" s="85">
        <v>2123.3215329999998</v>
      </c>
      <c r="G60" s="85">
        <v>3199.1108399999998</v>
      </c>
      <c r="H60" s="85">
        <v>2855.3598630000001</v>
      </c>
      <c r="I60" s="85">
        <v>2705.9257809999999</v>
      </c>
      <c r="J60" s="85">
        <v>2591.163086</v>
      </c>
      <c r="K60" s="80">
        <v>2579.3393550000001</v>
      </c>
      <c r="L60" s="80">
        <v>2433.0078119999998</v>
      </c>
      <c r="M60" s="80"/>
      <c r="N60" s="79"/>
      <c r="O60" s="51"/>
      <c r="P60" s="51"/>
      <c r="Q60" s="51"/>
      <c r="R60" s="51"/>
      <c r="S60" s="51"/>
      <c r="T60" s="51"/>
      <c r="U60" s="51"/>
      <c r="V60" s="51"/>
      <c r="W60" s="51"/>
      <c r="X60" s="51"/>
      <c r="Y60" s="51"/>
      <c r="Z60" s="51"/>
      <c r="AB60" s="51"/>
      <c r="AC60" s="51"/>
    </row>
    <row r="61" spans="1:30" x14ac:dyDescent="0.3">
      <c r="A61" s="38" t="s">
        <v>327</v>
      </c>
      <c r="B61" s="83" t="s">
        <v>351</v>
      </c>
      <c r="C61" s="84">
        <v>766.53112799999997</v>
      </c>
      <c r="D61" s="85">
        <v>660.31353799999999</v>
      </c>
      <c r="E61" s="85">
        <v>19.952679</v>
      </c>
      <c r="F61" s="85">
        <v>0</v>
      </c>
      <c r="G61" s="85">
        <v>0</v>
      </c>
      <c r="H61" s="85">
        <v>0</v>
      </c>
      <c r="I61" s="85">
        <v>0</v>
      </c>
      <c r="J61" s="85">
        <v>0</v>
      </c>
      <c r="K61" s="86">
        <v>0</v>
      </c>
      <c r="L61" s="86">
        <v>0</v>
      </c>
      <c r="M61" s="86" t="e">
        <f t="shared" ref="M61:M62" si="30">L61*(AVERAGE((L61/K61),(K61/J61)))</f>
        <v>#DIV/0!</v>
      </c>
      <c r="N61" s="79"/>
      <c r="O61" s="56"/>
      <c r="P61" s="56"/>
      <c r="Q61" s="56"/>
      <c r="R61" s="56"/>
      <c r="S61" s="56"/>
      <c r="T61" s="56"/>
      <c r="U61" s="56"/>
      <c r="V61" s="56"/>
      <c r="AB61" s="51"/>
      <c r="AC61" s="51"/>
    </row>
    <row r="62" spans="1:30" x14ac:dyDescent="0.3">
      <c r="A62" s="38" t="s">
        <v>331</v>
      </c>
      <c r="B62" s="83" t="s">
        <v>355</v>
      </c>
      <c r="C62" s="84">
        <v>2261.741943</v>
      </c>
      <c r="D62" s="85">
        <v>2166.8867190000001</v>
      </c>
      <c r="E62" s="85">
        <v>1369.084717</v>
      </c>
      <c r="F62" s="85">
        <v>1114.9060059999999</v>
      </c>
      <c r="G62" s="85">
        <v>1047.575073</v>
      </c>
      <c r="H62" s="85">
        <v>1037.27478</v>
      </c>
      <c r="I62" s="85">
        <v>1090.184814</v>
      </c>
      <c r="J62" s="85">
        <v>1109.1446530000001</v>
      </c>
      <c r="K62" s="86">
        <v>1168.4907229999999</v>
      </c>
      <c r="L62" s="86">
        <v>1210.189087</v>
      </c>
      <c r="M62" s="86">
        <f t="shared" si="30"/>
        <v>1264.1585706128083</v>
      </c>
      <c r="N62" s="79"/>
      <c r="O62" s="56"/>
      <c r="P62" s="56"/>
      <c r="Q62" s="56"/>
      <c r="R62" s="56"/>
      <c r="S62" s="56"/>
      <c r="T62" s="56"/>
      <c r="U62" s="56"/>
      <c r="V62" s="56"/>
      <c r="AA62" s="51"/>
      <c r="AD62" s="51"/>
    </row>
    <row r="63" spans="1:30" x14ac:dyDescent="0.3">
      <c r="B63" s="83"/>
      <c r="C63" s="80"/>
      <c r="D63" s="85"/>
      <c r="E63" s="85"/>
      <c r="F63" s="85"/>
      <c r="G63" s="85"/>
      <c r="H63" s="85"/>
      <c r="I63" s="85"/>
      <c r="J63" s="85"/>
      <c r="K63" s="80"/>
      <c r="L63" s="80"/>
      <c r="M63" s="80"/>
      <c r="W63" s="51"/>
      <c r="X63" s="51"/>
      <c r="Y63" s="51"/>
      <c r="Z63" s="51"/>
      <c r="AD63" s="51"/>
    </row>
    <row r="64" spans="1:30" x14ac:dyDescent="0.3">
      <c r="B64" s="82" t="s">
        <v>362</v>
      </c>
      <c r="C64" s="80"/>
      <c r="D64" s="85"/>
      <c r="E64" s="85"/>
      <c r="F64" s="85"/>
      <c r="G64" s="85"/>
      <c r="H64" s="85"/>
      <c r="I64" s="85"/>
      <c r="J64" s="85"/>
      <c r="K64" s="80"/>
      <c r="L64" s="80"/>
      <c r="M64" s="80"/>
      <c r="N64" s="78"/>
      <c r="O64" s="51"/>
      <c r="P64" s="51"/>
      <c r="Q64" s="51"/>
      <c r="R64" s="51"/>
      <c r="S64" s="51"/>
      <c r="T64" s="51"/>
      <c r="U64" s="51"/>
      <c r="V64" s="51"/>
      <c r="W64" s="51"/>
      <c r="X64" s="51"/>
      <c r="Y64" s="51"/>
      <c r="Z64" s="51"/>
      <c r="AB64" s="51"/>
      <c r="AC64" s="51"/>
    </row>
    <row r="65" spans="1:31" x14ac:dyDescent="0.3">
      <c r="A65" s="38" t="s">
        <v>476</v>
      </c>
      <c r="B65" s="91" t="s">
        <v>341</v>
      </c>
      <c r="C65" s="80"/>
      <c r="D65" s="85"/>
      <c r="E65" s="85">
        <v>641.44012499999997</v>
      </c>
      <c r="F65" s="85">
        <v>190.372559</v>
      </c>
      <c r="G65" s="85">
        <v>1167.419312</v>
      </c>
      <c r="H65" s="85">
        <v>2292.672607</v>
      </c>
      <c r="I65" s="85">
        <v>2653.9321289999998</v>
      </c>
      <c r="J65" s="85">
        <v>2867.2231449999999</v>
      </c>
      <c r="K65" s="80">
        <v>3190.10376</v>
      </c>
      <c r="L65" s="80">
        <v>3635.7360840000001</v>
      </c>
      <c r="M65" s="80"/>
      <c r="N65" s="79"/>
      <c r="O65" s="51"/>
      <c r="P65" s="51"/>
      <c r="Q65" s="51"/>
      <c r="R65" s="51"/>
      <c r="S65" s="51"/>
      <c r="T65" s="51"/>
      <c r="U65" s="51"/>
      <c r="V65" s="51"/>
      <c r="W65" s="51"/>
      <c r="X65" s="51"/>
      <c r="Y65" s="51"/>
      <c r="Z65" s="51"/>
      <c r="AB65" s="51"/>
      <c r="AC65" s="51"/>
    </row>
    <row r="66" spans="1:31" x14ac:dyDescent="0.3">
      <c r="A66" s="38" t="s">
        <v>477</v>
      </c>
      <c r="B66" s="91" t="s">
        <v>343</v>
      </c>
      <c r="C66" s="80"/>
      <c r="D66" s="85"/>
      <c r="E66" s="85">
        <v>83.915290999999996</v>
      </c>
      <c r="F66" s="85">
        <v>1176.8666989999999</v>
      </c>
      <c r="G66" s="85">
        <v>1637.3507079999999</v>
      </c>
      <c r="H66" s="85">
        <v>1577.5996090000001</v>
      </c>
      <c r="I66" s="85">
        <v>1513.1655270000001</v>
      </c>
      <c r="J66" s="85">
        <v>1521.4270019999999</v>
      </c>
      <c r="K66" s="80">
        <v>1528.5401609999999</v>
      </c>
      <c r="L66" s="80">
        <v>1512.325317</v>
      </c>
      <c r="M66" s="80"/>
      <c r="N66" s="79"/>
      <c r="O66" s="51"/>
      <c r="P66" s="51"/>
      <c r="Q66" s="51"/>
      <c r="R66" s="51"/>
      <c r="S66" s="51"/>
      <c r="T66" s="51"/>
      <c r="U66" s="51"/>
      <c r="V66" s="51"/>
      <c r="W66" s="51"/>
      <c r="X66" s="51"/>
      <c r="Y66" s="51"/>
      <c r="Z66" s="51"/>
      <c r="AB66" s="51"/>
      <c r="AC66" s="51"/>
    </row>
    <row r="67" spans="1:31" x14ac:dyDescent="0.3">
      <c r="A67" s="38" t="s">
        <v>333</v>
      </c>
      <c r="B67" s="83" t="s">
        <v>357</v>
      </c>
      <c r="C67" s="84">
        <v>6483.5434569999998</v>
      </c>
      <c r="D67" s="85">
        <v>6746.2172849999997</v>
      </c>
      <c r="E67" s="85">
        <v>4933.0947269999997</v>
      </c>
      <c r="F67" s="85">
        <v>2615.4179690000001</v>
      </c>
      <c r="G67" s="85">
        <v>1326.0561520000001</v>
      </c>
      <c r="H67" s="85">
        <v>409.58792099999999</v>
      </c>
      <c r="I67" s="85">
        <v>307.50512700000002</v>
      </c>
      <c r="J67" s="85">
        <v>242.79451</v>
      </c>
      <c r="K67" s="86">
        <v>213.944366</v>
      </c>
      <c r="L67" s="86">
        <v>156.92057800000001</v>
      </c>
      <c r="M67" s="86">
        <f>L67*(AVERAGE((L67/K67),(K67/J67)))</f>
        <v>126.68504676880357</v>
      </c>
      <c r="N67" s="79"/>
      <c r="AA67" s="51"/>
    </row>
    <row r="68" spans="1:31" x14ac:dyDescent="0.3">
      <c r="B68" s="83"/>
      <c r="C68" s="80"/>
      <c r="D68" s="85"/>
      <c r="E68" s="85"/>
      <c r="F68" s="85"/>
      <c r="G68" s="85"/>
      <c r="H68" s="85"/>
      <c r="I68" s="85"/>
      <c r="J68" s="85"/>
      <c r="K68" s="80"/>
      <c r="L68" s="80"/>
      <c r="M68" s="80"/>
      <c r="AA68" s="51"/>
      <c r="AD68" s="51"/>
    </row>
    <row r="69" spans="1:31" x14ac:dyDescent="0.3">
      <c r="B69" s="82" t="s">
        <v>363</v>
      </c>
      <c r="C69" s="80"/>
      <c r="D69" s="85"/>
      <c r="E69" s="85"/>
      <c r="F69" s="85"/>
      <c r="G69" s="85"/>
      <c r="H69" s="85"/>
      <c r="I69" s="85"/>
      <c r="J69" s="85"/>
      <c r="K69" s="80"/>
      <c r="L69" s="80"/>
      <c r="M69" s="80"/>
      <c r="N69" s="78"/>
      <c r="O69" s="51"/>
      <c r="P69" s="51"/>
      <c r="Q69" s="51"/>
      <c r="R69" s="51"/>
      <c r="S69" s="51"/>
      <c r="T69" s="51"/>
      <c r="U69" s="51"/>
      <c r="V69" s="51"/>
      <c r="W69" s="51"/>
      <c r="X69" s="51"/>
      <c r="Y69" s="51"/>
      <c r="Z69" s="51"/>
      <c r="AB69" s="51"/>
      <c r="AC69" s="51"/>
    </row>
    <row r="70" spans="1:31" x14ac:dyDescent="0.3">
      <c r="A70" s="38" t="s">
        <v>478</v>
      </c>
      <c r="B70" s="91" t="s">
        <v>342</v>
      </c>
      <c r="C70" s="80"/>
      <c r="D70" s="85"/>
      <c r="E70" s="85">
        <v>6.4829999999999997</v>
      </c>
      <c r="F70" s="85">
        <v>0</v>
      </c>
      <c r="G70" s="85">
        <v>0</v>
      </c>
      <c r="H70" s="85">
        <v>23.246013999999999</v>
      </c>
      <c r="I70" s="85">
        <v>14.154185999999999</v>
      </c>
      <c r="J70" s="85">
        <v>9.3299610000000008</v>
      </c>
      <c r="K70" s="80">
        <v>4.7541589999999996</v>
      </c>
      <c r="L70" s="80">
        <v>0</v>
      </c>
      <c r="M70" s="80"/>
      <c r="N70" s="79"/>
      <c r="O70" s="51"/>
      <c r="P70" s="51"/>
      <c r="Q70" s="51"/>
      <c r="R70" s="51"/>
      <c r="S70" s="51"/>
      <c r="T70" s="51"/>
      <c r="U70" s="51"/>
      <c r="V70" s="51"/>
      <c r="W70" s="51"/>
      <c r="X70" s="51"/>
      <c r="Y70" s="51"/>
      <c r="Z70" s="51"/>
      <c r="AB70" s="51"/>
      <c r="AC70" s="51"/>
    </row>
    <row r="71" spans="1:31" x14ac:dyDescent="0.3">
      <c r="A71" s="38" t="s">
        <v>479</v>
      </c>
      <c r="B71" s="91" t="s">
        <v>344</v>
      </c>
      <c r="C71" s="80"/>
      <c r="D71" s="85"/>
      <c r="E71" s="85">
        <v>51.532066</v>
      </c>
      <c r="F71" s="85">
        <v>0</v>
      </c>
      <c r="G71" s="85">
        <v>0</v>
      </c>
      <c r="H71" s="85">
        <v>21.636526</v>
      </c>
      <c r="I71" s="85">
        <v>80.933334000000002</v>
      </c>
      <c r="J71" s="85">
        <v>149.49989299999999</v>
      </c>
      <c r="K71" s="80">
        <v>195.56668099999999</v>
      </c>
      <c r="L71" s="80">
        <v>397.37936400000001</v>
      </c>
      <c r="M71" s="80"/>
      <c r="N71" s="79"/>
      <c r="O71" s="51"/>
      <c r="P71" s="51"/>
      <c r="Q71" s="51"/>
      <c r="R71" s="51"/>
      <c r="S71" s="51"/>
      <c r="T71" s="51"/>
      <c r="U71" s="51"/>
      <c r="V71" s="51"/>
      <c r="W71" s="51"/>
      <c r="X71" s="51"/>
      <c r="Y71" s="51"/>
      <c r="Z71" s="51"/>
      <c r="AB71" s="51"/>
      <c r="AC71" s="51"/>
    </row>
    <row r="72" spans="1:31" x14ac:dyDescent="0.3">
      <c r="A72" s="38" t="s">
        <v>335</v>
      </c>
      <c r="B72" s="83" t="s">
        <v>358</v>
      </c>
      <c r="C72" s="84">
        <v>149.298553</v>
      </c>
      <c r="D72" s="85">
        <v>114.66023300000001</v>
      </c>
      <c r="E72" s="85">
        <v>179.44760099999999</v>
      </c>
      <c r="F72" s="85">
        <v>55.070808</v>
      </c>
      <c r="G72" s="85">
        <v>31.014326000000001</v>
      </c>
      <c r="H72" s="85">
        <v>42.722575999999997</v>
      </c>
      <c r="I72" s="85">
        <v>23.233022999999999</v>
      </c>
      <c r="J72" s="85">
        <v>4.7862629999999999</v>
      </c>
      <c r="K72" s="86">
        <v>0</v>
      </c>
      <c r="L72" s="86">
        <v>0</v>
      </c>
      <c r="M72" s="86" t="e">
        <f t="shared" ref="M72:M73" si="31">L72*(AVERAGE((L72/K72),(K72/J72)))</f>
        <v>#DIV/0!</v>
      </c>
      <c r="N72" s="79"/>
      <c r="O72" s="56"/>
      <c r="P72" s="56"/>
      <c r="Q72" s="56"/>
      <c r="R72" s="56"/>
      <c r="S72" s="56"/>
      <c r="T72" s="56"/>
      <c r="U72" s="56"/>
      <c r="V72" s="56"/>
      <c r="W72" s="38"/>
      <c r="X72" s="38"/>
      <c r="Y72" s="38"/>
      <c r="Z72" s="38"/>
      <c r="AB72" s="51"/>
      <c r="AC72" s="51"/>
      <c r="AE72" s="38"/>
    </row>
    <row r="73" spans="1:31" x14ac:dyDescent="0.3">
      <c r="A73" s="38" t="s">
        <v>335</v>
      </c>
      <c r="B73" s="83" t="s">
        <v>364</v>
      </c>
      <c r="C73" s="84">
        <v>242.70843500000001</v>
      </c>
      <c r="D73" s="85">
        <v>173.52542099999999</v>
      </c>
      <c r="E73" s="85">
        <v>746.28808600000002</v>
      </c>
      <c r="F73" s="85">
        <v>275.54431199999999</v>
      </c>
      <c r="G73" s="85">
        <v>249.481934</v>
      </c>
      <c r="H73" s="85">
        <v>223.49139400000001</v>
      </c>
      <c r="I73" s="85">
        <v>162.034637</v>
      </c>
      <c r="J73" s="85">
        <v>128.72091699999999</v>
      </c>
      <c r="K73" s="86">
        <v>41.501949000000003</v>
      </c>
      <c r="L73" s="86">
        <v>3.429176</v>
      </c>
      <c r="M73" s="86">
        <f t="shared" si="31"/>
        <v>0.694485179241767</v>
      </c>
      <c r="N73" s="79"/>
      <c r="O73" s="56"/>
      <c r="P73" s="56"/>
      <c r="Q73" s="56"/>
      <c r="R73" s="56"/>
      <c r="S73" s="56"/>
      <c r="T73" s="56"/>
      <c r="U73" s="56"/>
      <c r="V73" s="56"/>
      <c r="W73" s="38"/>
      <c r="X73" s="38"/>
      <c r="Y73" s="38"/>
      <c r="Z73" s="38"/>
      <c r="AA73" s="51"/>
      <c r="AD73" s="51"/>
    </row>
    <row r="74" spans="1:31" x14ac:dyDescent="0.3">
      <c r="B74" s="83"/>
      <c r="C74" s="80"/>
      <c r="D74" s="85"/>
      <c r="E74" s="85"/>
      <c r="F74" s="85"/>
      <c r="G74" s="85"/>
      <c r="H74" s="85"/>
      <c r="I74" s="85"/>
      <c r="J74" s="85"/>
      <c r="K74" s="80"/>
      <c r="L74" s="80"/>
      <c r="M74" s="80"/>
      <c r="W74" s="51"/>
      <c r="X74" s="51"/>
      <c r="Y74" s="51"/>
      <c r="Z74" s="51"/>
      <c r="AA74" s="38"/>
      <c r="AD74" s="51"/>
    </row>
    <row r="75" spans="1:31" x14ac:dyDescent="0.3">
      <c r="B75" s="82" t="s">
        <v>365</v>
      </c>
      <c r="C75" s="80"/>
      <c r="D75" s="85"/>
      <c r="E75" s="85"/>
      <c r="F75" s="85"/>
      <c r="G75" s="85"/>
      <c r="H75" s="85"/>
      <c r="I75" s="85"/>
      <c r="J75" s="85"/>
      <c r="K75" s="80"/>
      <c r="L75" s="80"/>
      <c r="M75" s="80"/>
      <c r="N75" s="78"/>
      <c r="O75" s="51"/>
      <c r="P75" s="51"/>
      <c r="Q75" s="51"/>
      <c r="R75" s="51"/>
      <c r="S75" s="51"/>
      <c r="T75" s="51"/>
      <c r="U75" s="51"/>
      <c r="V75" s="51"/>
      <c r="W75" s="51"/>
      <c r="X75" s="51"/>
      <c r="Y75" s="51"/>
      <c r="Z75" s="51"/>
      <c r="AA75" s="38"/>
      <c r="AB75" s="51"/>
      <c r="AC75" s="51"/>
    </row>
    <row r="76" spans="1:31" x14ac:dyDescent="0.3">
      <c r="A76" s="38" t="s">
        <v>480</v>
      </c>
      <c r="B76" s="87" t="s">
        <v>349</v>
      </c>
      <c r="C76" s="88">
        <v>33.186461999999999</v>
      </c>
      <c r="D76" s="89">
        <v>20.10022</v>
      </c>
      <c r="E76" s="89">
        <v>25.572745999999999</v>
      </c>
      <c r="F76" s="89">
        <v>571.06994599999996</v>
      </c>
      <c r="G76" s="89">
        <v>529.08886700000005</v>
      </c>
      <c r="H76" s="89">
        <v>436.24896200000001</v>
      </c>
      <c r="I76" s="89">
        <v>354.38363600000002</v>
      </c>
      <c r="J76" s="89">
        <v>250.61051900000001</v>
      </c>
      <c r="K76" s="90">
        <v>139.32092299999999</v>
      </c>
      <c r="L76" s="90">
        <v>51.989910000000002</v>
      </c>
      <c r="M76" s="90">
        <f>L76*(AVERAGE((L76/K76),(K76/J76)))</f>
        <v>24.151721402438515</v>
      </c>
      <c r="N76" s="79"/>
      <c r="O76" s="58"/>
      <c r="P76" s="58"/>
      <c r="Q76" s="58"/>
      <c r="R76" s="58"/>
      <c r="S76" s="58"/>
      <c r="T76" s="58"/>
      <c r="U76" s="58"/>
      <c r="V76" s="58"/>
      <c r="W76" s="51"/>
      <c r="X76" s="51"/>
      <c r="Y76" s="51"/>
      <c r="Z76" s="51"/>
      <c r="AA76" s="51"/>
      <c r="AB76" s="38"/>
      <c r="AC76" s="38"/>
    </row>
    <row r="77" spans="1:31" x14ac:dyDescent="0.3">
      <c r="B77" s="83"/>
      <c r="C77" s="80"/>
      <c r="D77" s="85"/>
      <c r="E77" s="85"/>
      <c r="F77" s="85"/>
      <c r="G77" s="85"/>
      <c r="H77" s="85"/>
      <c r="I77" s="85"/>
      <c r="J77" s="85"/>
      <c r="K77" s="80"/>
      <c r="L77" s="80"/>
      <c r="M77" s="80"/>
      <c r="O77" s="38"/>
      <c r="P77" s="38"/>
      <c r="Q77" s="38"/>
      <c r="R77" s="38"/>
      <c r="S77" s="38"/>
      <c r="T77" s="38"/>
      <c r="U77" s="38"/>
      <c r="V77" s="38"/>
      <c r="W77" s="38"/>
      <c r="X77" s="38"/>
      <c r="Y77" s="38"/>
      <c r="Z77" s="38"/>
      <c r="AA77" s="51"/>
      <c r="AB77" s="38"/>
      <c r="AC77" s="38"/>
      <c r="AD77" s="51"/>
    </row>
    <row r="78" spans="1:31" x14ac:dyDescent="0.3">
      <c r="B78" s="82" t="s">
        <v>366</v>
      </c>
      <c r="C78" s="80"/>
      <c r="D78" s="85"/>
      <c r="E78" s="85"/>
      <c r="F78" s="85"/>
      <c r="G78" s="85"/>
      <c r="H78" s="85"/>
      <c r="I78" s="85"/>
      <c r="J78" s="85"/>
      <c r="K78" s="80"/>
      <c r="L78" s="80"/>
      <c r="M78" s="80"/>
      <c r="N78" s="78"/>
      <c r="O78" s="51"/>
      <c r="P78" s="51"/>
      <c r="Q78" s="51"/>
      <c r="R78" s="51"/>
      <c r="S78" s="51"/>
      <c r="T78" s="51"/>
      <c r="U78" s="51"/>
      <c r="V78" s="51"/>
      <c r="W78" s="38"/>
      <c r="X78" s="38"/>
      <c r="Y78" s="38"/>
      <c r="Z78" s="38"/>
      <c r="AA78" s="51"/>
      <c r="AB78" s="51"/>
      <c r="AC78" s="51"/>
      <c r="AD78" s="38"/>
    </row>
    <row r="79" spans="1:31" x14ac:dyDescent="0.3">
      <c r="A79" t="s">
        <v>337</v>
      </c>
      <c r="B79" s="83" t="s">
        <v>358</v>
      </c>
      <c r="C79" s="84">
        <v>111.424286</v>
      </c>
      <c r="D79" s="85">
        <v>155.35252399999999</v>
      </c>
      <c r="E79" s="85">
        <v>251.497849</v>
      </c>
      <c r="F79" s="85">
        <v>890.63147000000004</v>
      </c>
      <c r="G79" s="85">
        <v>872.33593800000006</v>
      </c>
      <c r="H79" s="85">
        <v>870.68762200000003</v>
      </c>
      <c r="I79" s="85">
        <v>910.21081500000003</v>
      </c>
      <c r="J79" s="85">
        <v>915.98608400000001</v>
      </c>
      <c r="K79" s="86">
        <v>895.59686299999998</v>
      </c>
      <c r="L79" s="86">
        <v>886.21978799999999</v>
      </c>
      <c r="M79" s="86">
        <f t="shared" ref="M79:M81" si="32">L79*(AVERAGE((L79/K79),(K79/J79)))</f>
        <v>871.71701855879962</v>
      </c>
      <c r="N79" s="79"/>
      <c r="O79" s="56"/>
      <c r="P79" s="56"/>
      <c r="Q79" s="56"/>
      <c r="R79" s="56"/>
      <c r="S79" s="56"/>
      <c r="T79" s="56"/>
      <c r="U79" s="56"/>
      <c r="V79" s="56"/>
      <c r="W79" s="51"/>
      <c r="X79" s="51"/>
      <c r="Y79" s="51"/>
      <c r="Z79" s="51"/>
      <c r="AA79" s="38"/>
      <c r="AB79" s="51"/>
      <c r="AC79" s="51"/>
      <c r="AD79" s="38"/>
    </row>
    <row r="80" spans="1:31" x14ac:dyDescent="0.3">
      <c r="A80" t="s">
        <v>481</v>
      </c>
      <c r="B80" s="87" t="s">
        <v>367</v>
      </c>
      <c r="C80" s="88">
        <v>332.358002</v>
      </c>
      <c r="D80" s="89">
        <v>313.90347300000002</v>
      </c>
      <c r="E80" s="89">
        <v>429.696167</v>
      </c>
      <c r="F80" s="89">
        <v>290.81054699999999</v>
      </c>
      <c r="G80" s="89">
        <v>283.95986900000003</v>
      </c>
      <c r="H80" s="89">
        <v>272.94287100000003</v>
      </c>
      <c r="I80" s="89">
        <v>267.51565599999998</v>
      </c>
      <c r="J80" s="89">
        <v>251.48294100000001</v>
      </c>
      <c r="K80" s="90">
        <v>230.483994</v>
      </c>
      <c r="L80" s="90">
        <v>194.41203300000001</v>
      </c>
      <c r="M80" s="90">
        <f t="shared" si="32"/>
        <v>171.08202928579686</v>
      </c>
      <c r="N80" s="79"/>
      <c r="O80" s="57"/>
      <c r="P80" s="57"/>
      <c r="Q80" s="57"/>
      <c r="R80" s="57"/>
      <c r="S80" s="57"/>
      <c r="T80" s="57"/>
      <c r="U80" s="57"/>
      <c r="V80" s="57"/>
      <c r="W80" s="38"/>
      <c r="X80" s="38"/>
      <c r="Y80" s="38"/>
      <c r="Z80" s="38"/>
      <c r="AA80" s="38"/>
      <c r="AB80" s="51"/>
      <c r="AC80" s="51"/>
      <c r="AD80" s="51"/>
    </row>
    <row r="81" spans="1:30" x14ac:dyDescent="0.3">
      <c r="A81" t="s">
        <v>481</v>
      </c>
      <c r="B81" s="87" t="s">
        <v>368</v>
      </c>
      <c r="C81" s="88">
        <v>708.80602999999996</v>
      </c>
      <c r="D81" s="89">
        <v>606.106628</v>
      </c>
      <c r="E81" s="89">
        <v>673.86242700000003</v>
      </c>
      <c r="F81" s="89">
        <v>698.20117200000004</v>
      </c>
      <c r="G81" s="89">
        <v>694.535706</v>
      </c>
      <c r="H81" s="89">
        <v>676.632385</v>
      </c>
      <c r="I81" s="89">
        <v>661.59912099999997</v>
      </c>
      <c r="J81" s="89">
        <v>620.14233400000001</v>
      </c>
      <c r="K81" s="90">
        <v>565.37951699999996</v>
      </c>
      <c r="L81" s="90">
        <v>485.26431300000002</v>
      </c>
      <c r="M81" s="90">
        <f t="shared" si="32"/>
        <v>429.45685702832401</v>
      </c>
      <c r="N81" s="79"/>
      <c r="O81" s="56"/>
      <c r="P81" s="38"/>
      <c r="Q81" s="38"/>
      <c r="R81" s="38"/>
      <c r="S81" s="38"/>
      <c r="T81" s="38"/>
      <c r="U81" s="38"/>
      <c r="V81" s="38"/>
      <c r="W81" s="38"/>
      <c r="X81" s="38"/>
      <c r="Y81" s="38"/>
      <c r="Z81" s="38"/>
      <c r="AA81" s="51"/>
      <c r="AB81" s="38"/>
      <c r="AC81" s="38"/>
      <c r="AD81" s="51"/>
    </row>
    <row r="82" spans="1:30" x14ac:dyDescent="0.3">
      <c r="B82" s="83"/>
      <c r="C82" s="80"/>
      <c r="D82" s="85"/>
      <c r="E82" s="85"/>
      <c r="F82" s="85"/>
      <c r="G82" s="85"/>
      <c r="H82" s="85"/>
      <c r="I82" s="85"/>
      <c r="J82" s="85"/>
      <c r="K82" s="80"/>
      <c r="L82" s="80"/>
      <c r="M82" s="80"/>
      <c r="O82" s="38"/>
      <c r="P82" s="38"/>
      <c r="Q82" s="38"/>
      <c r="R82" s="38"/>
      <c r="S82" s="38"/>
      <c r="T82" s="38"/>
      <c r="U82" s="38"/>
      <c r="V82" s="51"/>
      <c r="W82" s="51"/>
      <c r="X82" s="51"/>
      <c r="Y82" s="51"/>
      <c r="Z82" s="51"/>
      <c r="AA82" s="38"/>
      <c r="AB82" s="38"/>
      <c r="AC82" s="38"/>
      <c r="AD82" s="51"/>
    </row>
    <row r="83" spans="1:30" x14ac:dyDescent="0.3">
      <c r="B83" s="82" t="s">
        <v>369</v>
      </c>
      <c r="C83" s="80"/>
      <c r="D83" s="85"/>
      <c r="E83" s="85"/>
      <c r="F83" s="85"/>
      <c r="G83" s="85"/>
      <c r="H83" s="85"/>
      <c r="I83" s="85"/>
      <c r="J83" s="85"/>
      <c r="K83" s="80"/>
      <c r="L83" s="80"/>
      <c r="M83" s="80"/>
      <c r="N83" s="78"/>
      <c r="O83" s="51"/>
      <c r="P83" s="51"/>
      <c r="Q83" s="51"/>
      <c r="R83" s="51"/>
      <c r="S83" s="51"/>
      <c r="T83" s="51"/>
      <c r="U83" s="51"/>
      <c r="V83" s="38"/>
      <c r="W83" s="38"/>
      <c r="X83" s="38"/>
      <c r="Y83" s="38"/>
      <c r="Z83" s="38"/>
      <c r="AA83" s="38"/>
      <c r="AB83" s="51"/>
      <c r="AC83" s="51"/>
      <c r="AD83" s="38"/>
    </row>
    <row r="84" spans="1:30" x14ac:dyDescent="0.3">
      <c r="A84" t="s">
        <v>331</v>
      </c>
      <c r="B84" s="83" t="s">
        <v>355</v>
      </c>
      <c r="C84" s="84">
        <v>1097.431763</v>
      </c>
      <c r="D84" s="85">
        <v>1175.0555420000001</v>
      </c>
      <c r="E84" s="85">
        <v>1302.2181399999999</v>
      </c>
      <c r="F84" s="85">
        <v>1246.3885499999999</v>
      </c>
      <c r="G84" s="85">
        <v>1183.1583250000001</v>
      </c>
      <c r="H84" s="85">
        <v>1191.5161129999999</v>
      </c>
      <c r="I84" s="85">
        <v>1196.8763429999999</v>
      </c>
      <c r="J84" s="85">
        <v>1187.2270510000001</v>
      </c>
      <c r="K84" s="86">
        <v>1215.2176509999999</v>
      </c>
      <c r="L84" s="86">
        <v>1245.0399170000001</v>
      </c>
      <c r="M84" s="86">
        <f>L84*(AVERAGE((L84/K84),(K84/J84)))</f>
        <v>1274.9937904165633</v>
      </c>
      <c r="N84" s="79"/>
      <c r="O84" s="38"/>
      <c r="P84" s="38"/>
      <c r="Q84" s="38"/>
      <c r="R84" s="38"/>
      <c r="S84" s="38"/>
      <c r="T84" s="38"/>
      <c r="U84" s="38"/>
      <c r="V84" s="38"/>
      <c r="W84" s="38"/>
      <c r="X84" s="38"/>
      <c r="Y84" s="38"/>
      <c r="Z84" s="38"/>
      <c r="AA84" s="51"/>
      <c r="AB84" s="38"/>
      <c r="AC84" s="38"/>
      <c r="AD84" s="38"/>
    </row>
    <row r="85" spans="1:30" x14ac:dyDescent="0.3">
      <c r="B85" s="83"/>
      <c r="C85" s="80"/>
      <c r="D85" s="85"/>
      <c r="E85" s="85"/>
      <c r="F85" s="85"/>
      <c r="G85" s="85"/>
      <c r="H85" s="85"/>
      <c r="I85" s="85"/>
      <c r="J85" s="85"/>
      <c r="K85" s="80"/>
      <c r="L85" s="80"/>
      <c r="M85" s="80"/>
      <c r="O85" s="38"/>
      <c r="P85" s="38"/>
      <c r="Q85" s="38"/>
      <c r="R85" s="38"/>
      <c r="S85" s="38"/>
      <c r="T85" s="38"/>
      <c r="U85" s="38"/>
      <c r="V85" s="51"/>
      <c r="W85" s="51"/>
      <c r="X85" s="51"/>
      <c r="Y85" s="51"/>
      <c r="Z85" s="51"/>
      <c r="AA85" s="38"/>
      <c r="AB85" s="38"/>
      <c r="AC85" s="38"/>
      <c r="AD85" s="51"/>
    </row>
    <row r="86" spans="1:30" x14ac:dyDescent="0.3">
      <c r="B86" s="82" t="s">
        <v>370</v>
      </c>
      <c r="C86" s="80"/>
      <c r="D86" s="85"/>
      <c r="E86" s="85"/>
      <c r="F86" s="85"/>
      <c r="G86" s="85"/>
      <c r="H86" s="85"/>
      <c r="I86" s="85"/>
      <c r="J86" s="85"/>
      <c r="K86" s="80"/>
      <c r="L86" s="80"/>
      <c r="M86" s="80"/>
      <c r="N86" s="78"/>
      <c r="O86" s="51"/>
      <c r="P86" s="51"/>
      <c r="Q86" s="51"/>
      <c r="R86" s="51"/>
      <c r="S86" s="51"/>
      <c r="T86" s="51"/>
      <c r="U86" s="51"/>
      <c r="V86" s="51"/>
      <c r="W86" s="51"/>
      <c r="X86" s="51"/>
      <c r="Y86" s="51"/>
      <c r="Z86" s="51"/>
      <c r="AA86" s="38"/>
      <c r="AB86" s="51"/>
      <c r="AC86" s="51"/>
      <c r="AD86" s="38"/>
    </row>
    <row r="87" spans="1:30" x14ac:dyDescent="0.3">
      <c r="B87" s="83" t="s">
        <v>358</v>
      </c>
      <c r="C87" s="84">
        <v>579.66937299999995</v>
      </c>
      <c r="D87" s="85">
        <v>607.08367899999996</v>
      </c>
      <c r="E87" s="85">
        <v>719.80914299999995</v>
      </c>
      <c r="F87" s="85">
        <v>416.56912199999999</v>
      </c>
      <c r="G87" s="85">
        <v>407.15301499999998</v>
      </c>
      <c r="H87" s="85">
        <v>397.97515900000002</v>
      </c>
      <c r="I87" s="85">
        <v>362.96331800000002</v>
      </c>
      <c r="J87" s="85">
        <v>324.49917599999998</v>
      </c>
      <c r="K87" s="86">
        <v>259.92306500000001</v>
      </c>
      <c r="L87" s="86">
        <v>196.48867799999999</v>
      </c>
      <c r="M87" s="86">
        <f>L87*(AVERAGE((L87/K87),(K87/J87)))</f>
        <v>152.96122737191399</v>
      </c>
      <c r="N87" s="79"/>
      <c r="O87" s="38"/>
      <c r="P87" s="38"/>
      <c r="Q87" s="38"/>
      <c r="R87" s="51"/>
      <c r="S87" s="38"/>
      <c r="T87" s="38"/>
      <c r="U87" s="38"/>
      <c r="V87" s="51"/>
      <c r="W87" s="51"/>
      <c r="X87" s="51"/>
      <c r="Y87" s="51"/>
      <c r="Z87" s="51"/>
      <c r="AA87" s="51"/>
      <c r="AB87" s="38"/>
      <c r="AC87" s="38"/>
      <c r="AD87" s="38"/>
    </row>
    <row r="88" spans="1:30" x14ac:dyDescent="0.3">
      <c r="B88" s="83"/>
      <c r="C88" s="80"/>
      <c r="D88" s="85"/>
      <c r="E88" s="85"/>
      <c r="F88" s="85"/>
      <c r="G88" s="85"/>
      <c r="H88" s="85"/>
      <c r="I88" s="85"/>
      <c r="J88" s="85"/>
      <c r="K88" s="80"/>
      <c r="L88" s="80"/>
      <c r="M88" s="80"/>
      <c r="O88" s="38"/>
      <c r="P88" s="38"/>
      <c r="Q88" s="38"/>
      <c r="R88" s="51"/>
      <c r="S88" s="38"/>
      <c r="T88" s="38"/>
      <c r="U88" s="38"/>
      <c r="AA88" s="51"/>
      <c r="AB88" s="38"/>
      <c r="AC88" s="38"/>
      <c r="AD88" s="51"/>
    </row>
    <row r="89" spans="1:30" x14ac:dyDescent="0.3">
      <c r="B89" s="82" t="s">
        <v>371</v>
      </c>
      <c r="C89" s="80"/>
      <c r="D89" s="85"/>
      <c r="E89" s="85"/>
      <c r="F89" s="85"/>
      <c r="G89" s="85"/>
      <c r="H89" s="85"/>
      <c r="I89" s="85"/>
      <c r="J89" s="85"/>
      <c r="K89" s="80"/>
      <c r="L89" s="80"/>
      <c r="M89" s="80"/>
      <c r="N89" s="78"/>
      <c r="O89" s="51"/>
      <c r="P89" s="51"/>
      <c r="Q89" s="51"/>
      <c r="S89" s="51"/>
      <c r="T89" s="51"/>
      <c r="U89" s="51"/>
      <c r="AA89" s="51"/>
      <c r="AB89" s="51"/>
      <c r="AC89" s="51"/>
      <c r="AD89" s="38"/>
    </row>
    <row r="90" spans="1:30" x14ac:dyDescent="0.3">
      <c r="A90" t="s">
        <v>337</v>
      </c>
      <c r="B90" s="83" t="s">
        <v>358</v>
      </c>
      <c r="C90" s="84">
        <v>548.56646699999999</v>
      </c>
      <c r="D90" s="85">
        <v>509.84399400000001</v>
      </c>
      <c r="E90" s="85">
        <v>475.32791099999997</v>
      </c>
      <c r="F90" s="85">
        <v>645.25842299999999</v>
      </c>
      <c r="G90" s="85">
        <v>655.53851299999997</v>
      </c>
      <c r="H90" s="85">
        <v>686.84814500000005</v>
      </c>
      <c r="I90" s="85">
        <v>693.37426800000003</v>
      </c>
      <c r="J90" s="85">
        <v>692.490906</v>
      </c>
      <c r="K90" s="86">
        <v>804.30017099999998</v>
      </c>
      <c r="L90" s="86">
        <v>963.03619400000002</v>
      </c>
      <c r="M90" s="86">
        <f t="shared" ref="M90:M92" si="33">L90*(AVERAGE((L90/K90),(K90/J90)))</f>
        <v>1135.8139029833592</v>
      </c>
      <c r="N90" s="79"/>
      <c r="O90" s="51"/>
      <c r="P90" s="51"/>
      <c r="Q90" s="51"/>
      <c r="S90" s="51"/>
      <c r="T90" s="51"/>
      <c r="U90" s="51"/>
      <c r="AB90" s="51"/>
      <c r="AC90" s="51"/>
      <c r="AD90" s="38"/>
    </row>
    <row r="91" spans="1:30" x14ac:dyDescent="0.3">
      <c r="B91" s="83" t="s">
        <v>372</v>
      </c>
      <c r="C91" s="84">
        <v>521.310608</v>
      </c>
      <c r="D91" s="85">
        <v>488.97283900000002</v>
      </c>
      <c r="E91" s="85">
        <v>762.38037099999997</v>
      </c>
      <c r="F91" s="85">
        <v>598.04644800000005</v>
      </c>
      <c r="G91" s="85">
        <v>606.59234600000002</v>
      </c>
      <c r="H91" s="85">
        <v>593.72662400000002</v>
      </c>
      <c r="I91" s="85">
        <v>573.04907200000002</v>
      </c>
      <c r="J91" s="85">
        <v>545.86309800000004</v>
      </c>
      <c r="K91" s="86">
        <v>542.339966</v>
      </c>
      <c r="L91" s="86">
        <v>491.42861900000003</v>
      </c>
      <c r="M91" s="86">
        <f t="shared" si="33"/>
        <v>466.77665911173341</v>
      </c>
      <c r="N91" s="79"/>
      <c r="O91" s="51"/>
      <c r="P91" s="51"/>
      <c r="Q91" s="51"/>
      <c r="S91" s="51"/>
      <c r="T91" s="51"/>
      <c r="U91" s="51"/>
      <c r="AB91" s="51"/>
      <c r="AC91" s="51"/>
      <c r="AD91" s="51"/>
    </row>
    <row r="92" spans="1:30" x14ac:dyDescent="0.3">
      <c r="A92" t="s">
        <v>337</v>
      </c>
      <c r="B92" s="83" t="s">
        <v>364</v>
      </c>
      <c r="C92" s="84">
        <v>1092.001221</v>
      </c>
      <c r="D92" s="85">
        <v>1111.6484379999999</v>
      </c>
      <c r="E92" s="85">
        <v>962.999146</v>
      </c>
      <c r="F92" s="85">
        <v>787.99340800000004</v>
      </c>
      <c r="G92" s="85">
        <v>779.51269500000001</v>
      </c>
      <c r="H92" s="85">
        <v>730.49871800000005</v>
      </c>
      <c r="I92" s="85">
        <v>772.71307400000001</v>
      </c>
      <c r="J92" s="85">
        <v>811.90795900000001</v>
      </c>
      <c r="K92" s="86">
        <v>840.83819600000004</v>
      </c>
      <c r="L92" s="86">
        <v>830.31951900000001</v>
      </c>
      <c r="M92" s="86">
        <f t="shared" si="33"/>
        <v>839.91911614260209</v>
      </c>
      <c r="N92" s="79"/>
      <c r="AD92" s="51"/>
    </row>
    <row r="93" spans="1:30" x14ac:dyDescent="0.3">
      <c r="B93" s="59"/>
      <c r="C93" s="92"/>
      <c r="D93" s="80"/>
      <c r="E93" s="80"/>
      <c r="F93" s="80"/>
      <c r="G93" s="80"/>
      <c r="H93" s="80"/>
      <c r="I93" s="80"/>
      <c r="J93" s="80"/>
      <c r="K93" s="80"/>
      <c r="L93" s="80"/>
      <c r="M93" s="80"/>
      <c r="AD93" s="51"/>
    </row>
    <row r="94" spans="1:30" ht="14.4" customHeight="1" x14ac:dyDescent="0.3">
      <c r="B94" s="93"/>
      <c r="C94" s="93"/>
      <c r="D94" s="93"/>
      <c r="E94" s="93"/>
      <c r="F94" s="93"/>
      <c r="G94" s="93"/>
      <c r="H94" s="93"/>
      <c r="I94" s="93"/>
      <c r="J94" s="93"/>
      <c r="K94" s="80"/>
      <c r="L94" s="80"/>
      <c r="M94" s="80"/>
    </row>
    <row r="95" spans="1:30" ht="14.4" customHeight="1" x14ac:dyDescent="0.3">
      <c r="A95" s="80"/>
      <c r="B95" s="80"/>
      <c r="C95" s="80"/>
      <c r="D95" s="80"/>
      <c r="E95" s="80"/>
      <c r="F95" s="80"/>
      <c r="G95" s="80"/>
      <c r="H95" s="80"/>
      <c r="I95" s="80"/>
      <c r="J95" s="80"/>
      <c r="K95" s="80"/>
      <c r="L95" s="80"/>
    </row>
    <row r="96" spans="1:30" ht="14.4" customHeight="1" x14ac:dyDescent="0.3">
      <c r="A96" s="80"/>
      <c r="B96" s="80"/>
      <c r="C96" s="80"/>
      <c r="D96" s="80"/>
      <c r="E96" s="80"/>
      <c r="F96" s="80"/>
      <c r="G96" s="80"/>
      <c r="H96" s="80"/>
      <c r="I96" s="80"/>
      <c r="J96" s="80"/>
      <c r="K96" s="80"/>
      <c r="L96" s="80"/>
    </row>
    <row r="97" spans="1:12" ht="14.4" customHeight="1" x14ac:dyDescent="0.3">
      <c r="A97" s="80"/>
      <c r="B97" s="80"/>
      <c r="C97" s="80"/>
      <c r="D97" s="80"/>
      <c r="E97" s="80"/>
      <c r="F97" s="80"/>
      <c r="G97" s="80"/>
      <c r="H97" s="80"/>
      <c r="I97" s="80"/>
      <c r="J97" s="80"/>
      <c r="K97" s="80"/>
      <c r="L97" s="80"/>
    </row>
    <row r="99" spans="1:12" x14ac:dyDescent="0.3">
      <c r="B99" s="40"/>
    </row>
    <row r="104" spans="1:12" ht="15.6" x14ac:dyDescent="0.3">
      <c r="A104" s="60" t="s">
        <v>373</v>
      </c>
      <c r="B104" s="46"/>
      <c r="C104" s="7"/>
      <c r="D104" s="50"/>
      <c r="E104" s="50"/>
      <c r="F104" s="50"/>
      <c r="G104" s="50"/>
      <c r="H104" s="50"/>
      <c r="I104" s="50"/>
      <c r="J104" s="50"/>
      <c r="K104" s="50"/>
    </row>
    <row r="105" spans="1:12" x14ac:dyDescent="0.3">
      <c r="A105" s="59" t="s">
        <v>374</v>
      </c>
      <c r="B105" s="46"/>
      <c r="C105" s="46"/>
      <c r="D105" s="50"/>
      <c r="E105" s="50"/>
      <c r="F105" s="50"/>
      <c r="G105" s="50"/>
      <c r="H105" s="50"/>
      <c r="I105" s="50"/>
      <c r="J105" s="50"/>
      <c r="K105" s="50"/>
    </row>
    <row r="106" spans="1:12" x14ac:dyDescent="0.3">
      <c r="A106" s="59" t="s">
        <v>375</v>
      </c>
      <c r="B106" s="7">
        <v>2005</v>
      </c>
      <c r="C106" s="7">
        <v>2010</v>
      </c>
      <c r="D106" s="7">
        <v>2015</v>
      </c>
      <c r="E106" s="7">
        <v>2020</v>
      </c>
      <c r="F106" s="7">
        <v>2025</v>
      </c>
      <c r="G106" s="7">
        <v>2030</v>
      </c>
      <c r="H106" s="7"/>
      <c r="I106" s="7"/>
      <c r="J106" s="7"/>
      <c r="K106" s="7"/>
      <c r="L106" s="7"/>
    </row>
    <row r="107" spans="1:12" x14ac:dyDescent="0.3">
      <c r="A107" s="61" t="s">
        <v>376</v>
      </c>
      <c r="B107" s="62">
        <v>0.16854201257228851</v>
      </c>
      <c r="C107" s="62">
        <v>0.10983339697122574</v>
      </c>
      <c r="D107" s="63">
        <v>0.13085220754146576</v>
      </c>
      <c r="E107" s="63">
        <v>0.13357368111610413</v>
      </c>
      <c r="F107" s="63">
        <v>0.1399369090795517</v>
      </c>
      <c r="G107" s="63">
        <v>0.15456068515777588</v>
      </c>
      <c r="H107" s="64"/>
      <c r="I107" s="64"/>
      <c r="J107" s="64"/>
      <c r="K107" s="64"/>
      <c r="L107" s="64"/>
    </row>
    <row r="108" spans="1:12" x14ac:dyDescent="0.3">
      <c r="A108" s="61" t="s">
        <v>377</v>
      </c>
      <c r="B108" s="62">
        <v>0.22168900072574615</v>
      </c>
      <c r="C108" s="62">
        <v>0.13433676958084106</v>
      </c>
      <c r="D108" s="63">
        <v>0.19125309586524963</v>
      </c>
      <c r="E108" s="63">
        <v>0.21416524052619934</v>
      </c>
      <c r="F108" s="63">
        <v>0.23164863884449005</v>
      </c>
      <c r="G108" s="63">
        <v>0.25247180461883545</v>
      </c>
      <c r="H108" s="64"/>
      <c r="I108" s="64"/>
      <c r="J108" s="64"/>
      <c r="K108" s="64"/>
      <c r="L108" s="64"/>
    </row>
    <row r="109" spans="1:12" x14ac:dyDescent="0.3">
      <c r="A109" s="61" t="s">
        <v>378</v>
      </c>
      <c r="B109" s="62">
        <v>0.13206200301647186</v>
      </c>
      <c r="C109" s="62">
        <v>0.12938638031482697</v>
      </c>
      <c r="D109" s="63">
        <v>0.18086770176887512</v>
      </c>
      <c r="E109" s="63">
        <v>0.20183037221431732</v>
      </c>
      <c r="F109" s="63">
        <v>0.21747057139873505</v>
      </c>
      <c r="G109" s="63">
        <v>0.23638400435447693</v>
      </c>
      <c r="H109" s="64"/>
      <c r="I109" s="64"/>
      <c r="J109" s="64"/>
      <c r="K109" s="64"/>
      <c r="L109" s="64"/>
    </row>
    <row r="110" spans="1:12" x14ac:dyDescent="0.3">
      <c r="A110" s="61" t="s">
        <v>379</v>
      </c>
      <c r="B110" s="62">
        <v>0.10376899689435959</v>
      </c>
      <c r="C110" s="62">
        <v>0.14705197513103485</v>
      </c>
      <c r="D110" s="63">
        <v>0.2872026264667511</v>
      </c>
      <c r="E110" s="63">
        <v>0.323182612657547</v>
      </c>
      <c r="F110" s="63">
        <v>0.35317125916481018</v>
      </c>
      <c r="G110" s="63">
        <v>0.38334399461746216</v>
      </c>
      <c r="H110" s="64"/>
      <c r="I110" s="64"/>
      <c r="J110" s="64"/>
      <c r="K110" s="64"/>
      <c r="L110" s="64"/>
    </row>
    <row r="111" spans="1:12" x14ac:dyDescent="0.3">
      <c r="A111" s="61" t="s">
        <v>380</v>
      </c>
      <c r="B111" s="62">
        <v>0</v>
      </c>
      <c r="C111" s="62">
        <v>5.9476383030414581E-2</v>
      </c>
      <c r="D111" s="63">
        <v>9.3320019543170929E-2</v>
      </c>
      <c r="E111" s="63">
        <v>9.4852723181247711E-2</v>
      </c>
      <c r="F111" s="63">
        <v>9.9789887666702271E-2</v>
      </c>
      <c r="G111" s="63">
        <v>0.11121117323637009</v>
      </c>
      <c r="H111" s="64"/>
      <c r="I111" s="64"/>
      <c r="J111" s="64"/>
      <c r="K111" s="64"/>
      <c r="L111" s="64"/>
    </row>
    <row r="112" spans="1:12" x14ac:dyDescent="0.3">
      <c r="A112" s="61" t="s">
        <v>381</v>
      </c>
      <c r="B112" s="62">
        <v>0</v>
      </c>
      <c r="C112" s="62">
        <v>0</v>
      </c>
      <c r="D112" s="63">
        <v>0</v>
      </c>
      <c r="E112" s="63">
        <v>0</v>
      </c>
      <c r="F112" s="63">
        <v>0</v>
      </c>
      <c r="G112" s="63">
        <v>0</v>
      </c>
      <c r="H112" s="64"/>
      <c r="I112" s="64"/>
      <c r="J112" s="64"/>
      <c r="K112" s="64"/>
      <c r="L112" s="64"/>
    </row>
    <row r="113" spans="1:12" x14ac:dyDescent="0.3">
      <c r="A113" s="61" t="s">
        <v>382</v>
      </c>
      <c r="B113" s="62">
        <v>0</v>
      </c>
      <c r="C113" s="62">
        <v>0</v>
      </c>
      <c r="D113" s="63">
        <v>0</v>
      </c>
      <c r="E113" s="63">
        <v>0</v>
      </c>
      <c r="F113" s="63">
        <v>0</v>
      </c>
      <c r="G113" s="63">
        <v>0</v>
      </c>
      <c r="H113" s="64"/>
      <c r="I113" s="64"/>
      <c r="J113" s="64"/>
      <c r="K113" s="64"/>
      <c r="L113" s="64"/>
    </row>
    <row r="114" spans="1:12" x14ac:dyDescent="0.3">
      <c r="A114" s="61" t="s">
        <v>383</v>
      </c>
      <c r="B114" s="62">
        <v>0</v>
      </c>
      <c r="C114" s="62">
        <v>0</v>
      </c>
      <c r="D114" s="63">
        <v>0</v>
      </c>
      <c r="E114" s="63">
        <v>0</v>
      </c>
      <c r="F114" s="63">
        <v>0</v>
      </c>
      <c r="G114" s="63">
        <v>0</v>
      </c>
      <c r="H114" s="64"/>
      <c r="I114" s="64"/>
      <c r="J114" s="64"/>
      <c r="K114" s="64"/>
      <c r="L114" s="64"/>
    </row>
    <row r="115" spans="1:12" x14ac:dyDescent="0.3">
      <c r="A115" s="61" t="s">
        <v>384</v>
      </c>
      <c r="B115" s="62">
        <v>5.1979999989271164E-3</v>
      </c>
      <c r="C115" s="62">
        <v>0.66248083114624023</v>
      </c>
      <c r="D115" s="63">
        <v>1.2350699901580811</v>
      </c>
      <c r="E115" s="63">
        <v>1.4036171436309814</v>
      </c>
      <c r="F115" s="63">
        <v>1.5546315908432007</v>
      </c>
      <c r="G115" s="63">
        <v>1.704231858253479</v>
      </c>
      <c r="H115" s="64"/>
      <c r="I115" s="64"/>
      <c r="J115" s="64"/>
      <c r="K115" s="64"/>
      <c r="L115" s="64"/>
    </row>
    <row r="116" spans="1:12" x14ac:dyDescent="0.3">
      <c r="A116" s="61" t="s">
        <v>385</v>
      </c>
      <c r="B116" s="62">
        <v>0</v>
      </c>
      <c r="C116" s="62">
        <v>0</v>
      </c>
      <c r="D116" s="63">
        <v>0</v>
      </c>
      <c r="E116" s="63">
        <v>0</v>
      </c>
      <c r="F116" s="63">
        <v>0</v>
      </c>
      <c r="G116" s="63">
        <v>0</v>
      </c>
      <c r="H116" s="64"/>
      <c r="I116" s="64"/>
      <c r="J116" s="64"/>
      <c r="K116" s="64"/>
      <c r="L116" s="64"/>
    </row>
    <row r="117" spans="1:12" x14ac:dyDescent="0.3">
      <c r="A117" s="61" t="s">
        <v>386</v>
      </c>
      <c r="B117" s="62">
        <v>0</v>
      </c>
      <c r="C117" s="62">
        <v>0</v>
      </c>
      <c r="D117" s="63">
        <v>0</v>
      </c>
      <c r="E117" s="63">
        <v>0</v>
      </c>
      <c r="F117" s="63">
        <v>0</v>
      </c>
      <c r="G117" s="63">
        <v>0</v>
      </c>
      <c r="H117" s="64"/>
      <c r="I117" s="64"/>
      <c r="J117" s="64"/>
      <c r="K117" s="64"/>
      <c r="L117" s="64"/>
    </row>
    <row r="118" spans="1:12" x14ac:dyDescent="0.3">
      <c r="A118" s="61" t="s">
        <v>387</v>
      </c>
      <c r="B118" s="62">
        <v>0.63126003742218018</v>
      </c>
      <c r="C118" s="62">
        <v>1.2425657510757446</v>
      </c>
      <c r="D118" s="63">
        <v>2.118565559387207</v>
      </c>
      <c r="E118" s="63">
        <v>2.3712217807769775</v>
      </c>
      <c r="F118" s="63">
        <v>2.5966486930847168</v>
      </c>
      <c r="G118" s="63">
        <v>2.8422036170959473</v>
      </c>
      <c r="H118" s="64"/>
      <c r="I118" s="64"/>
      <c r="J118" s="64"/>
      <c r="K118" s="64"/>
      <c r="L118" s="64"/>
    </row>
    <row r="119" spans="1:12" x14ac:dyDescent="0.3">
      <c r="A119" s="61" t="s">
        <v>388</v>
      </c>
      <c r="B119" s="62">
        <v>0</v>
      </c>
      <c r="C119" s="62">
        <v>0.14599999785423279</v>
      </c>
      <c r="D119" s="63">
        <v>0.14599999785423279</v>
      </c>
      <c r="E119" s="63">
        <v>0.14599999785423279</v>
      </c>
      <c r="F119" s="63">
        <v>0.14599999785423279</v>
      </c>
      <c r="G119" s="63">
        <v>0.14599999785423279</v>
      </c>
      <c r="H119" s="64"/>
      <c r="I119" s="64"/>
      <c r="J119" s="64"/>
      <c r="K119" s="64"/>
      <c r="L119" s="64"/>
    </row>
    <row r="120" spans="1:12" x14ac:dyDescent="0.3">
      <c r="A120" s="61" t="s">
        <v>389</v>
      </c>
      <c r="B120" s="62">
        <v>0</v>
      </c>
      <c r="C120" s="62">
        <v>0</v>
      </c>
      <c r="D120" s="63">
        <v>0</v>
      </c>
      <c r="E120" s="63">
        <v>0</v>
      </c>
      <c r="F120" s="63">
        <v>0</v>
      </c>
      <c r="G120" s="63">
        <v>0</v>
      </c>
      <c r="H120" s="64"/>
      <c r="I120" s="64"/>
      <c r="J120" s="64"/>
      <c r="K120" s="64"/>
      <c r="L120" s="64"/>
    </row>
    <row r="121" spans="1:12" x14ac:dyDescent="0.3">
      <c r="A121" s="61" t="s">
        <v>390</v>
      </c>
      <c r="B121" s="62">
        <v>0</v>
      </c>
      <c r="C121" s="62">
        <v>0.31000000238418579</v>
      </c>
      <c r="D121" s="63">
        <v>0.4649999737739563</v>
      </c>
      <c r="E121" s="63">
        <v>0.4649999737739563</v>
      </c>
      <c r="F121" s="63">
        <v>0.4649999737739563</v>
      </c>
      <c r="G121" s="63">
        <v>0.4649999737739563</v>
      </c>
      <c r="H121" s="64"/>
      <c r="I121" s="64"/>
      <c r="J121" s="64"/>
      <c r="K121" s="64"/>
      <c r="L121" s="64"/>
    </row>
    <row r="122" spans="1:12" x14ac:dyDescent="0.3">
      <c r="A122" s="7"/>
      <c r="B122" s="7"/>
      <c r="C122" s="7"/>
    </row>
    <row r="123" spans="1:12" x14ac:dyDescent="0.3">
      <c r="A123" s="7"/>
      <c r="B123" s="7"/>
      <c r="C123" s="7"/>
    </row>
    <row r="124" spans="1:12" x14ac:dyDescent="0.3">
      <c r="A124" s="61" t="s">
        <v>391</v>
      </c>
      <c r="B124" s="7"/>
      <c r="C124" s="7"/>
    </row>
    <row r="125" spans="1:12" x14ac:dyDescent="0.3">
      <c r="A125" s="61" t="s">
        <v>376</v>
      </c>
      <c r="B125" s="62">
        <v>0.20000000298023224</v>
      </c>
      <c r="C125" s="62">
        <v>0.36500000953674316</v>
      </c>
      <c r="D125" s="63">
        <v>0.36500000953674316</v>
      </c>
      <c r="E125" s="63">
        <v>0.36500000953674316</v>
      </c>
      <c r="F125" s="63">
        <v>0.36500000953674316</v>
      </c>
      <c r="G125" s="63">
        <v>0.36500000953674316</v>
      </c>
      <c r="H125" s="64"/>
      <c r="I125" s="65" t="s">
        <v>27</v>
      </c>
      <c r="J125" s="64"/>
      <c r="K125" s="64"/>
      <c r="L125" s="64"/>
    </row>
    <row r="126" spans="1:12" x14ac:dyDescent="0.3">
      <c r="A126" s="61" t="s">
        <v>377</v>
      </c>
      <c r="B126" s="62">
        <v>0.36500000953674316</v>
      </c>
      <c r="C126" s="62">
        <v>0.36500000953674316</v>
      </c>
      <c r="D126" s="63">
        <v>0.36500000953674316</v>
      </c>
      <c r="E126" s="63">
        <v>0.36500000953674316</v>
      </c>
      <c r="F126" s="63">
        <v>0.36500000953674316</v>
      </c>
      <c r="G126" s="63">
        <v>0.36500000953674316</v>
      </c>
      <c r="H126" s="64"/>
      <c r="I126" s="65" t="s">
        <v>23</v>
      </c>
      <c r="J126" s="64"/>
      <c r="K126" s="64"/>
      <c r="L126" s="64"/>
    </row>
    <row r="127" spans="1:12" x14ac:dyDescent="0.3">
      <c r="A127" s="61" t="s">
        <v>378</v>
      </c>
      <c r="B127" s="62">
        <v>0.24800001084804535</v>
      </c>
      <c r="C127" s="62">
        <v>0.44499999284744263</v>
      </c>
      <c r="D127" s="63">
        <v>0.44499999284744263</v>
      </c>
      <c r="E127" s="63">
        <v>0.44499999284744263</v>
      </c>
      <c r="F127" s="63">
        <v>0.44499999284744263</v>
      </c>
      <c r="G127" s="63">
        <v>0.44499999284744263</v>
      </c>
      <c r="H127" s="64"/>
      <c r="I127" s="65" t="s">
        <v>23</v>
      </c>
      <c r="J127" s="64"/>
      <c r="K127" s="64"/>
      <c r="L127" s="64"/>
    </row>
    <row r="128" spans="1:12" x14ac:dyDescent="0.3">
      <c r="A128" s="61" t="s">
        <v>379</v>
      </c>
      <c r="B128" s="62">
        <v>0.36500000953674316</v>
      </c>
      <c r="C128" s="62">
        <v>0.76700007915496826</v>
      </c>
      <c r="D128" s="63">
        <v>0.76700007915496826</v>
      </c>
      <c r="E128" s="63">
        <v>0.76700007915496826</v>
      </c>
      <c r="F128" s="63">
        <v>0.76700007915496826</v>
      </c>
      <c r="G128" s="63">
        <v>0.76700007915496826</v>
      </c>
      <c r="H128" s="64"/>
      <c r="I128" s="65" t="s">
        <v>21</v>
      </c>
      <c r="J128" s="64"/>
      <c r="K128" s="64"/>
      <c r="L128" s="64"/>
    </row>
    <row r="129" spans="1:12" x14ac:dyDescent="0.3">
      <c r="A129" s="61" t="s">
        <v>380</v>
      </c>
      <c r="B129" s="62">
        <v>0</v>
      </c>
      <c r="C129" s="62">
        <v>0.29199999570846558</v>
      </c>
      <c r="D129" s="63">
        <v>0.29199999570846558</v>
      </c>
      <c r="E129" s="63">
        <v>0.29199999570846558</v>
      </c>
      <c r="F129" s="63">
        <v>0.29199999570846558</v>
      </c>
      <c r="G129" s="63">
        <v>0.29199999570846558</v>
      </c>
      <c r="H129" s="64"/>
      <c r="I129" s="64"/>
      <c r="J129" s="64"/>
      <c r="K129" s="64"/>
      <c r="L129" s="64"/>
    </row>
    <row r="130" spans="1:12" x14ac:dyDescent="0.3">
      <c r="A130" s="61" t="s">
        <v>381</v>
      </c>
      <c r="B130" s="62">
        <v>0</v>
      </c>
      <c r="C130" s="62">
        <v>0</v>
      </c>
      <c r="D130" s="63">
        <v>0</v>
      </c>
      <c r="E130" s="63">
        <v>0</v>
      </c>
      <c r="F130" s="63">
        <v>0</v>
      </c>
      <c r="G130" s="63">
        <v>0</v>
      </c>
      <c r="H130" s="64"/>
      <c r="I130" s="64"/>
      <c r="J130" s="64"/>
      <c r="K130" s="64"/>
      <c r="L130" s="64"/>
    </row>
    <row r="131" spans="1:12" x14ac:dyDescent="0.3">
      <c r="A131" s="61" t="s">
        <v>382</v>
      </c>
      <c r="B131" s="62">
        <v>0</v>
      </c>
      <c r="C131" s="62">
        <v>0</v>
      </c>
      <c r="D131" s="63">
        <v>0</v>
      </c>
      <c r="E131" s="63">
        <v>0</v>
      </c>
      <c r="F131" s="63">
        <v>0</v>
      </c>
      <c r="G131" s="63">
        <v>0</v>
      </c>
      <c r="H131" s="64"/>
      <c r="I131" s="64"/>
      <c r="J131" s="64"/>
      <c r="K131" s="64"/>
      <c r="L131" s="64"/>
    </row>
    <row r="132" spans="1:12" x14ac:dyDescent="0.3">
      <c r="A132" s="61" t="s">
        <v>383</v>
      </c>
      <c r="B132" s="62">
        <v>0</v>
      </c>
      <c r="C132" s="62">
        <v>0</v>
      </c>
      <c r="D132" s="63">
        <v>0</v>
      </c>
      <c r="E132" s="63">
        <v>0</v>
      </c>
      <c r="F132" s="63">
        <v>0</v>
      </c>
      <c r="G132" s="63">
        <v>0</v>
      </c>
      <c r="H132" s="64"/>
      <c r="I132" s="64"/>
      <c r="J132" s="64"/>
      <c r="K132" s="64"/>
      <c r="L132" s="64"/>
    </row>
    <row r="133" spans="1:12" x14ac:dyDescent="0.3">
      <c r="A133" s="61" t="s">
        <v>384</v>
      </c>
      <c r="B133" s="62">
        <v>0.18299999833106995</v>
      </c>
      <c r="C133" s="62">
        <v>2.9579999446868896</v>
      </c>
      <c r="D133" s="63">
        <v>2.9579999446868896</v>
      </c>
      <c r="E133" s="63">
        <v>2.9579999446868896</v>
      </c>
      <c r="F133" s="63">
        <v>2.9579999446868896</v>
      </c>
      <c r="G133" s="63">
        <v>2.9579999446868896</v>
      </c>
      <c r="H133" s="64"/>
      <c r="I133" s="65" t="s">
        <v>21</v>
      </c>
      <c r="J133" s="64"/>
      <c r="K133" s="64"/>
      <c r="L133" s="64"/>
    </row>
    <row r="134" spans="1:12" x14ac:dyDescent="0.3">
      <c r="A134" s="61" t="s">
        <v>385</v>
      </c>
      <c r="B134" s="62">
        <v>0</v>
      </c>
      <c r="C134" s="62">
        <v>0</v>
      </c>
      <c r="D134" s="63">
        <v>0</v>
      </c>
      <c r="E134" s="63">
        <v>0</v>
      </c>
      <c r="F134" s="63">
        <v>0</v>
      </c>
      <c r="G134" s="63">
        <v>0</v>
      </c>
      <c r="H134" s="64"/>
      <c r="I134" s="64"/>
      <c r="J134" s="64"/>
      <c r="K134" s="64"/>
      <c r="L134" s="64"/>
    </row>
    <row r="135" spans="1:12" x14ac:dyDescent="0.3">
      <c r="A135" s="61" t="s">
        <v>386</v>
      </c>
      <c r="B135" s="62">
        <v>0</v>
      </c>
      <c r="C135" s="62">
        <v>0</v>
      </c>
      <c r="D135" s="63">
        <v>0</v>
      </c>
      <c r="E135" s="63">
        <v>0</v>
      </c>
      <c r="F135" s="63">
        <v>0</v>
      </c>
      <c r="G135" s="63">
        <v>0</v>
      </c>
      <c r="H135" s="64"/>
      <c r="I135" s="64"/>
      <c r="J135" s="64"/>
      <c r="K135" s="64"/>
      <c r="L135" s="64"/>
    </row>
    <row r="136" spans="1:12" x14ac:dyDescent="0.3">
      <c r="A136" s="61" t="s">
        <v>387</v>
      </c>
      <c r="B136" s="62">
        <v>1.3609999418258667</v>
      </c>
      <c r="C136" s="62">
        <v>5.1919999122619629</v>
      </c>
      <c r="D136" s="63">
        <v>5.1919999122619629</v>
      </c>
      <c r="E136" s="63">
        <v>5.1919999122619629</v>
      </c>
      <c r="F136" s="63">
        <v>5.1919999122619629</v>
      </c>
      <c r="G136" s="63">
        <v>5.1919999122619629</v>
      </c>
      <c r="H136" s="64"/>
      <c r="I136" s="64"/>
      <c r="J136" s="64"/>
      <c r="K136" s="64"/>
      <c r="L136" s="64"/>
    </row>
  </sheetData>
  <hyperlinks>
    <hyperlink ref="V24" r:id="rId1"/>
  </hyperlinks>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5"/>
  <sheetViews>
    <sheetView workbookViewId="0">
      <selection activeCell="F13" sqref="F13"/>
    </sheetView>
  </sheetViews>
  <sheetFormatPr defaultRowHeight="14.4" x14ac:dyDescent="0.3"/>
  <cols>
    <col min="2" max="2" width="15.44140625" customWidth="1"/>
    <col min="3" max="3" width="14.6640625" customWidth="1"/>
    <col min="4" max="4" width="20.5546875" bestFit="1" customWidth="1"/>
    <col min="5" max="5" width="13.88671875" bestFit="1" customWidth="1"/>
    <col min="6" max="6" width="30.33203125" bestFit="1" customWidth="1"/>
    <col min="7" max="7" width="12" bestFit="1" customWidth="1"/>
    <col min="8" max="8" width="28.88671875" style="25" customWidth="1"/>
    <col min="9" max="9" width="13.88671875" bestFit="1" customWidth="1"/>
    <col min="13" max="13" width="19.33203125" customWidth="1"/>
    <col min="15" max="15" width="14.5546875" customWidth="1"/>
  </cols>
  <sheetData>
    <row r="1" spans="1:1" ht="15.6" x14ac:dyDescent="0.3">
      <c r="A1" s="36" t="s">
        <v>394</v>
      </c>
    </row>
    <row r="2" spans="1:1" x14ac:dyDescent="0.3">
      <c r="A2" t="s">
        <v>395</v>
      </c>
    </row>
    <row r="3" spans="1:1" x14ac:dyDescent="0.3">
      <c r="A3" t="s">
        <v>396</v>
      </c>
    </row>
    <row r="4" spans="1:1" x14ac:dyDescent="0.3">
      <c r="A4" t="s">
        <v>397</v>
      </c>
    </row>
    <row r="5" spans="1:1" x14ac:dyDescent="0.3">
      <c r="A5" t="s">
        <v>398</v>
      </c>
    </row>
    <row r="7" spans="1:1" x14ac:dyDescent="0.3">
      <c r="A7" t="s">
        <v>399</v>
      </c>
    </row>
    <row r="8" spans="1:1" x14ac:dyDescent="0.3">
      <c r="A8" t="s">
        <v>400</v>
      </c>
    </row>
    <row r="9" spans="1:1" x14ac:dyDescent="0.3">
      <c r="A9" t="s">
        <v>401</v>
      </c>
    </row>
    <row r="10" spans="1:1" x14ac:dyDescent="0.3">
      <c r="A10" t="s">
        <v>402</v>
      </c>
    </row>
    <row r="11" spans="1:1" x14ac:dyDescent="0.3">
      <c r="A11" t="s">
        <v>403</v>
      </c>
    </row>
    <row r="13" spans="1:1" x14ac:dyDescent="0.3">
      <c r="A13" t="s">
        <v>404</v>
      </c>
    </row>
    <row r="14" spans="1:1" x14ac:dyDescent="0.3">
      <c r="A14" t="s">
        <v>405</v>
      </c>
    </row>
    <row r="15" spans="1:1" x14ac:dyDescent="0.3">
      <c r="A15" t="s">
        <v>406</v>
      </c>
    </row>
    <row r="16" spans="1:1" x14ac:dyDescent="0.3">
      <c r="A16" t="s">
        <v>407</v>
      </c>
    </row>
    <row r="17" spans="1:6" x14ac:dyDescent="0.3">
      <c r="A17" t="s">
        <v>408</v>
      </c>
    </row>
    <row r="18" spans="1:6" x14ac:dyDescent="0.3">
      <c r="A18" t="s">
        <v>405</v>
      </c>
    </row>
    <row r="19" spans="1:6" x14ac:dyDescent="0.3">
      <c r="B19" s="66" t="s">
        <v>409</v>
      </c>
      <c r="C19" s="66" t="s">
        <v>410</v>
      </c>
      <c r="D19" s="66" t="s">
        <v>411</v>
      </c>
      <c r="E19" s="66" t="s">
        <v>412</v>
      </c>
      <c r="F19" s="66" t="s">
        <v>413</v>
      </c>
    </row>
    <row r="20" spans="1:6" x14ac:dyDescent="0.3">
      <c r="A20" t="s">
        <v>414</v>
      </c>
      <c r="B20" s="66"/>
      <c r="C20" s="66"/>
      <c r="D20" s="66"/>
      <c r="E20" s="66"/>
      <c r="F20" s="66"/>
    </row>
    <row r="21" spans="1:6" x14ac:dyDescent="0.3">
      <c r="B21" s="66">
        <v>0.25</v>
      </c>
      <c r="C21" s="66">
        <v>0.21</v>
      </c>
      <c r="D21" s="66">
        <v>0.54</v>
      </c>
      <c r="E21" s="66">
        <v>2.3E-2</v>
      </c>
      <c r="F21" s="67">
        <v>0.5</v>
      </c>
    </row>
    <row r="23" spans="1:6" x14ac:dyDescent="0.3">
      <c r="A23" t="s">
        <v>415</v>
      </c>
    </row>
    <row r="24" spans="1:6" x14ac:dyDescent="0.3">
      <c r="A24" t="s">
        <v>416</v>
      </c>
    </row>
    <row r="25" spans="1:6" x14ac:dyDescent="0.3">
      <c r="A25" t="s">
        <v>417</v>
      </c>
    </row>
    <row r="26" spans="1:6" x14ac:dyDescent="0.3">
      <c r="A26" t="s">
        <v>418</v>
      </c>
    </row>
    <row r="27" spans="1:6" x14ac:dyDescent="0.3">
      <c r="A27" t="s">
        <v>419</v>
      </c>
    </row>
    <row r="28" spans="1:6" x14ac:dyDescent="0.3">
      <c r="A28" t="s">
        <v>420</v>
      </c>
    </row>
    <row r="29" spans="1:6" x14ac:dyDescent="0.3">
      <c r="A29" t="s">
        <v>421</v>
      </c>
    </row>
    <row r="30" spans="1:6" x14ac:dyDescent="0.3">
      <c r="A30" t="s">
        <v>422</v>
      </c>
    </row>
    <row r="31" spans="1:6" x14ac:dyDescent="0.3">
      <c r="A31" t="s">
        <v>423</v>
      </c>
    </row>
    <row r="32" spans="1:6" x14ac:dyDescent="0.3">
      <c r="A32" t="s">
        <v>424</v>
      </c>
    </row>
    <row r="34" spans="1:16" x14ac:dyDescent="0.3">
      <c r="A34" t="s">
        <v>425</v>
      </c>
    </row>
    <row r="35" spans="1:16" x14ac:dyDescent="0.3">
      <c r="A35" t="s">
        <v>426</v>
      </c>
    </row>
    <row r="36" spans="1:16" x14ac:dyDescent="0.3">
      <c r="A36" t="s">
        <v>427</v>
      </c>
    </row>
    <row r="37" spans="1:16" x14ac:dyDescent="0.3">
      <c r="A37" t="s">
        <v>428</v>
      </c>
    </row>
    <row r="38" spans="1:16" x14ac:dyDescent="0.3">
      <c r="A38" t="s">
        <v>429</v>
      </c>
      <c r="M38" s="68" t="s">
        <v>430</v>
      </c>
    </row>
    <row r="39" spans="1:16" s="8" customFormat="1" ht="13.2" x14ac:dyDescent="0.25">
      <c r="B39" s="3" t="s">
        <v>431</v>
      </c>
      <c r="C39" s="3" t="s">
        <v>432</v>
      </c>
      <c r="D39" s="3"/>
      <c r="E39" s="3"/>
      <c r="F39" s="3"/>
      <c r="G39" s="3"/>
      <c r="H39" s="101" t="s">
        <v>433</v>
      </c>
      <c r="I39" s="101"/>
      <c r="J39" s="3"/>
      <c r="K39" s="3"/>
      <c r="M39" s="68">
        <v>1.8</v>
      </c>
    </row>
    <row r="40" spans="1:16" x14ac:dyDescent="0.3">
      <c r="B40" s="25" t="s">
        <v>434</v>
      </c>
      <c r="C40" s="25" t="s">
        <v>435</v>
      </c>
      <c r="D40" s="25" t="s">
        <v>436</v>
      </c>
      <c r="E40" s="25" t="s">
        <v>437</v>
      </c>
      <c r="F40" s="25" t="s">
        <v>438</v>
      </c>
      <c r="G40" s="25" t="s">
        <v>439</v>
      </c>
      <c r="H40" s="42" t="s">
        <v>440</v>
      </c>
      <c r="I40" s="42" t="s">
        <v>441</v>
      </c>
      <c r="J40" s="25" t="s">
        <v>442</v>
      </c>
      <c r="K40" s="25" t="s">
        <v>443</v>
      </c>
      <c r="M40" s="69"/>
      <c r="O40" s="25" t="s">
        <v>444</v>
      </c>
      <c r="P40" s="25" t="s">
        <v>445</v>
      </c>
    </row>
    <row r="41" spans="1:16" x14ac:dyDescent="0.3">
      <c r="B41" s="25">
        <v>1</v>
      </c>
      <c r="C41" s="25">
        <v>1</v>
      </c>
      <c r="D41" s="25">
        <v>141</v>
      </c>
      <c r="E41" s="25">
        <v>2.3959999999999999</v>
      </c>
      <c r="F41" s="25">
        <v>5.5540000000000003</v>
      </c>
      <c r="G41" s="25">
        <v>7.81</v>
      </c>
      <c r="H41" s="70">
        <f t="shared" ref="H41:H79" si="0">E41*$B$21+F41*$C$21+G41*$D$21</f>
        <v>5.9827400000000006</v>
      </c>
      <c r="I41" s="71">
        <f>H41*D41*[1]Conv!$D$31/365/[1]Conv!$D$6/[1]Conv!$J$5/10^9</f>
        <v>2.4976189593051727</v>
      </c>
      <c r="J41" s="25" t="str">
        <f t="shared" ref="J41:K79" si="1">VLOOKUP(B41,$O$41:$P$62,2,FALSE)</f>
        <v>R1</v>
      </c>
      <c r="K41" s="25" t="str">
        <f t="shared" si="1"/>
        <v>R1</v>
      </c>
      <c r="L41" s="72"/>
      <c r="M41" s="73">
        <f>I41*$M$39</f>
        <v>4.495714126749311</v>
      </c>
      <c r="O41" s="25">
        <v>1</v>
      </c>
      <c r="P41" s="25" t="s">
        <v>27</v>
      </c>
    </row>
    <row r="42" spans="1:16" x14ac:dyDescent="0.3">
      <c r="B42" s="25">
        <v>2</v>
      </c>
      <c r="C42" s="25">
        <v>1</v>
      </c>
      <c r="D42" s="25">
        <v>208</v>
      </c>
      <c r="E42" s="25">
        <v>2.3959999999999999</v>
      </c>
      <c r="F42" s="25">
        <v>5.5540000000000003</v>
      </c>
      <c r="G42" s="25">
        <v>7.81</v>
      </c>
      <c r="H42" s="70">
        <f t="shared" si="0"/>
        <v>5.9827400000000006</v>
      </c>
      <c r="I42" s="71">
        <f>H42*D42*[1]Conv!$D$31/365/[1]Conv!$D$6/[1]Conv!$J$5/10^9</f>
        <v>3.6844308052161412</v>
      </c>
      <c r="J42" s="74" t="str">
        <f t="shared" si="1"/>
        <v>R2</v>
      </c>
      <c r="K42" s="74" t="str">
        <f t="shared" si="1"/>
        <v>R1</v>
      </c>
      <c r="M42" s="73">
        <f t="shared" ref="M42:M79" si="2">I42*$M$39</f>
        <v>6.6319754493890546</v>
      </c>
      <c r="O42" s="25">
        <v>2</v>
      </c>
      <c r="P42" s="25" t="s">
        <v>26</v>
      </c>
    </row>
    <row r="43" spans="1:16" x14ac:dyDescent="0.3">
      <c r="B43" s="25">
        <v>2</v>
      </c>
      <c r="C43" s="25">
        <v>2</v>
      </c>
      <c r="D43" s="25">
        <v>268</v>
      </c>
      <c r="E43" s="25">
        <v>2.3959999999999999</v>
      </c>
      <c r="F43" s="25">
        <v>5.5540000000000003</v>
      </c>
      <c r="G43" s="25">
        <v>7.81</v>
      </c>
      <c r="H43" s="70">
        <f t="shared" si="0"/>
        <v>5.9827400000000006</v>
      </c>
      <c r="I43" s="71">
        <f>H43*D43*[1]Conv!$D$31/365/[1]Conv!$D$6/[1]Conv!$J$5/10^9</f>
        <v>4.7472473836438756</v>
      </c>
      <c r="J43" s="25" t="str">
        <f t="shared" si="1"/>
        <v>R2</v>
      </c>
      <c r="K43" s="25" t="str">
        <f t="shared" si="1"/>
        <v>R2</v>
      </c>
      <c r="M43" s="73">
        <f t="shared" si="2"/>
        <v>8.545045290558976</v>
      </c>
      <c r="O43" s="25">
        <v>3</v>
      </c>
      <c r="P43" s="25" t="s">
        <v>25</v>
      </c>
    </row>
    <row r="44" spans="1:16" x14ac:dyDescent="0.3">
      <c r="B44" s="25">
        <v>3</v>
      </c>
      <c r="C44" s="25">
        <v>2</v>
      </c>
      <c r="D44" s="25">
        <v>264</v>
      </c>
      <c r="E44" s="25">
        <v>2.3959999999999999</v>
      </c>
      <c r="F44" s="25">
        <v>5.5540000000000003</v>
      </c>
      <c r="G44" s="25">
        <v>5.2629999999999999</v>
      </c>
      <c r="H44" s="70">
        <f t="shared" si="0"/>
        <v>4.6073599999999999</v>
      </c>
      <c r="I44" s="71">
        <f>H44*D44*[1]Conv!$D$31/365/[1]Conv!$D$6/[1]Conv!$J$5/10^9</f>
        <v>3.6013307948286428</v>
      </c>
      <c r="J44" s="74" t="str">
        <f t="shared" si="1"/>
        <v>R3</v>
      </c>
      <c r="K44" s="74" t="str">
        <f t="shared" si="1"/>
        <v>R2</v>
      </c>
      <c r="M44" s="73">
        <f t="shared" si="2"/>
        <v>6.4823954306915574</v>
      </c>
      <c r="O44" s="25">
        <v>4</v>
      </c>
      <c r="P44" s="25" t="s">
        <v>24</v>
      </c>
    </row>
    <row r="45" spans="1:16" x14ac:dyDescent="0.3">
      <c r="B45" s="25">
        <v>3</v>
      </c>
      <c r="C45" s="25">
        <v>3</v>
      </c>
      <c r="D45" s="25">
        <v>238</v>
      </c>
      <c r="E45" s="25">
        <v>2.2599999999999998</v>
      </c>
      <c r="F45" s="25">
        <v>2.3530000000000002</v>
      </c>
      <c r="G45" s="25">
        <v>3.2429999999999999</v>
      </c>
      <c r="H45" s="70">
        <f t="shared" si="0"/>
        <v>2.8103499999999997</v>
      </c>
      <c r="I45" s="71">
        <f>H45*D45*[1]Conv!$D$31/365/[1]Conv!$D$6/[1]Conv!$J$5/10^9</f>
        <v>1.980360737560277</v>
      </c>
      <c r="J45" s="25" t="str">
        <f t="shared" si="1"/>
        <v>R3</v>
      </c>
      <c r="K45" s="25" t="str">
        <f t="shared" si="1"/>
        <v>R3</v>
      </c>
      <c r="M45" s="73">
        <f t="shared" si="2"/>
        <v>3.5646493276084987</v>
      </c>
      <c r="O45" s="25">
        <v>5</v>
      </c>
      <c r="P45" s="25" t="s">
        <v>23</v>
      </c>
    </row>
    <row r="46" spans="1:16" x14ac:dyDescent="0.3">
      <c r="B46" s="25">
        <v>3</v>
      </c>
      <c r="C46" s="25">
        <v>5</v>
      </c>
      <c r="D46" s="25">
        <v>510</v>
      </c>
      <c r="E46" s="25">
        <v>1.6739999999999999</v>
      </c>
      <c r="F46" s="25">
        <v>5.0590000000000002</v>
      </c>
      <c r="G46" s="25">
        <v>6.7869999999999999</v>
      </c>
      <c r="H46" s="70">
        <f t="shared" si="0"/>
        <v>5.1458700000000004</v>
      </c>
      <c r="I46" s="71">
        <f>H46*D46*[1]Conv!$D$31/365/[1]Conv!$D$6/[1]Conv!$J$5/10^9</f>
        <v>7.7702667247261807</v>
      </c>
      <c r="J46" s="74" t="str">
        <f t="shared" si="1"/>
        <v>R3</v>
      </c>
      <c r="K46" s="74" t="str">
        <f t="shared" si="1"/>
        <v>R5</v>
      </c>
      <c r="M46" s="73">
        <f t="shared" si="2"/>
        <v>13.986480104507125</v>
      </c>
      <c r="O46" s="25">
        <v>6</v>
      </c>
      <c r="P46" s="25" t="s">
        <v>22</v>
      </c>
    </row>
    <row r="47" spans="1:16" x14ac:dyDescent="0.3">
      <c r="B47" s="25">
        <v>4</v>
      </c>
      <c r="C47" s="25">
        <v>3</v>
      </c>
      <c r="D47" s="25">
        <v>604</v>
      </c>
      <c r="E47" s="25">
        <v>2.012</v>
      </c>
      <c r="F47" s="25">
        <v>4.6379999999999999</v>
      </c>
      <c r="G47" s="25">
        <v>6.34</v>
      </c>
      <c r="H47" s="70">
        <f t="shared" si="0"/>
        <v>4.9005799999999997</v>
      </c>
      <c r="I47" s="71">
        <f>H47*D47*[1]Conv!$D$31/365/[1]Conv!$D$6/[1]Conv!$J$5/10^9</f>
        <v>8.7637778883323065</v>
      </c>
      <c r="J47" s="74" t="str">
        <f t="shared" si="1"/>
        <v>R4</v>
      </c>
      <c r="K47" s="74" t="str">
        <f t="shared" si="1"/>
        <v>R3</v>
      </c>
      <c r="M47" s="73">
        <f t="shared" si="2"/>
        <v>15.774800198998152</v>
      </c>
      <c r="O47" s="25">
        <v>7</v>
      </c>
      <c r="P47" s="25" t="s">
        <v>21</v>
      </c>
    </row>
    <row r="48" spans="1:16" x14ac:dyDescent="0.3">
      <c r="B48" s="25">
        <v>4</v>
      </c>
      <c r="C48" s="25">
        <v>4</v>
      </c>
      <c r="D48" s="25">
        <v>338</v>
      </c>
      <c r="E48" s="25">
        <v>1.9870000000000001</v>
      </c>
      <c r="F48" s="25">
        <v>4.6379999999999999</v>
      </c>
      <c r="G48" s="25">
        <v>6.34</v>
      </c>
      <c r="H48" s="70">
        <f t="shared" si="0"/>
        <v>4.8943300000000001</v>
      </c>
      <c r="I48" s="71">
        <f>H48*D48*[1]Conv!$D$31/365/[1]Conv!$D$6/[1]Conv!$J$5/10^9</f>
        <v>4.8979786623189314</v>
      </c>
      <c r="J48" s="25" t="str">
        <f t="shared" si="1"/>
        <v>R4</v>
      </c>
      <c r="K48" s="25" t="str">
        <f t="shared" si="1"/>
        <v>R4</v>
      </c>
      <c r="M48" s="73">
        <f t="shared" si="2"/>
        <v>8.8163615921740774</v>
      </c>
      <c r="O48" s="25">
        <v>8</v>
      </c>
      <c r="P48" s="25" t="s">
        <v>20</v>
      </c>
    </row>
    <row r="49" spans="2:16" x14ac:dyDescent="0.3">
      <c r="B49" s="25">
        <v>5</v>
      </c>
      <c r="C49" s="25">
        <v>2</v>
      </c>
      <c r="D49" s="25">
        <v>523</v>
      </c>
      <c r="E49" s="25">
        <v>1.6739999999999999</v>
      </c>
      <c r="F49" s="25">
        <v>5.0590000000000002</v>
      </c>
      <c r="G49" s="25">
        <v>6.7869999999999999</v>
      </c>
      <c r="H49" s="70">
        <f t="shared" si="0"/>
        <v>5.1458700000000004</v>
      </c>
      <c r="I49" s="71">
        <f>H49*D49*[1]Conv!$D$31/365/[1]Conv!$D$6/[1]Conv!$J$5/10^9</f>
        <v>7.9683323471211613</v>
      </c>
      <c r="J49" s="74" t="str">
        <f t="shared" si="1"/>
        <v>R5</v>
      </c>
      <c r="K49" s="74" t="str">
        <f t="shared" si="1"/>
        <v>R2</v>
      </c>
      <c r="M49" s="73">
        <f t="shared" si="2"/>
        <v>14.342998224818091</v>
      </c>
      <c r="O49" s="25">
        <v>9</v>
      </c>
      <c r="P49" s="25" t="s">
        <v>19</v>
      </c>
    </row>
    <row r="50" spans="2:16" x14ac:dyDescent="0.3">
      <c r="B50" s="25">
        <v>5</v>
      </c>
      <c r="C50" s="25">
        <v>5</v>
      </c>
      <c r="D50" s="25">
        <v>194</v>
      </c>
      <c r="E50" s="25">
        <v>1.6739999999999999</v>
      </c>
      <c r="F50" s="25">
        <v>5.0590000000000002</v>
      </c>
      <c r="G50" s="25">
        <v>6.7869999999999999</v>
      </c>
      <c r="H50" s="70">
        <f t="shared" si="0"/>
        <v>5.1458700000000004</v>
      </c>
      <c r="I50" s="71">
        <f>H50*D50*[1]Conv!$D$31/365/[1]Conv!$D$6/[1]Conv!$J$5/10^9</f>
        <v>2.9557485188174093</v>
      </c>
      <c r="J50" s="25" t="str">
        <f t="shared" si="1"/>
        <v>R5</v>
      </c>
      <c r="K50" s="25" t="str">
        <f t="shared" si="1"/>
        <v>R5</v>
      </c>
      <c r="M50" s="73">
        <f t="shared" si="2"/>
        <v>5.3203473338713367</v>
      </c>
      <c r="O50" s="25">
        <v>10</v>
      </c>
      <c r="P50" s="25" t="s">
        <v>23</v>
      </c>
    </row>
    <row r="51" spans="2:16" x14ac:dyDescent="0.3">
      <c r="B51" s="25">
        <v>6</v>
      </c>
      <c r="C51" s="25">
        <v>3</v>
      </c>
      <c r="D51" s="25">
        <v>494</v>
      </c>
      <c r="E51" s="25">
        <v>1.6739999999999999</v>
      </c>
      <c r="F51" s="25">
        <v>5.0590000000000002</v>
      </c>
      <c r="G51" s="25">
        <v>6.7869999999999999</v>
      </c>
      <c r="H51" s="70">
        <f t="shared" si="0"/>
        <v>5.1458700000000004</v>
      </c>
      <c r="I51" s="71">
        <f>H51*D51*[1]Conv!$D$31/365/[1]Conv!$D$6/[1]Conv!$J$5/10^9</f>
        <v>7.5264936510092806</v>
      </c>
      <c r="J51" s="74" t="str">
        <f t="shared" si="1"/>
        <v>R6</v>
      </c>
      <c r="K51" s="74" t="str">
        <f t="shared" si="1"/>
        <v>R3</v>
      </c>
      <c r="M51" s="73">
        <f t="shared" si="2"/>
        <v>13.547688571816705</v>
      </c>
      <c r="O51" s="25">
        <v>11</v>
      </c>
      <c r="P51" s="25" t="s">
        <v>20</v>
      </c>
    </row>
    <row r="52" spans="2:16" x14ac:dyDescent="0.3">
      <c r="B52" s="25">
        <v>6</v>
      </c>
      <c r="C52" s="25">
        <v>5</v>
      </c>
      <c r="D52" s="25">
        <v>447</v>
      </c>
      <c r="E52" s="25">
        <v>1.6739999999999999</v>
      </c>
      <c r="F52" s="25">
        <v>5.0590000000000002</v>
      </c>
      <c r="G52" s="25">
        <v>6.7869999999999999</v>
      </c>
      <c r="H52" s="70">
        <f t="shared" si="0"/>
        <v>5.1458700000000004</v>
      </c>
      <c r="I52" s="71">
        <f>H52*D52*[1]Conv!$D$31/365/[1]Conv!$D$6/[1]Conv!$J$5/10^9</f>
        <v>6.8104102469658869</v>
      </c>
      <c r="J52" s="75" t="str">
        <f t="shared" si="1"/>
        <v>R6</v>
      </c>
      <c r="K52" s="75" t="str">
        <f t="shared" si="1"/>
        <v>R5</v>
      </c>
      <c r="M52" s="73">
        <f t="shared" si="2"/>
        <v>12.258738444538597</v>
      </c>
      <c r="O52" s="25">
        <v>12</v>
      </c>
      <c r="P52" s="25" t="s">
        <v>19</v>
      </c>
    </row>
    <row r="53" spans="2:16" x14ac:dyDescent="0.3">
      <c r="B53" s="25">
        <v>6</v>
      </c>
      <c r="C53" s="25">
        <v>6</v>
      </c>
      <c r="D53" s="25">
        <v>364</v>
      </c>
      <c r="E53" s="25">
        <v>1.6739999999999999</v>
      </c>
      <c r="F53" s="25">
        <v>5.0590000000000002</v>
      </c>
      <c r="G53" s="25">
        <v>6.7869999999999999</v>
      </c>
      <c r="H53" s="70">
        <f t="shared" si="0"/>
        <v>5.1458700000000004</v>
      </c>
      <c r="I53" s="71">
        <f>H53*D53*[1]Conv!$D$31/365/[1]Conv!$D$6/[1]Conv!$J$5/10^9</f>
        <v>5.5458374270594692</v>
      </c>
      <c r="J53" s="25" t="str">
        <f t="shared" si="1"/>
        <v>R6</v>
      </c>
      <c r="K53" s="25" t="str">
        <f t="shared" si="1"/>
        <v>R6</v>
      </c>
      <c r="M53" s="73">
        <f t="shared" si="2"/>
        <v>9.9825073687070454</v>
      </c>
      <c r="O53" s="25">
        <v>13</v>
      </c>
      <c r="P53" s="25" t="s">
        <v>446</v>
      </c>
    </row>
    <row r="54" spans="2:16" x14ac:dyDescent="0.3">
      <c r="B54" s="25">
        <v>6</v>
      </c>
      <c r="C54" s="25">
        <v>10</v>
      </c>
      <c r="D54" s="25">
        <v>478</v>
      </c>
      <c r="E54" s="25">
        <v>1.6739999999999999</v>
      </c>
      <c r="F54" s="25">
        <v>6.2910000000000004</v>
      </c>
      <c r="G54" s="25">
        <v>6.7869999999999999</v>
      </c>
      <c r="H54" s="70">
        <f t="shared" si="0"/>
        <v>5.4045900000000007</v>
      </c>
      <c r="I54" s="71">
        <f>H54*D54*[1]Conv!$D$31/365/[1]Conv!$D$6/[1]Conv!$J$5/10^9</f>
        <v>7.6488754680605284</v>
      </c>
      <c r="J54" s="75" t="str">
        <f t="shared" si="1"/>
        <v>R6</v>
      </c>
      <c r="K54" s="75" t="str">
        <f t="shared" si="1"/>
        <v>R5</v>
      </c>
      <c r="M54" s="73">
        <f t="shared" si="2"/>
        <v>13.767975842508951</v>
      </c>
      <c r="O54" s="25">
        <v>14</v>
      </c>
      <c r="P54" s="25" t="s">
        <v>446</v>
      </c>
    </row>
    <row r="55" spans="2:16" x14ac:dyDescent="0.3">
      <c r="B55" s="25">
        <v>7</v>
      </c>
      <c r="C55" s="25">
        <v>4</v>
      </c>
      <c r="D55" s="25">
        <v>534</v>
      </c>
      <c r="E55" s="25">
        <v>1.78</v>
      </c>
      <c r="F55" s="25">
        <v>3.2330000000000001</v>
      </c>
      <c r="G55" s="25">
        <v>3.6280000000000001</v>
      </c>
      <c r="H55" s="70">
        <f t="shared" si="0"/>
        <v>3.0830500000000001</v>
      </c>
      <c r="I55" s="71">
        <f>H55*D55*[1]Conv!$D$31/365/[1]Conv!$D$6/[1]Conv!$J$5/10^9</f>
        <v>4.8744853033697666</v>
      </c>
      <c r="J55" s="74" t="str">
        <f t="shared" si="1"/>
        <v>R7</v>
      </c>
      <c r="K55" s="74" t="str">
        <f t="shared" si="1"/>
        <v>R4</v>
      </c>
      <c r="M55" s="73">
        <f t="shared" si="2"/>
        <v>8.7740735460655799</v>
      </c>
      <c r="O55" s="25">
        <v>15</v>
      </c>
      <c r="P55" s="25" t="s">
        <v>446</v>
      </c>
    </row>
    <row r="56" spans="2:16" x14ac:dyDescent="0.3">
      <c r="B56" s="25">
        <v>7</v>
      </c>
      <c r="C56" s="25">
        <v>6</v>
      </c>
      <c r="D56" s="25">
        <v>395</v>
      </c>
      <c r="E56" s="25">
        <v>1.78</v>
      </c>
      <c r="F56" s="25">
        <v>3.2330000000000001</v>
      </c>
      <c r="G56" s="25">
        <v>3.6280000000000001</v>
      </c>
      <c r="H56" s="70">
        <f t="shared" si="0"/>
        <v>3.0830500000000001</v>
      </c>
      <c r="I56" s="71">
        <f>H56*D56*[1]Conv!$D$31/365/[1]Conv!$D$6/[1]Conv!$J$5/10^9</f>
        <v>3.6056586045525432</v>
      </c>
      <c r="J56" s="74" t="str">
        <f t="shared" si="1"/>
        <v>R7</v>
      </c>
      <c r="K56" s="74" t="str">
        <f t="shared" si="1"/>
        <v>R6</v>
      </c>
      <c r="M56" s="73">
        <f t="shared" si="2"/>
        <v>6.4901854881945775</v>
      </c>
      <c r="O56" s="25">
        <v>16</v>
      </c>
      <c r="P56" s="25" t="s">
        <v>446</v>
      </c>
    </row>
    <row r="57" spans="2:16" x14ac:dyDescent="0.3">
      <c r="B57" s="25">
        <v>7</v>
      </c>
      <c r="C57" s="25">
        <v>7</v>
      </c>
      <c r="D57" s="25">
        <v>277</v>
      </c>
      <c r="E57" s="25">
        <v>1.78</v>
      </c>
      <c r="F57" s="25">
        <v>3.2330000000000001</v>
      </c>
      <c r="G57" s="25">
        <v>3.6280000000000001</v>
      </c>
      <c r="H57" s="70">
        <f t="shared" si="0"/>
        <v>3.0830500000000001</v>
      </c>
      <c r="I57" s="71">
        <f>H57*D57*[1]Conv!$D$31/365/[1]Conv!$D$6/[1]Conv!$J$5/10^9</f>
        <v>2.5285251480026689</v>
      </c>
      <c r="J57" s="25" t="str">
        <f t="shared" si="1"/>
        <v>R7</v>
      </c>
      <c r="K57" s="25" t="str">
        <f t="shared" si="1"/>
        <v>R7</v>
      </c>
      <c r="M57" s="73">
        <f t="shared" si="2"/>
        <v>4.5513452664048044</v>
      </c>
      <c r="O57" s="25">
        <v>17</v>
      </c>
      <c r="P57" s="25" t="s">
        <v>446</v>
      </c>
    </row>
    <row r="58" spans="2:16" x14ac:dyDescent="0.3">
      <c r="B58" s="25">
        <v>7</v>
      </c>
      <c r="C58" s="25">
        <v>11</v>
      </c>
      <c r="D58" s="25">
        <v>469</v>
      </c>
      <c r="E58" s="25">
        <v>1.78</v>
      </c>
      <c r="F58" s="25">
        <v>3.2330000000000001</v>
      </c>
      <c r="G58" s="25">
        <v>3.6280000000000001</v>
      </c>
      <c r="H58" s="70">
        <f t="shared" si="0"/>
        <v>3.0830500000000001</v>
      </c>
      <c r="I58" s="71">
        <f>H58*D58*[1]Conv!$D$31/365/[1]Conv!$D$6/[1]Conv!$J$5/10^9</f>
        <v>4.2811490773041578</v>
      </c>
      <c r="J58" s="74" t="str">
        <f t="shared" si="1"/>
        <v>R7</v>
      </c>
      <c r="K58" s="74" t="str">
        <f t="shared" si="1"/>
        <v>R8</v>
      </c>
      <c r="M58" s="73">
        <f t="shared" si="2"/>
        <v>7.7060683391474845</v>
      </c>
      <c r="O58" s="25">
        <v>18</v>
      </c>
      <c r="P58" s="25" t="s">
        <v>446</v>
      </c>
    </row>
    <row r="59" spans="2:16" x14ac:dyDescent="0.3">
      <c r="B59" s="25">
        <v>8</v>
      </c>
      <c r="C59" s="25">
        <v>4</v>
      </c>
      <c r="D59" s="25">
        <v>613</v>
      </c>
      <c r="E59" s="25">
        <v>2.331</v>
      </c>
      <c r="F59" s="25">
        <v>4.2140000000000004</v>
      </c>
      <c r="G59" s="25">
        <v>3.3809999999999998</v>
      </c>
      <c r="H59" s="70">
        <f t="shared" si="0"/>
        <v>3.2934299999999999</v>
      </c>
      <c r="I59" s="71">
        <f>H59*D59*[1]Conv!$D$31/365/[1]Conv!$D$6/[1]Conv!$J$5/10^9</f>
        <v>5.9774486227195114</v>
      </c>
      <c r="J59" s="74" t="str">
        <f t="shared" si="1"/>
        <v>R8</v>
      </c>
      <c r="K59" s="74" t="str">
        <f t="shared" si="1"/>
        <v>R4</v>
      </c>
      <c r="M59" s="73">
        <f t="shared" si="2"/>
        <v>10.75940752089512</v>
      </c>
      <c r="O59" s="25">
        <v>19</v>
      </c>
      <c r="P59" s="25" t="s">
        <v>446</v>
      </c>
    </row>
    <row r="60" spans="2:16" x14ac:dyDescent="0.3">
      <c r="B60" s="25">
        <v>8</v>
      </c>
      <c r="C60" s="25">
        <v>7</v>
      </c>
      <c r="D60" s="25">
        <v>700</v>
      </c>
      <c r="E60" s="25">
        <v>1.6319999999999999</v>
      </c>
      <c r="F60" s="25">
        <v>4.2140000000000004</v>
      </c>
      <c r="G60" s="25">
        <v>3.3809999999999998</v>
      </c>
      <c r="H60" s="70">
        <f t="shared" si="0"/>
        <v>3.1186799999999999</v>
      </c>
      <c r="I60" s="71">
        <f>H60*D60*[1]Conv!$D$31/365/[1]Conv!$D$6/[1]Conv!$J$5/10^9</f>
        <v>6.4636196925592104</v>
      </c>
      <c r="J60" s="74" t="str">
        <f t="shared" si="1"/>
        <v>R8</v>
      </c>
      <c r="K60" s="74" t="str">
        <f t="shared" si="1"/>
        <v>R7</v>
      </c>
      <c r="M60" s="73">
        <f t="shared" si="2"/>
        <v>11.63451544660658</v>
      </c>
      <c r="O60" s="25">
        <v>20</v>
      </c>
      <c r="P60" s="25" t="s">
        <v>447</v>
      </c>
    </row>
    <row r="61" spans="2:16" x14ac:dyDescent="0.3">
      <c r="B61" s="25">
        <v>8</v>
      </c>
      <c r="C61" s="25">
        <v>8</v>
      </c>
      <c r="D61" s="25">
        <v>525</v>
      </c>
      <c r="E61" s="25">
        <v>1.6319999999999999</v>
      </c>
      <c r="F61" s="25">
        <v>4.2140000000000004</v>
      </c>
      <c r="G61" s="25">
        <v>3.3809999999999998</v>
      </c>
      <c r="H61" s="70">
        <f t="shared" si="0"/>
        <v>3.1186799999999999</v>
      </c>
      <c r="I61" s="71">
        <f>H61*D61*[1]Conv!$D$31/365/[1]Conv!$D$6/[1]Conv!$J$5/10^9</f>
        <v>4.847714769419408</v>
      </c>
      <c r="J61" s="25" t="str">
        <f t="shared" si="1"/>
        <v>R8</v>
      </c>
      <c r="K61" s="25" t="str">
        <f t="shared" si="1"/>
        <v>R8</v>
      </c>
      <c r="M61" s="73">
        <f t="shared" si="2"/>
        <v>8.7258865849549352</v>
      </c>
      <c r="O61" s="25">
        <v>21</v>
      </c>
      <c r="P61" s="25" t="s">
        <v>447</v>
      </c>
    </row>
    <row r="62" spans="2:16" x14ac:dyDescent="0.3">
      <c r="B62" s="25">
        <v>8</v>
      </c>
      <c r="C62" s="25">
        <v>9</v>
      </c>
      <c r="D62" s="25">
        <v>790</v>
      </c>
      <c r="E62" s="25">
        <v>1.6319999999999999</v>
      </c>
      <c r="F62" s="25">
        <v>4.2140000000000004</v>
      </c>
      <c r="G62" s="25">
        <v>3.3809999999999998</v>
      </c>
      <c r="H62" s="70">
        <f t="shared" si="0"/>
        <v>3.1186799999999999</v>
      </c>
      <c r="I62" s="71">
        <f>H62*D62*[1]Conv!$D$31/365/[1]Conv!$D$6/[1]Conv!$J$5/10^9</f>
        <v>7.2946565101739651</v>
      </c>
      <c r="J62" s="74" t="str">
        <f t="shared" si="1"/>
        <v>R8</v>
      </c>
      <c r="K62" s="74" t="str">
        <f t="shared" si="1"/>
        <v>R9</v>
      </c>
      <c r="M62" s="73">
        <f t="shared" si="2"/>
        <v>13.130381718313137</v>
      </c>
      <c r="O62" s="25">
        <v>22</v>
      </c>
      <c r="P62" s="25" t="s">
        <v>447</v>
      </c>
    </row>
    <row r="63" spans="2:16" x14ac:dyDescent="0.3">
      <c r="B63" s="25">
        <v>8</v>
      </c>
      <c r="C63" s="25">
        <v>11</v>
      </c>
      <c r="D63" s="25">
        <v>355</v>
      </c>
      <c r="E63" s="25">
        <v>1.6319999999999999</v>
      </c>
      <c r="F63" s="25">
        <v>4.2140000000000004</v>
      </c>
      <c r="G63" s="25">
        <v>3.3809999999999998</v>
      </c>
      <c r="H63" s="70">
        <f t="shared" si="0"/>
        <v>3.1186799999999999</v>
      </c>
      <c r="I63" s="71">
        <f>H63*D63*[1]Conv!$D$31/365/[1]Conv!$D$6/[1]Conv!$J$5/10^9</f>
        <v>3.2779785583693135</v>
      </c>
      <c r="J63" s="25" t="str">
        <f t="shared" si="1"/>
        <v>R8</v>
      </c>
      <c r="K63" s="25" t="str">
        <f t="shared" si="1"/>
        <v>R8</v>
      </c>
      <c r="M63" s="73">
        <f t="shared" si="2"/>
        <v>5.9003614050647641</v>
      </c>
    </row>
    <row r="64" spans="2:16" x14ac:dyDescent="0.3">
      <c r="B64" s="25">
        <v>8</v>
      </c>
      <c r="C64" s="25">
        <v>12</v>
      </c>
      <c r="D64" s="25">
        <v>710</v>
      </c>
      <c r="E64" s="25">
        <v>1.6319999999999999</v>
      </c>
      <c r="F64" s="25">
        <v>4.2140000000000004</v>
      </c>
      <c r="G64" s="25">
        <v>3.3809999999999998</v>
      </c>
      <c r="H64" s="70">
        <f t="shared" si="0"/>
        <v>3.1186799999999999</v>
      </c>
      <c r="I64" s="71">
        <f>H64*D64*[1]Conv!$D$31/365/[1]Conv!$D$6/[1]Conv!$J$5/10^9</f>
        <v>6.555957116738627</v>
      </c>
      <c r="J64" s="25" t="str">
        <f t="shared" si="1"/>
        <v>R8</v>
      </c>
      <c r="K64" s="25" t="str">
        <f t="shared" si="1"/>
        <v>R9</v>
      </c>
      <c r="M64" s="73">
        <f t="shared" si="2"/>
        <v>11.800722810129528</v>
      </c>
    </row>
    <row r="65" spans="2:13" x14ac:dyDescent="0.3">
      <c r="B65" s="25">
        <v>9</v>
      </c>
      <c r="C65" s="25">
        <v>9</v>
      </c>
      <c r="D65" s="25">
        <v>465</v>
      </c>
      <c r="E65" s="25">
        <v>1.2350000000000001</v>
      </c>
      <c r="F65" s="25">
        <v>4.2140000000000004</v>
      </c>
      <c r="G65" s="25">
        <v>3.3809999999999998</v>
      </c>
      <c r="H65" s="70">
        <f t="shared" si="0"/>
        <v>3.0194299999999998</v>
      </c>
      <c r="I65" s="71">
        <f>H65*D65*[1]Conv!$D$31/365/[1]Conv!$D$6/[1]Conv!$J$5/10^9</f>
        <v>4.1570462740927869</v>
      </c>
      <c r="J65" s="25" t="str">
        <f t="shared" si="1"/>
        <v>R9</v>
      </c>
      <c r="K65" s="25" t="str">
        <f t="shared" si="1"/>
        <v>R9</v>
      </c>
      <c r="M65" s="73">
        <f t="shared" si="2"/>
        <v>7.4826832933670167</v>
      </c>
    </row>
    <row r="66" spans="2:13" x14ac:dyDescent="0.3">
      <c r="B66" s="25">
        <v>9</v>
      </c>
      <c r="C66" s="25">
        <v>12</v>
      </c>
      <c r="D66" s="25">
        <v>355</v>
      </c>
      <c r="E66" s="25">
        <v>1.2350000000000001</v>
      </c>
      <c r="F66" s="25">
        <v>4.2140000000000004</v>
      </c>
      <c r="G66" s="25">
        <v>3.3809999999999998</v>
      </c>
      <c r="H66" s="70">
        <f t="shared" si="0"/>
        <v>3.0194299999999998</v>
      </c>
      <c r="I66" s="71">
        <f>H66*D66*[1]Conv!$D$31/365/[1]Conv!$D$6/[1]Conv!$J$5/10^9</f>
        <v>3.1736589834471811</v>
      </c>
      <c r="J66" s="25" t="str">
        <f t="shared" si="1"/>
        <v>R9</v>
      </c>
      <c r="K66" s="25" t="str">
        <f t="shared" si="1"/>
        <v>R9</v>
      </c>
      <c r="M66" s="73">
        <f t="shared" si="2"/>
        <v>5.7125861702049265</v>
      </c>
    </row>
    <row r="67" spans="2:13" x14ac:dyDescent="0.3">
      <c r="B67" s="25">
        <v>10</v>
      </c>
      <c r="C67" s="25">
        <v>10</v>
      </c>
      <c r="D67" s="25">
        <v>150</v>
      </c>
      <c r="E67" s="25">
        <v>1.6739999999999999</v>
      </c>
      <c r="F67" s="25">
        <v>6.2910000000000004</v>
      </c>
      <c r="G67" s="25">
        <v>6.7869999999999999</v>
      </c>
      <c r="H67" s="70">
        <f t="shared" si="0"/>
        <v>5.4045900000000007</v>
      </c>
      <c r="I67" s="71">
        <f>H67*D67*[1]Conv!$D$31/365/[1]Conv!$D$6/[1]Conv!$J$5/10^9</f>
        <v>2.400274728470877</v>
      </c>
      <c r="J67" s="25" t="str">
        <f t="shared" si="1"/>
        <v>R5</v>
      </c>
      <c r="K67" s="25" t="str">
        <f t="shared" si="1"/>
        <v>R5</v>
      </c>
      <c r="M67" s="73">
        <f t="shared" si="2"/>
        <v>4.3204945112475786</v>
      </c>
    </row>
    <row r="68" spans="2:13" x14ac:dyDescent="0.3">
      <c r="B68" s="25">
        <v>11</v>
      </c>
      <c r="C68" s="25">
        <v>7</v>
      </c>
      <c r="D68" s="25">
        <v>277</v>
      </c>
      <c r="E68" s="25">
        <v>1.347</v>
      </c>
      <c r="F68" s="25">
        <v>3.2330000000000001</v>
      </c>
      <c r="G68" s="25">
        <v>3.6280000000000001</v>
      </c>
      <c r="H68" s="70">
        <f t="shared" si="0"/>
        <v>2.9748000000000001</v>
      </c>
      <c r="I68" s="71">
        <f>H68*D68*[1]Conv!$D$31/365/[1]Conv!$D$6/[1]Conv!$J$5/10^9</f>
        <v>2.439745255600247</v>
      </c>
      <c r="J68" s="25" t="str">
        <f t="shared" si="1"/>
        <v>R8</v>
      </c>
      <c r="K68" s="25" t="str">
        <f t="shared" si="1"/>
        <v>R7</v>
      </c>
      <c r="M68" s="73">
        <f t="shared" si="2"/>
        <v>4.391541460080445</v>
      </c>
    </row>
    <row r="69" spans="2:13" x14ac:dyDescent="0.3">
      <c r="B69" s="25">
        <v>11</v>
      </c>
      <c r="C69" s="25">
        <v>11</v>
      </c>
      <c r="D69" s="25">
        <v>504</v>
      </c>
      <c r="E69" s="25">
        <v>1.2350000000000001</v>
      </c>
      <c r="F69" s="25">
        <v>3.2330000000000001</v>
      </c>
      <c r="G69" s="25">
        <v>3.6280000000000001</v>
      </c>
      <c r="H69" s="70">
        <f t="shared" si="0"/>
        <v>2.9468000000000005</v>
      </c>
      <c r="I69" s="71">
        <f>H69*D69*[1]Conv!$D$31/365/[1]Conv!$D$6/[1]Conv!$J$5/10^9</f>
        <v>4.3973206764477624</v>
      </c>
      <c r="J69" s="25" t="str">
        <f t="shared" si="1"/>
        <v>R8</v>
      </c>
      <c r="K69" s="25" t="str">
        <f t="shared" si="1"/>
        <v>R8</v>
      </c>
      <c r="M69" s="73">
        <f t="shared" si="2"/>
        <v>7.9151772176059723</v>
      </c>
    </row>
    <row r="70" spans="2:13" x14ac:dyDescent="0.3">
      <c r="B70" s="25">
        <v>11</v>
      </c>
      <c r="C70" s="25">
        <v>12</v>
      </c>
      <c r="D70" s="25">
        <v>320</v>
      </c>
      <c r="E70" s="25">
        <v>1.2350000000000001</v>
      </c>
      <c r="F70" s="25">
        <v>3.2330000000000001</v>
      </c>
      <c r="G70" s="25">
        <v>3.6280000000000001</v>
      </c>
      <c r="H70" s="70">
        <f t="shared" si="0"/>
        <v>2.9468000000000005</v>
      </c>
      <c r="I70" s="71">
        <f>H70*D70*[1]Conv!$D$31/365/[1]Conv!$D$6/[1]Conv!$J$5/10^9</f>
        <v>2.7919496358398495</v>
      </c>
      <c r="J70" s="25" t="str">
        <f t="shared" si="1"/>
        <v>R8</v>
      </c>
      <c r="K70" s="25" t="str">
        <f t="shared" si="1"/>
        <v>R9</v>
      </c>
      <c r="M70" s="73">
        <f t="shared" si="2"/>
        <v>5.0255093445117289</v>
      </c>
    </row>
    <row r="71" spans="2:13" x14ac:dyDescent="0.3">
      <c r="B71" s="25">
        <v>12</v>
      </c>
      <c r="C71" s="25">
        <v>12</v>
      </c>
      <c r="D71" s="25">
        <v>385</v>
      </c>
      <c r="E71" s="25">
        <v>1.2350000000000001</v>
      </c>
      <c r="F71" s="25">
        <v>3.0070000000000001</v>
      </c>
      <c r="G71" s="25">
        <v>3.3069999999999999</v>
      </c>
      <c r="H71" s="70">
        <f t="shared" si="0"/>
        <v>2.726</v>
      </c>
      <c r="I71" s="71">
        <f>H71*D71*[1]Conv!$D$31/365/[1]Conv!$D$6/[1]Conv!$J$5/10^9</f>
        <v>3.1073739547032795</v>
      </c>
      <c r="J71" s="25" t="str">
        <f t="shared" si="1"/>
        <v>R9</v>
      </c>
      <c r="K71" s="25" t="str">
        <f t="shared" si="1"/>
        <v>R9</v>
      </c>
      <c r="M71" s="73">
        <f t="shared" si="2"/>
        <v>5.5932731184659028</v>
      </c>
    </row>
    <row r="72" spans="2:13" x14ac:dyDescent="0.3">
      <c r="B72" s="25">
        <v>13</v>
      </c>
      <c r="C72" s="25">
        <v>1</v>
      </c>
      <c r="D72" s="25">
        <v>218</v>
      </c>
      <c r="E72" s="25">
        <v>2.3959999999999999</v>
      </c>
      <c r="F72" s="25">
        <v>5.5540000000000003</v>
      </c>
      <c r="G72" s="25">
        <v>3.4860000000000002</v>
      </c>
      <c r="H72" s="70">
        <f t="shared" si="0"/>
        <v>3.64778</v>
      </c>
      <c r="I72" s="71">
        <f>H72*D72*[1]Conv!$D$31/365/[1]Conv!$D$6/[1]Conv!$J$5/10^9</f>
        <v>2.3544640937754586</v>
      </c>
      <c r="J72" s="74" t="str">
        <f t="shared" si="1"/>
        <v>C</v>
      </c>
      <c r="K72" s="74" t="str">
        <f t="shared" si="1"/>
        <v>R1</v>
      </c>
      <c r="M72" s="73">
        <f t="shared" si="2"/>
        <v>4.2380353687958259</v>
      </c>
    </row>
    <row r="73" spans="2:13" x14ac:dyDescent="0.3">
      <c r="B73" s="25">
        <v>14</v>
      </c>
      <c r="C73" s="25">
        <v>2</v>
      </c>
      <c r="D73" s="25">
        <v>137</v>
      </c>
      <c r="E73" s="25">
        <v>2.1659999999999999</v>
      </c>
      <c r="F73" s="25">
        <v>5.5540000000000003</v>
      </c>
      <c r="G73" s="25">
        <v>3.4860000000000002</v>
      </c>
      <c r="H73" s="70">
        <f t="shared" si="0"/>
        <v>3.5902800000000004</v>
      </c>
      <c r="I73" s="71">
        <f>H73*D73*[1]Conv!$D$31/365/[1]Conv!$D$6/[1]Conv!$J$5/10^9</f>
        <v>1.4563166916052412</v>
      </c>
      <c r="J73" s="74" t="str">
        <f t="shared" si="1"/>
        <v>C</v>
      </c>
      <c r="K73" s="74" t="str">
        <f t="shared" si="1"/>
        <v>R2</v>
      </c>
      <c r="M73" s="73">
        <f t="shared" si="2"/>
        <v>2.6213700448894341</v>
      </c>
    </row>
    <row r="74" spans="2:13" x14ac:dyDescent="0.3">
      <c r="B74" s="25">
        <v>15</v>
      </c>
      <c r="C74" s="25">
        <v>3</v>
      </c>
      <c r="D74" s="25">
        <v>163</v>
      </c>
      <c r="E74" s="25">
        <v>2.1720000000000002</v>
      </c>
      <c r="F74" s="25">
        <v>4.6379999999999999</v>
      </c>
      <c r="G74" s="25">
        <v>3.2429999999999999</v>
      </c>
      <c r="H74" s="70">
        <f t="shared" si="0"/>
        <v>3.2682000000000002</v>
      </c>
      <c r="I74" s="71">
        <f>H74*D74*[1]Conv!$D$31/365/[1]Conv!$D$6/[1]Conv!$J$5/10^9</f>
        <v>1.5772595669198821</v>
      </c>
      <c r="J74" s="74" t="str">
        <f t="shared" si="1"/>
        <v>C</v>
      </c>
      <c r="K74" s="74" t="str">
        <f t="shared" si="1"/>
        <v>R3</v>
      </c>
      <c r="M74" s="73">
        <f t="shared" si="2"/>
        <v>2.8390672204557879</v>
      </c>
    </row>
    <row r="75" spans="2:13" x14ac:dyDescent="0.3">
      <c r="B75" s="25">
        <v>16</v>
      </c>
      <c r="C75" s="25">
        <v>4</v>
      </c>
      <c r="D75" s="25">
        <v>300</v>
      </c>
      <c r="E75" s="25">
        <v>2.012</v>
      </c>
      <c r="F75" s="25">
        <v>3.4249999999999998</v>
      </c>
      <c r="G75" s="25">
        <v>2.2149999999999999</v>
      </c>
      <c r="H75" s="70">
        <f t="shared" si="0"/>
        <v>2.4183499999999998</v>
      </c>
      <c r="I75" s="71">
        <f>H75*D75*[1]Conv!$D$31/365/[1]Conv!$D$6/[1]Conv!$J$5/10^9</f>
        <v>2.1480646597050077</v>
      </c>
      <c r="J75" s="74" t="str">
        <f t="shared" si="1"/>
        <v>C</v>
      </c>
      <c r="K75" s="74" t="str">
        <f t="shared" si="1"/>
        <v>R4</v>
      </c>
      <c r="M75" s="73">
        <f t="shared" si="2"/>
        <v>3.866516387469014</v>
      </c>
    </row>
    <row r="76" spans="2:13" x14ac:dyDescent="0.3">
      <c r="B76" s="25">
        <v>17</v>
      </c>
      <c r="C76" s="25">
        <v>4</v>
      </c>
      <c r="D76" s="25">
        <v>955</v>
      </c>
      <c r="E76" s="25">
        <v>2.012</v>
      </c>
      <c r="F76" s="25">
        <v>4.2140000000000004</v>
      </c>
      <c r="G76" s="25">
        <v>2.2149999999999999</v>
      </c>
      <c r="H76" s="70">
        <f t="shared" si="0"/>
        <v>2.5840399999999999</v>
      </c>
      <c r="I76" s="71">
        <f>H76*D76*[1]Conv!$D$31/365/[1]Conv!$D$6/[1]Conv!$J$5/10^9</f>
        <v>7.3065026128245059</v>
      </c>
      <c r="J76" s="74" t="str">
        <f t="shared" si="1"/>
        <v>C</v>
      </c>
      <c r="K76" s="74" t="str">
        <f t="shared" si="1"/>
        <v>R4</v>
      </c>
      <c r="M76" s="73">
        <f t="shared" si="2"/>
        <v>13.151704703084111</v>
      </c>
    </row>
    <row r="77" spans="2:13" x14ac:dyDescent="0.3">
      <c r="B77" s="25">
        <v>17</v>
      </c>
      <c r="C77" s="25">
        <v>8</v>
      </c>
      <c r="D77" s="25">
        <v>620</v>
      </c>
      <c r="E77" s="25">
        <v>2.012</v>
      </c>
      <c r="F77" s="25">
        <v>4.2140000000000004</v>
      </c>
      <c r="G77" s="25">
        <v>1.9</v>
      </c>
      <c r="H77" s="70">
        <f t="shared" si="0"/>
        <v>2.4139400000000002</v>
      </c>
      <c r="I77" s="71">
        <f>H77*D77*[1]Conv!$D$31/365/[1]Conv!$D$6/[1]Conv!$J$5/10^9</f>
        <v>4.4312382504351451</v>
      </c>
      <c r="J77" s="74" t="str">
        <f t="shared" si="1"/>
        <v>C</v>
      </c>
      <c r="K77" s="74" t="str">
        <f t="shared" si="1"/>
        <v>R8</v>
      </c>
      <c r="M77" s="73">
        <f t="shared" si="2"/>
        <v>7.9762288507832615</v>
      </c>
    </row>
    <row r="78" spans="2:13" x14ac:dyDescent="0.3">
      <c r="B78" s="25">
        <v>18</v>
      </c>
      <c r="C78" s="25">
        <v>9</v>
      </c>
      <c r="D78" s="25">
        <v>265</v>
      </c>
      <c r="E78" s="25">
        <v>1.2350000000000001</v>
      </c>
      <c r="F78" s="25">
        <v>4.2140000000000004</v>
      </c>
      <c r="G78" s="25">
        <v>3.3809999999999998</v>
      </c>
      <c r="H78" s="70">
        <f t="shared" si="0"/>
        <v>3.0194299999999998</v>
      </c>
      <c r="I78" s="71">
        <f>H78*D78*[1]Conv!$D$31/365/[1]Conv!$D$6/[1]Conv!$J$5/10^9</f>
        <v>2.3690693820098683</v>
      </c>
      <c r="J78" s="74" t="str">
        <f t="shared" si="1"/>
        <v>C</v>
      </c>
      <c r="K78" s="74" t="str">
        <f t="shared" si="1"/>
        <v>R9</v>
      </c>
      <c r="M78" s="73">
        <f t="shared" si="2"/>
        <v>4.2643248876177626</v>
      </c>
    </row>
    <row r="79" spans="2:13" x14ac:dyDescent="0.3">
      <c r="B79" s="25">
        <v>19</v>
      </c>
      <c r="C79" s="25">
        <v>9</v>
      </c>
      <c r="D79" s="25">
        <v>793</v>
      </c>
      <c r="E79" s="25">
        <v>1.2350000000000001</v>
      </c>
      <c r="F79" s="25">
        <v>4.2140000000000004</v>
      </c>
      <c r="G79" s="25">
        <v>3.3809999999999998</v>
      </c>
      <c r="H79" s="70">
        <f t="shared" si="0"/>
        <v>3.0194299999999998</v>
      </c>
      <c r="I79" s="71">
        <f>H79*D79*[1]Conv!$D$31/365/[1]Conv!$D$6/[1]Conv!$J$5/10^9</f>
        <v>7.0893283771087754</v>
      </c>
      <c r="J79" s="74" t="str">
        <f t="shared" si="1"/>
        <v>C</v>
      </c>
      <c r="K79" s="74" t="str">
        <f t="shared" si="1"/>
        <v>R9</v>
      </c>
      <c r="M79" s="73">
        <f t="shared" si="2"/>
        <v>12.760791078795796</v>
      </c>
    </row>
    <row r="84" spans="1:7" x14ac:dyDescent="0.3">
      <c r="A84" t="s">
        <v>448</v>
      </c>
    </row>
    <row r="85" spans="1:7" x14ac:dyDescent="0.3">
      <c r="A85" t="s">
        <v>449</v>
      </c>
    </row>
    <row r="87" spans="1:7" x14ac:dyDescent="0.3">
      <c r="B87" t="s">
        <v>450</v>
      </c>
      <c r="C87" t="s">
        <v>451</v>
      </c>
      <c r="D87" t="s">
        <v>452</v>
      </c>
      <c r="E87" t="s">
        <v>82</v>
      </c>
      <c r="F87" t="s">
        <v>453</v>
      </c>
      <c r="G87" t="s">
        <v>80</v>
      </c>
    </row>
    <row r="88" spans="1:7" x14ac:dyDescent="0.3">
      <c r="C88" t="s">
        <v>454</v>
      </c>
      <c r="D88" t="s">
        <v>455</v>
      </c>
      <c r="E88" t="s">
        <v>456</v>
      </c>
      <c r="F88" t="s">
        <v>457</v>
      </c>
      <c r="G88" t="s">
        <v>458</v>
      </c>
    </row>
    <row r="89" spans="1:7" x14ac:dyDescent="0.3">
      <c r="A89" t="s">
        <v>459</v>
      </c>
      <c r="B89" t="s">
        <v>460</v>
      </c>
      <c r="C89">
        <v>14.6</v>
      </c>
      <c r="D89">
        <v>3.9</v>
      </c>
      <c r="E89" s="76">
        <f>C89*1000*[1]Conv!$D$38/D89/365/[1]Conv!$D$6/[1]Conv!$J$5/10^9</f>
        <v>9.5119372563945817</v>
      </c>
      <c r="F89">
        <v>22</v>
      </c>
      <c r="G89" s="76">
        <f>(1+F89/100)*D89*365*[1]Conv!$D$6*[1]Conv!$J$5*10^9</f>
        <v>1872.5943537974397</v>
      </c>
    </row>
    <row r="90" spans="1:7" x14ac:dyDescent="0.3">
      <c r="A90" t="s">
        <v>461</v>
      </c>
      <c r="B90" t="s">
        <v>462</v>
      </c>
      <c r="C90">
        <v>5.0999999999999996</v>
      </c>
      <c r="D90">
        <v>1.1000000000000001</v>
      </c>
      <c r="E90" s="76">
        <f>C90*1000*[1]Conv!$D$38/D90/365/[1]Conv!$D$6/[1]Conv!$J$5/10^9</f>
        <v>11.780350686780087</v>
      </c>
      <c r="F90">
        <v>58</v>
      </c>
      <c r="G90" s="76">
        <f>(1+F90/100)*D90*365*[1]Conv!$D$6*[1]Conv!$J$5*10^9</f>
        <v>684.02038396384</v>
      </c>
    </row>
    <row r="92" spans="1:7" x14ac:dyDescent="0.3">
      <c r="A92" t="s">
        <v>463</v>
      </c>
    </row>
    <row r="93" spans="1:7" x14ac:dyDescent="0.3">
      <c r="A93" t="s">
        <v>464</v>
      </c>
    </row>
    <row r="94" spans="1:7" x14ac:dyDescent="0.3">
      <c r="A94" t="s">
        <v>465</v>
      </c>
    </row>
    <row r="95" spans="1:7" x14ac:dyDescent="0.3">
      <c r="A95" t="s">
        <v>466</v>
      </c>
    </row>
  </sheetData>
  <mergeCells count="1">
    <mergeCell ref="H39:I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3"/>
  <sheetViews>
    <sheetView workbookViewId="0">
      <selection activeCell="E15" sqref="E15"/>
    </sheetView>
  </sheetViews>
  <sheetFormatPr defaultRowHeight="14.4" x14ac:dyDescent="0.3"/>
  <cols>
    <col min="2" max="2" width="10.6640625" bestFit="1" customWidth="1"/>
    <col min="3" max="3" width="51.33203125" bestFit="1" customWidth="1"/>
  </cols>
  <sheetData>
    <row r="1" spans="1:32" ht="27" customHeight="1" x14ac:dyDescent="0.3">
      <c r="G1" s="16" t="s">
        <v>76</v>
      </c>
      <c r="H1" s="16" t="s">
        <v>77</v>
      </c>
      <c r="I1" s="16" t="s">
        <v>78</v>
      </c>
      <c r="J1" s="16" t="s">
        <v>79</v>
      </c>
      <c r="K1" s="17" t="s">
        <v>80</v>
      </c>
      <c r="L1" s="16" t="s">
        <v>81</v>
      </c>
      <c r="M1" s="16" t="s">
        <v>81</v>
      </c>
      <c r="N1" s="16" t="s">
        <v>81</v>
      </c>
      <c r="O1" s="16" t="s">
        <v>81</v>
      </c>
      <c r="P1" s="16" t="s">
        <v>81</v>
      </c>
      <c r="Q1" s="16" t="s">
        <v>81</v>
      </c>
      <c r="R1" s="16" t="s">
        <v>81</v>
      </c>
      <c r="S1" s="16" t="s">
        <v>81</v>
      </c>
      <c r="T1" s="16" t="s">
        <v>81</v>
      </c>
      <c r="U1" s="16" t="s">
        <v>81</v>
      </c>
      <c r="V1" s="16" t="s">
        <v>81</v>
      </c>
      <c r="W1" s="18" t="s">
        <v>82</v>
      </c>
    </row>
    <row r="2" spans="1:32" ht="17.25" customHeight="1" x14ac:dyDescent="0.3">
      <c r="G2" s="19"/>
      <c r="H2" s="19"/>
      <c r="I2" s="19"/>
      <c r="J2" s="20"/>
      <c r="K2" s="20"/>
      <c r="L2" s="7"/>
      <c r="M2" s="7"/>
      <c r="N2" s="7"/>
      <c r="O2" s="7"/>
      <c r="P2" s="7"/>
      <c r="Q2" s="7"/>
      <c r="R2" s="7"/>
      <c r="S2" s="7"/>
      <c r="T2" s="7"/>
      <c r="U2" s="7"/>
      <c r="V2" s="7"/>
      <c r="W2" s="9"/>
    </row>
    <row r="3" spans="1:32" ht="15.75" customHeight="1" x14ac:dyDescent="0.3">
      <c r="B3" s="8" t="s">
        <v>83</v>
      </c>
      <c r="C3" s="8" t="s">
        <v>84</v>
      </c>
      <c r="D3" s="8" t="s">
        <v>85</v>
      </c>
      <c r="E3" s="8" t="s">
        <v>86</v>
      </c>
      <c r="F3" s="8" t="s">
        <v>87</v>
      </c>
      <c r="G3" s="21" t="s">
        <v>88</v>
      </c>
      <c r="H3" s="21" t="s">
        <v>88</v>
      </c>
      <c r="I3" s="21"/>
      <c r="J3" s="21"/>
      <c r="K3" s="21"/>
      <c r="L3" s="22" t="s">
        <v>89</v>
      </c>
      <c r="M3" s="22">
        <v>2010</v>
      </c>
      <c r="N3" s="22" t="s">
        <v>90</v>
      </c>
      <c r="O3" s="22" t="s">
        <v>91</v>
      </c>
      <c r="P3" s="22" t="s">
        <v>92</v>
      </c>
      <c r="Q3" s="22" t="s">
        <v>93</v>
      </c>
      <c r="R3" s="22" t="s">
        <v>94</v>
      </c>
      <c r="S3" s="22">
        <v>2040</v>
      </c>
      <c r="T3" s="22">
        <v>2045</v>
      </c>
      <c r="U3" s="22">
        <v>2050</v>
      </c>
      <c r="V3" s="22" t="s">
        <v>95</v>
      </c>
      <c r="W3" s="9"/>
    </row>
    <row r="4" spans="1:32" x14ac:dyDescent="0.3">
      <c r="A4" s="8" t="s">
        <v>96</v>
      </c>
      <c r="G4" s="7"/>
      <c r="H4" s="7"/>
      <c r="I4" s="7"/>
      <c r="J4" s="7"/>
      <c r="K4" s="7"/>
      <c r="L4" s="7"/>
      <c r="M4" s="7"/>
      <c r="N4" s="7"/>
      <c r="O4" s="7"/>
      <c r="P4" s="7"/>
      <c r="Q4" s="7"/>
      <c r="R4" s="7"/>
      <c r="S4" s="7"/>
      <c r="T4" s="7"/>
      <c r="U4" s="7"/>
      <c r="V4" s="7"/>
      <c r="W4" s="9"/>
      <c r="X4" s="7"/>
      <c r="Y4" s="7"/>
      <c r="Z4" s="7"/>
      <c r="AA4" s="7"/>
      <c r="AB4" s="7"/>
      <c r="AC4" s="7"/>
      <c r="AD4" s="7"/>
      <c r="AE4" s="7"/>
      <c r="AF4" s="7"/>
    </row>
    <row r="5" spans="1:32" x14ac:dyDescent="0.3">
      <c r="A5" s="8" t="s">
        <v>32</v>
      </c>
      <c r="G5" s="7"/>
      <c r="H5" s="7"/>
      <c r="I5" s="7"/>
      <c r="J5" s="7"/>
      <c r="K5" s="7"/>
      <c r="L5" s="7"/>
      <c r="M5" s="7"/>
      <c r="N5" s="7"/>
      <c r="O5" s="7"/>
      <c r="P5" s="7"/>
      <c r="Q5" s="7"/>
      <c r="R5" s="7"/>
      <c r="S5" s="7"/>
      <c r="T5" s="7"/>
      <c r="U5" s="7"/>
      <c r="V5" s="7"/>
      <c r="W5" s="9"/>
      <c r="X5" s="10"/>
    </row>
    <row r="6" spans="1:32" x14ac:dyDescent="0.3">
      <c r="A6" s="11" t="s">
        <v>27</v>
      </c>
      <c r="B6" s="11" t="s">
        <v>33</v>
      </c>
      <c r="C6" s="11" t="s">
        <v>34</v>
      </c>
      <c r="D6" s="11" t="s">
        <v>35</v>
      </c>
      <c r="E6" s="12" t="s">
        <v>36</v>
      </c>
      <c r="F6" s="12" t="s">
        <v>37</v>
      </c>
      <c r="G6" s="7">
        <v>2005</v>
      </c>
      <c r="H6" s="7">
        <v>55</v>
      </c>
      <c r="I6" s="9">
        <v>1</v>
      </c>
      <c r="J6" s="9">
        <v>1</v>
      </c>
      <c r="K6" s="13">
        <f>NGCap!B23*NGCap!$O$4*NGCap!$O$5*10^9</f>
        <v>228.88562420676499</v>
      </c>
      <c r="L6" s="7"/>
      <c r="M6" s="7"/>
      <c r="N6" s="7"/>
      <c r="O6" s="7"/>
      <c r="P6" s="7"/>
      <c r="Q6" s="7"/>
      <c r="R6" s="7"/>
      <c r="S6" s="7"/>
      <c r="T6" s="7"/>
      <c r="U6" s="7"/>
      <c r="V6" s="7"/>
      <c r="W6" s="9"/>
      <c r="X6" s="10"/>
    </row>
    <row r="7" spans="1:32" x14ac:dyDescent="0.3">
      <c r="A7" s="11" t="s">
        <v>26</v>
      </c>
      <c r="B7" s="11" t="s">
        <v>38</v>
      </c>
      <c r="C7" s="11" t="s">
        <v>39</v>
      </c>
      <c r="E7" s="12" t="s">
        <v>40</v>
      </c>
      <c r="F7" s="12" t="s">
        <v>37</v>
      </c>
      <c r="G7" s="7">
        <v>2005</v>
      </c>
      <c r="H7" s="7">
        <v>55</v>
      </c>
      <c r="I7" s="9">
        <v>1</v>
      </c>
      <c r="J7" s="9">
        <v>1</v>
      </c>
      <c r="K7" s="13">
        <f>NGCap!B24*NGCap!$O$4*NGCap!$O$5*10^9</f>
        <v>468.14853664237756</v>
      </c>
      <c r="L7" s="7"/>
      <c r="M7" s="7"/>
      <c r="N7" s="7"/>
      <c r="O7" s="7"/>
      <c r="P7" s="7"/>
      <c r="Q7" s="7"/>
      <c r="R7" s="7"/>
      <c r="S7" s="7"/>
      <c r="T7" s="7"/>
      <c r="U7" s="7"/>
      <c r="V7" s="7"/>
      <c r="W7" s="9"/>
      <c r="X7" s="10"/>
    </row>
    <row r="8" spans="1:32" x14ac:dyDescent="0.3">
      <c r="A8" s="11" t="s">
        <v>24</v>
      </c>
      <c r="B8" s="11" t="s">
        <v>41</v>
      </c>
      <c r="C8" s="11" t="s">
        <v>42</v>
      </c>
      <c r="E8" s="12" t="s">
        <v>43</v>
      </c>
      <c r="F8" s="12" t="s">
        <v>37</v>
      </c>
      <c r="G8" s="7">
        <v>2005</v>
      </c>
      <c r="H8" s="7">
        <v>55</v>
      </c>
      <c r="I8" s="9">
        <v>1</v>
      </c>
      <c r="J8" s="9">
        <v>1</v>
      </c>
      <c r="K8" s="13">
        <f>NGCap!B25*NGCap!$O$4*NGCap!$O$5*10^9</f>
        <v>2006.4114813504925</v>
      </c>
      <c r="L8" s="7"/>
      <c r="M8" s="7"/>
      <c r="N8" s="7"/>
      <c r="O8" s="7"/>
      <c r="P8" s="7"/>
      <c r="Q8" s="7"/>
      <c r="R8" s="7"/>
      <c r="S8" s="7"/>
      <c r="T8" s="7"/>
      <c r="U8" s="7"/>
      <c r="V8" s="7"/>
      <c r="W8" s="9"/>
      <c r="X8" s="10"/>
    </row>
    <row r="9" spans="1:32" x14ac:dyDescent="0.3">
      <c r="A9" s="11" t="s">
        <v>20</v>
      </c>
      <c r="B9" s="11" t="s">
        <v>44</v>
      </c>
      <c r="C9" s="11" t="s">
        <v>45</v>
      </c>
      <c r="E9" s="12" t="s">
        <v>46</v>
      </c>
      <c r="F9" s="12" t="s">
        <v>37</v>
      </c>
      <c r="G9" s="7">
        <v>2005</v>
      </c>
      <c r="H9" s="7">
        <v>55</v>
      </c>
      <c r="I9" s="9">
        <v>1</v>
      </c>
      <c r="J9" s="9">
        <v>1</v>
      </c>
      <c r="K9" s="13">
        <f>NGCap!B26*NGCap!$O$4*NGCap!$O$5*10^9</f>
        <v>35.754347463404997</v>
      </c>
      <c r="L9" s="7"/>
      <c r="M9" s="7"/>
      <c r="N9" s="7"/>
      <c r="O9" s="7"/>
      <c r="P9" s="7"/>
      <c r="Q9" s="7"/>
      <c r="R9" s="7"/>
      <c r="S9" s="7"/>
      <c r="T9" s="7"/>
      <c r="U9" s="7"/>
      <c r="V9" s="7"/>
      <c r="W9" s="9"/>
    </row>
    <row r="10" spans="1:32" x14ac:dyDescent="0.3">
      <c r="A10" s="11" t="s">
        <v>19</v>
      </c>
      <c r="B10" s="11" t="s">
        <v>47</v>
      </c>
      <c r="C10" s="11" t="s">
        <v>48</v>
      </c>
      <c r="E10" s="12" t="s">
        <v>49</v>
      </c>
      <c r="F10" s="12" t="s">
        <v>37</v>
      </c>
      <c r="G10" s="7">
        <v>2005</v>
      </c>
      <c r="H10" s="7">
        <v>55</v>
      </c>
      <c r="I10" s="9">
        <v>1</v>
      </c>
      <c r="J10" s="9">
        <v>1</v>
      </c>
      <c r="K10" s="13">
        <f>NGCap!B27*NGCap!$O$4*NGCap!$O$5*10^9</f>
        <v>1121.7267018860798</v>
      </c>
      <c r="L10" s="7"/>
      <c r="M10" s="7"/>
      <c r="N10" s="7"/>
      <c r="O10" s="7"/>
      <c r="P10" s="7"/>
      <c r="Q10" s="7"/>
      <c r="R10" s="7"/>
      <c r="S10" s="7"/>
      <c r="T10" s="7"/>
      <c r="U10" s="7"/>
      <c r="V10" s="7"/>
      <c r="W10" s="9"/>
    </row>
    <row r="11" spans="1:32" x14ac:dyDescent="0.3">
      <c r="A11" s="11" t="s">
        <v>27</v>
      </c>
      <c r="B11" s="11" t="s">
        <v>50</v>
      </c>
      <c r="C11" s="11" t="s">
        <v>51</v>
      </c>
      <c r="E11" s="12" t="s">
        <v>36</v>
      </c>
      <c r="F11" s="12" t="s">
        <v>37</v>
      </c>
      <c r="G11" s="7">
        <v>2005</v>
      </c>
      <c r="H11" s="7">
        <v>55</v>
      </c>
      <c r="I11" s="9">
        <v>1</v>
      </c>
      <c r="J11" s="9">
        <v>1</v>
      </c>
      <c r="K11" s="9"/>
      <c r="L11" s="7"/>
      <c r="M11" s="7"/>
      <c r="N11" s="7"/>
      <c r="O11" s="7"/>
      <c r="P11" s="7"/>
      <c r="Q11" s="7"/>
      <c r="R11" s="7"/>
      <c r="S11" s="7"/>
      <c r="T11" s="7"/>
      <c r="U11" s="7"/>
      <c r="V11" s="7"/>
      <c r="W11" s="14">
        <v>4.2380353687958259</v>
      </c>
    </row>
    <row r="12" spans="1:32" x14ac:dyDescent="0.3">
      <c r="A12" s="11" t="s">
        <v>26</v>
      </c>
      <c r="B12" s="11" t="s">
        <v>52</v>
      </c>
      <c r="C12" s="11" t="s">
        <v>53</v>
      </c>
      <c r="E12" s="12" t="s">
        <v>40</v>
      </c>
      <c r="F12" s="12" t="s">
        <v>37</v>
      </c>
      <c r="G12" s="7">
        <v>2005</v>
      </c>
      <c r="H12" s="7">
        <v>55</v>
      </c>
      <c r="I12" s="9">
        <v>1</v>
      </c>
      <c r="J12" s="9">
        <v>1</v>
      </c>
      <c r="K12" s="9"/>
      <c r="L12" s="7"/>
      <c r="M12" s="7"/>
      <c r="N12" s="7"/>
      <c r="O12" s="7"/>
      <c r="P12" s="7"/>
      <c r="Q12" s="7"/>
      <c r="R12" s="7"/>
      <c r="S12" s="7"/>
      <c r="T12" s="7"/>
      <c r="U12" s="7"/>
      <c r="V12" s="7"/>
      <c r="W12" s="14">
        <v>2.6213700448894341</v>
      </c>
    </row>
    <row r="13" spans="1:32" x14ac:dyDescent="0.3">
      <c r="A13" s="11" t="s">
        <v>24</v>
      </c>
      <c r="B13" s="11" t="s">
        <v>54</v>
      </c>
      <c r="C13" s="11" t="s">
        <v>55</v>
      </c>
      <c r="E13" s="12" t="s">
        <v>43</v>
      </c>
      <c r="F13" s="12" t="s">
        <v>37</v>
      </c>
      <c r="G13" s="7">
        <v>2005</v>
      </c>
      <c r="H13" s="7">
        <v>55</v>
      </c>
      <c r="I13" s="9">
        <v>1</v>
      </c>
      <c r="J13" s="9">
        <v>1</v>
      </c>
      <c r="K13" s="9"/>
      <c r="L13" s="7"/>
      <c r="M13" s="7"/>
      <c r="N13" s="7"/>
      <c r="O13" s="7"/>
      <c r="P13" s="7"/>
      <c r="Q13" s="7"/>
      <c r="R13" s="7"/>
      <c r="S13" s="7"/>
      <c r="T13" s="7"/>
      <c r="U13" s="7"/>
      <c r="V13" s="7"/>
      <c r="W13" s="14">
        <v>8.5091105452765632</v>
      </c>
    </row>
    <row r="14" spans="1:32" x14ac:dyDescent="0.3">
      <c r="A14" s="11" t="s">
        <v>20</v>
      </c>
      <c r="B14" s="11" t="s">
        <v>56</v>
      </c>
      <c r="C14" s="11" t="s">
        <v>57</v>
      </c>
      <c r="E14" s="12" t="s">
        <v>46</v>
      </c>
      <c r="F14" s="12" t="s">
        <v>37</v>
      </c>
      <c r="G14" s="7">
        <v>2005</v>
      </c>
      <c r="H14" s="7">
        <v>55</v>
      </c>
      <c r="I14" s="9">
        <v>1</v>
      </c>
      <c r="J14" s="9">
        <v>1</v>
      </c>
      <c r="K14" s="9"/>
      <c r="L14" s="7"/>
      <c r="M14" s="7"/>
      <c r="N14" s="7"/>
      <c r="O14" s="7"/>
      <c r="P14" s="7"/>
      <c r="Q14" s="7"/>
      <c r="R14" s="7"/>
      <c r="S14" s="7"/>
      <c r="T14" s="7"/>
      <c r="U14" s="7"/>
      <c r="V14" s="7"/>
      <c r="W14" s="14">
        <v>7.9762288507832615</v>
      </c>
    </row>
    <row r="15" spans="1:32" x14ac:dyDescent="0.3">
      <c r="A15" s="11" t="s">
        <v>19</v>
      </c>
      <c r="B15" s="11" t="s">
        <v>58</v>
      </c>
      <c r="C15" s="11" t="s">
        <v>59</v>
      </c>
      <c r="E15" s="12" t="s">
        <v>49</v>
      </c>
      <c r="F15" s="12" t="s">
        <v>37</v>
      </c>
      <c r="G15" s="7">
        <v>2005</v>
      </c>
      <c r="H15" s="7">
        <v>55</v>
      </c>
      <c r="I15" s="9">
        <v>1</v>
      </c>
      <c r="J15" s="9">
        <v>1</v>
      </c>
      <c r="K15" s="9"/>
      <c r="L15" s="7"/>
      <c r="M15" s="7"/>
      <c r="N15" s="7"/>
      <c r="O15" s="7"/>
      <c r="P15" s="7"/>
      <c r="Q15" s="7"/>
      <c r="R15" s="7"/>
      <c r="S15" s="7"/>
      <c r="T15" s="7"/>
      <c r="U15" s="7"/>
      <c r="V15" s="7"/>
      <c r="W15" s="14">
        <v>8.5125579832067793</v>
      </c>
    </row>
    <row r="16" spans="1:32" x14ac:dyDescent="0.3">
      <c r="A16" s="11" t="s">
        <v>60</v>
      </c>
      <c r="B16" s="15"/>
      <c r="C16" s="11"/>
      <c r="E16" s="12"/>
      <c r="F16" s="12"/>
      <c r="G16" s="7"/>
      <c r="H16" s="7"/>
      <c r="I16" s="9"/>
      <c r="J16" s="9"/>
      <c r="K16" s="9"/>
      <c r="L16" s="7"/>
      <c r="M16" s="7"/>
      <c r="N16" s="7"/>
      <c r="O16" s="7"/>
      <c r="P16" s="7"/>
      <c r="Q16" s="7"/>
      <c r="R16" s="7"/>
      <c r="S16" s="7"/>
      <c r="T16" s="7"/>
      <c r="U16" s="7"/>
      <c r="V16" s="7"/>
      <c r="W16" s="9"/>
    </row>
    <row r="17" spans="1:23" x14ac:dyDescent="0.3">
      <c r="A17" s="11" t="s">
        <v>27</v>
      </c>
      <c r="B17" s="11" t="s">
        <v>61</v>
      </c>
      <c r="C17" s="11" t="s">
        <v>62</v>
      </c>
      <c r="E17" s="12" t="s">
        <v>63</v>
      </c>
      <c r="F17" s="12" t="s">
        <v>37</v>
      </c>
      <c r="G17" s="7">
        <v>2005</v>
      </c>
      <c r="H17" s="7">
        <v>55</v>
      </c>
      <c r="I17" s="9">
        <v>1</v>
      </c>
      <c r="J17" s="9">
        <v>1</v>
      </c>
      <c r="K17" s="13">
        <f>NGCap!B125*NGCap!$O$4*NGCap!$O$5*10^12</f>
        <v>215.4755032108352</v>
      </c>
      <c r="L17" s="7"/>
      <c r="M17" s="7"/>
      <c r="N17" s="7"/>
      <c r="O17" s="7"/>
      <c r="P17" s="7"/>
      <c r="Q17" s="7"/>
      <c r="R17" s="7"/>
      <c r="S17" s="7"/>
      <c r="T17" s="7"/>
      <c r="U17" s="7"/>
      <c r="V17" s="7"/>
      <c r="W17" s="9"/>
    </row>
    <row r="18" spans="1:23" x14ac:dyDescent="0.3">
      <c r="A18" s="11" t="s">
        <v>23</v>
      </c>
      <c r="B18" s="11" t="s">
        <v>64</v>
      </c>
      <c r="C18" s="11" t="s">
        <v>65</v>
      </c>
      <c r="E18" s="12" t="s">
        <v>66</v>
      </c>
      <c r="F18" s="12" t="s">
        <v>37</v>
      </c>
      <c r="G18" s="7">
        <v>2005</v>
      </c>
      <c r="H18" s="7">
        <v>55</v>
      </c>
      <c r="I18" s="9">
        <v>1</v>
      </c>
      <c r="J18" s="9">
        <v>1</v>
      </c>
      <c r="K18" s="13">
        <f>(NGCap!B126+NGCap!B127)*NGCap!$O$4*NGCap!$O$5*10^12</f>
        <v>660.43242946211251</v>
      </c>
      <c r="L18" s="7"/>
      <c r="M18" s="7"/>
      <c r="N18" s="7"/>
      <c r="O18" s="7"/>
      <c r="P18" s="7"/>
      <c r="Q18" s="7"/>
      <c r="R18" s="7"/>
      <c r="S18" s="7"/>
      <c r="T18" s="7"/>
      <c r="U18" s="7"/>
      <c r="V18" s="7"/>
      <c r="W18" s="9"/>
    </row>
    <row r="19" spans="1:23" x14ac:dyDescent="0.3">
      <c r="A19" s="11" t="s">
        <v>21</v>
      </c>
      <c r="B19" s="11" t="s">
        <v>67</v>
      </c>
      <c r="C19" s="11" t="s">
        <v>68</v>
      </c>
      <c r="E19" s="12" t="s">
        <v>69</v>
      </c>
      <c r="F19" s="12" t="s">
        <v>37</v>
      </c>
      <c r="G19" s="7">
        <v>2005</v>
      </c>
      <c r="H19" s="7">
        <v>55</v>
      </c>
      <c r="I19" s="9">
        <v>1</v>
      </c>
      <c r="J19" s="9">
        <v>1</v>
      </c>
      <c r="K19" s="13">
        <f>(NGCap!B128+NGCap!B133)*NGCap!$O$4*NGCap!$O$5*10^12</f>
        <v>590.40287847660488</v>
      </c>
      <c r="L19" s="7"/>
      <c r="M19" s="7"/>
      <c r="N19" s="7"/>
      <c r="O19" s="7"/>
      <c r="P19" s="7"/>
      <c r="Q19" s="7"/>
      <c r="R19" s="7"/>
      <c r="S19" s="7"/>
      <c r="T19" s="7"/>
      <c r="U19" s="7"/>
      <c r="V19" s="7"/>
      <c r="W19" s="9"/>
    </row>
    <row r="20" spans="1:23" x14ac:dyDescent="0.3">
      <c r="A20" s="11" t="s">
        <v>27</v>
      </c>
      <c r="B20" s="11" t="s">
        <v>70</v>
      </c>
      <c r="C20" s="11" t="s">
        <v>71</v>
      </c>
      <c r="E20" s="12" t="s">
        <v>63</v>
      </c>
      <c r="F20" s="12" t="s">
        <v>37</v>
      </c>
      <c r="G20" s="7">
        <v>2005</v>
      </c>
      <c r="H20" s="7">
        <v>55</v>
      </c>
      <c r="I20" s="9">
        <v>1</v>
      </c>
      <c r="J20" s="9">
        <v>1</v>
      </c>
      <c r="K20" s="9"/>
      <c r="L20" s="7"/>
      <c r="M20" s="7"/>
      <c r="N20" s="7"/>
      <c r="O20" s="7"/>
      <c r="P20" s="7"/>
      <c r="Q20" s="7"/>
      <c r="R20" s="7"/>
      <c r="S20" s="7"/>
      <c r="T20" s="7"/>
      <c r="U20" s="7"/>
      <c r="V20" s="7"/>
      <c r="W20" s="14">
        <v>4.495714126749311</v>
      </c>
    </row>
    <row r="21" spans="1:23" x14ac:dyDescent="0.3">
      <c r="A21" s="11" t="s">
        <v>23</v>
      </c>
      <c r="B21" s="11" t="s">
        <v>72</v>
      </c>
      <c r="C21" s="11" t="s">
        <v>73</v>
      </c>
      <c r="E21" s="12" t="s">
        <v>66</v>
      </c>
      <c r="F21" s="12" t="s">
        <v>37</v>
      </c>
      <c r="G21" s="7">
        <v>2005</v>
      </c>
      <c r="H21" s="7">
        <v>55</v>
      </c>
      <c r="I21" s="9">
        <v>1</v>
      </c>
      <c r="J21" s="9">
        <v>1</v>
      </c>
      <c r="K21" s="9"/>
      <c r="L21" s="7"/>
      <c r="M21" s="7"/>
      <c r="N21" s="7"/>
      <c r="O21" s="7"/>
      <c r="P21" s="7"/>
      <c r="Q21" s="7"/>
      <c r="R21" s="7"/>
      <c r="S21" s="7"/>
      <c r="T21" s="7"/>
      <c r="U21" s="7"/>
      <c r="V21" s="7"/>
      <c r="W21" s="14">
        <v>4.495714126749311</v>
      </c>
    </row>
    <row r="22" spans="1:23" x14ac:dyDescent="0.3">
      <c r="A22" s="11" t="s">
        <v>21</v>
      </c>
      <c r="B22" s="11" t="s">
        <v>74</v>
      </c>
      <c r="C22" s="11" t="s">
        <v>75</v>
      </c>
      <c r="E22" s="12" t="s">
        <v>69</v>
      </c>
      <c r="F22" s="12" t="s">
        <v>37</v>
      </c>
      <c r="G22" s="7">
        <v>2005</v>
      </c>
      <c r="H22" s="7">
        <v>55</v>
      </c>
      <c r="I22" s="9">
        <v>1</v>
      </c>
      <c r="J22" s="9">
        <v>1</v>
      </c>
      <c r="K22" s="9"/>
      <c r="L22" s="7"/>
      <c r="M22" s="7"/>
      <c r="N22" s="7"/>
      <c r="O22" s="7"/>
      <c r="P22" s="7"/>
      <c r="Q22" s="7"/>
      <c r="R22" s="7"/>
      <c r="S22" s="7"/>
      <c r="T22" s="7"/>
      <c r="U22" s="7"/>
      <c r="V22" s="7"/>
      <c r="W22" s="14">
        <v>4.495714126749311</v>
      </c>
    </row>
    <row r="23" spans="1:23" x14ac:dyDescent="0.3">
      <c r="A23" s="11" t="s">
        <v>60</v>
      </c>
      <c r="B23" s="15"/>
      <c r="C23" s="11"/>
      <c r="E23" s="12"/>
      <c r="F23" s="12"/>
      <c r="G23" s="7"/>
      <c r="H23" s="7"/>
      <c r="I23" s="9"/>
      <c r="J23" s="9"/>
      <c r="K23" s="9"/>
      <c r="L23" s="7"/>
      <c r="M23" s="7"/>
      <c r="N23" s="7"/>
      <c r="O23" s="7"/>
      <c r="P23" s="7"/>
      <c r="Q23" s="7"/>
      <c r="R23" s="7"/>
      <c r="S23" s="7"/>
      <c r="T23" s="7"/>
      <c r="U23" s="7"/>
      <c r="V23" s="7"/>
      <c r="W23"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D4D3544756FC4189396AED5C4815C6" ma:contentTypeVersion="13" ma:contentTypeDescription="Create a new document." ma:contentTypeScope="" ma:versionID="3491e64d765c741a1185f86747b76256">
  <xsd:schema xmlns:xsd="http://www.w3.org/2001/XMLSchema" xmlns:xs="http://www.w3.org/2001/XMLSchema" xmlns:p="http://schemas.microsoft.com/office/2006/metadata/properties" xmlns:ns2="6f58b422-a6f4-4b6d-a699-15e0adf0131b" xmlns:ns3="a1feda3e-9ebc-462f-b638-5fefd6b1abeb" targetNamespace="http://schemas.microsoft.com/office/2006/metadata/properties" ma:root="true" ma:fieldsID="d2c57e39fed3767bff05d1708e2df440" ns2:_="" ns3:_="">
    <xsd:import namespace="6f58b422-a6f4-4b6d-a699-15e0adf0131b"/>
    <xsd:import namespace="a1feda3e-9ebc-462f-b638-5fefd6b1abe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8b422-a6f4-4b6d-a699-15e0adf013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feda3e-9ebc-462f-b638-5fefd6b1abe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2b81f44-6a1a-4ced-bf8a-34da3ba669b8}" ma:internalName="TaxCatchAll" ma:showField="CatchAllData" ma:web="a1feda3e-9ebc-462f-b638-5fefd6b1ab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49323B-34C5-4BD3-9E26-406A963BB2D6}"/>
</file>

<file path=customXml/itemProps2.xml><?xml version="1.0" encoding="utf-8"?>
<ds:datastoreItem xmlns:ds="http://schemas.openxmlformats.org/officeDocument/2006/customXml" ds:itemID="{7390E321-FCC9-4A48-80CB-2B02C72DF0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vt:lpstr>
      <vt:lpstr>UPD</vt:lpstr>
      <vt:lpstr>ELC data</vt:lpstr>
      <vt:lpstr>NGCap</vt:lpstr>
      <vt:lpstr>NGExpansion</vt:lpstr>
      <vt:lpstr>NG data</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Lenox, Carol</cp:lastModifiedBy>
  <dcterms:created xsi:type="dcterms:W3CDTF">2009-05-27T15:40:55Z</dcterms:created>
  <dcterms:modified xsi:type="dcterms:W3CDTF">2018-08-29T13:29:07Z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124891638755798</vt:r8>
  </property>
</Properties>
</file>